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_M\Desktop\nowworking\FMAJSP\txtTOexcle（对应第一章二稿）\"/>
    </mc:Choice>
  </mc:AlternateContent>
  <xr:revisionPtr revIDLastSave="0" documentId="13_ncr:1_{DC1B67B4-169A-4C47-B5C2-16466A75AE80}" xr6:coauthVersionLast="47" xr6:coauthVersionMax="47" xr10:uidLastSave="{00000000-0000-0000-0000-000000000000}"/>
  <bookViews>
    <workbookView xWindow="-110" yWindow="-110" windowWidth="38620" windowHeight="21100" tabRatio="702" xr2:uid="{00000000-000D-0000-FFFF-FFFF00000000}"/>
  </bookViews>
  <sheets>
    <sheet name="不同case实验数据工厂数据集" sheetId="1" r:id="rId1"/>
    <sheet name="不同case实验数据小small规模随机数据集" sheetId="2" r:id="rId2"/>
    <sheet name="不同case实验数据中middle规模随机数据集" sheetId="3" r:id="rId3"/>
    <sheet name="不同case实验数据大big规模随机数据集" sheetId="4" r:id="rId4"/>
    <sheet name="工厂数据集" sheetId="5" r:id="rId5"/>
    <sheet name="小规模随机数据集" sheetId="6" r:id="rId6"/>
    <sheet name="中规模随机数据集" sheetId="7" r:id="rId7"/>
    <sheet name="大规模随机数据集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601" i="4" l="1" a="1"/>
  <c r="AN601" i="4" s="1"/>
  <c r="AM601" i="4" a="1"/>
  <c r="AM601" i="4" s="1"/>
  <c r="AL601" i="4"/>
  <c r="AJ601" i="4"/>
  <c r="AF601" i="4" a="1"/>
  <c r="AF601" i="4" s="1"/>
  <c r="AE601" i="4" a="1"/>
  <c r="AE601" i="4" s="1"/>
  <c r="AD601" i="4"/>
  <c r="AB601" i="4"/>
  <c r="X601" i="4" a="1"/>
  <c r="X601" i="4" s="1"/>
  <c r="W601" i="4" a="1"/>
  <c r="W601" i="4" s="1"/>
  <c r="V601" i="4"/>
  <c r="T601" i="4"/>
  <c r="P601" i="4" a="1"/>
  <c r="P601" i="4" s="1"/>
  <c r="O601" i="4" a="1"/>
  <c r="O601" i="4" s="1"/>
  <c r="N601" i="4"/>
  <c r="L601" i="4"/>
  <c r="H601" i="4" a="1"/>
  <c r="H601" i="4"/>
  <c r="G601" i="4" a="1"/>
  <c r="G601" i="4" s="1"/>
  <c r="F601" i="4"/>
  <c r="D601" i="4"/>
  <c r="AJ600" i="4"/>
  <c r="AB600" i="4"/>
  <c r="T600" i="4"/>
  <c r="L600" i="4"/>
  <c r="D600" i="4"/>
  <c r="AN586" i="4" a="1"/>
  <c r="AN586" i="4" s="1"/>
  <c r="AM586" i="4" a="1"/>
  <c r="AM586" i="4" s="1"/>
  <c r="AL586" i="4"/>
  <c r="AJ586" i="4"/>
  <c r="AF586" i="4" a="1"/>
  <c r="AF586" i="4" s="1"/>
  <c r="AE586" i="4" a="1"/>
  <c r="AE586" i="4" s="1"/>
  <c r="AD586" i="4"/>
  <c r="AB586" i="4"/>
  <c r="X586" i="4" a="1"/>
  <c r="X586" i="4"/>
  <c r="W586" i="4" a="1"/>
  <c r="W586" i="4" s="1"/>
  <c r="V586" i="4"/>
  <c r="T586" i="4"/>
  <c r="P586" i="4" a="1"/>
  <c r="P586" i="4"/>
  <c r="O586" i="4" a="1"/>
  <c r="O586" i="4" s="1"/>
  <c r="N586" i="4"/>
  <c r="L586" i="4"/>
  <c r="H586" i="4" a="1"/>
  <c r="H586" i="4" s="1"/>
  <c r="G586" i="4" a="1"/>
  <c r="G586" i="4" s="1"/>
  <c r="F586" i="4"/>
  <c r="D586" i="4"/>
  <c r="AJ585" i="4"/>
  <c r="AB585" i="4"/>
  <c r="T585" i="4"/>
  <c r="L585" i="4"/>
  <c r="D585" i="4"/>
  <c r="AN571" i="4" a="1"/>
  <c r="AN571" i="4" s="1"/>
  <c r="AM571" i="4" a="1"/>
  <c r="AM571" i="4"/>
  <c r="AL571" i="4"/>
  <c r="AJ571" i="4"/>
  <c r="AF571" i="4" a="1"/>
  <c r="AF571" i="4"/>
  <c r="AE571" i="4" a="1"/>
  <c r="AE571" i="4"/>
  <c r="AD571" i="4"/>
  <c r="AB571" i="4"/>
  <c r="X571" i="4" a="1"/>
  <c r="X571" i="4" s="1"/>
  <c r="W571" i="4" a="1"/>
  <c r="W571" i="4"/>
  <c r="V571" i="4"/>
  <c r="T571" i="4"/>
  <c r="P571" i="4" a="1"/>
  <c r="P571" i="4"/>
  <c r="O571" i="4" a="1"/>
  <c r="O571" i="4" s="1"/>
  <c r="N571" i="4"/>
  <c r="L571" i="4"/>
  <c r="H571" i="4" a="1"/>
  <c r="H571" i="4"/>
  <c r="G571" i="4" a="1"/>
  <c r="G571" i="4"/>
  <c r="F571" i="4"/>
  <c r="D571" i="4"/>
  <c r="AJ570" i="4"/>
  <c r="AB570" i="4"/>
  <c r="T570" i="4"/>
  <c r="L570" i="4"/>
  <c r="D570" i="4"/>
  <c r="AN556" i="4" a="1"/>
  <c r="AN556" i="4"/>
  <c r="AM556" i="4" a="1"/>
  <c r="AM556" i="4"/>
  <c r="AL556" i="4"/>
  <c r="AJ556" i="4"/>
  <c r="AF556" i="4" a="1"/>
  <c r="AF556" i="4" s="1"/>
  <c r="AE556" i="4" a="1"/>
  <c r="AE556" i="4"/>
  <c r="AD556" i="4"/>
  <c r="AB556" i="4"/>
  <c r="X556" i="4" a="1"/>
  <c r="X556" i="4" s="1"/>
  <c r="W556" i="4" a="1"/>
  <c r="W556" i="4" s="1"/>
  <c r="V556" i="4"/>
  <c r="T556" i="4"/>
  <c r="P556" i="4" a="1"/>
  <c r="P556" i="4" s="1"/>
  <c r="O556" i="4" a="1"/>
  <c r="O556" i="4"/>
  <c r="N556" i="4"/>
  <c r="L556" i="4"/>
  <c r="H556" i="4" a="1"/>
  <c r="H556" i="4" s="1"/>
  <c r="G556" i="4" a="1"/>
  <c r="G556" i="4" s="1"/>
  <c r="F556" i="4"/>
  <c r="D556" i="4"/>
  <c r="AJ555" i="4"/>
  <c r="AB555" i="4"/>
  <c r="T555" i="4"/>
  <c r="L555" i="4"/>
  <c r="D555" i="4"/>
  <c r="AN541" i="4" a="1"/>
  <c r="AN541" i="4"/>
  <c r="AM541" i="4" a="1"/>
  <c r="AM541" i="4" s="1"/>
  <c r="AL541" i="4"/>
  <c r="AJ541" i="4"/>
  <c r="AF541" i="4" a="1"/>
  <c r="AF541" i="4" s="1"/>
  <c r="AE541" i="4" a="1"/>
  <c r="AE541" i="4"/>
  <c r="AD541" i="4"/>
  <c r="AB541" i="4"/>
  <c r="X541" i="4" a="1"/>
  <c r="X541" i="4"/>
  <c r="W541" i="4" a="1"/>
  <c r="W541" i="4"/>
  <c r="V541" i="4"/>
  <c r="T541" i="4"/>
  <c r="P541" i="4" a="1"/>
  <c r="P541" i="4"/>
  <c r="O541" i="4" a="1"/>
  <c r="O541" i="4"/>
  <c r="N541" i="4"/>
  <c r="L541" i="4"/>
  <c r="H541" i="4" a="1"/>
  <c r="H541" i="4"/>
  <c r="G541" i="4" a="1"/>
  <c r="G541" i="4" s="1"/>
  <c r="F541" i="4"/>
  <c r="D541" i="4"/>
  <c r="AJ540" i="4"/>
  <c r="AB540" i="4"/>
  <c r="T540" i="4"/>
  <c r="L540" i="4"/>
  <c r="D540" i="4"/>
  <c r="AN526" i="4" a="1"/>
  <c r="AN526" i="4" s="1"/>
  <c r="AM526" i="4" a="1"/>
  <c r="AM526" i="4" s="1"/>
  <c r="AL526" i="4"/>
  <c r="AJ526" i="4"/>
  <c r="AF526" i="4" a="1"/>
  <c r="AF526" i="4" s="1"/>
  <c r="AE526" i="4" a="1"/>
  <c r="AE526" i="4" s="1"/>
  <c r="AD526" i="4"/>
  <c r="AB526" i="4"/>
  <c r="X526" i="4" a="1"/>
  <c r="X526" i="4"/>
  <c r="W526" i="4" a="1"/>
  <c r="W526" i="4" s="1"/>
  <c r="V526" i="4"/>
  <c r="T526" i="4"/>
  <c r="P526" i="4" a="1"/>
  <c r="P526" i="4"/>
  <c r="O526" i="4" a="1"/>
  <c r="O526" i="4" s="1"/>
  <c r="N526" i="4"/>
  <c r="L526" i="4"/>
  <c r="H526" i="4" a="1"/>
  <c r="H526" i="4" s="1"/>
  <c r="G526" i="4" a="1"/>
  <c r="G526" i="4" s="1"/>
  <c r="F526" i="4"/>
  <c r="D526" i="4"/>
  <c r="AJ525" i="4"/>
  <c r="AB525" i="4"/>
  <c r="T525" i="4"/>
  <c r="L525" i="4"/>
  <c r="D525" i="4"/>
  <c r="AN511" i="4" a="1"/>
  <c r="AN511" i="4"/>
  <c r="AM511" i="4" a="1"/>
  <c r="AM511" i="4"/>
  <c r="AL511" i="4"/>
  <c r="AJ511" i="4"/>
  <c r="AF511" i="4" a="1"/>
  <c r="AF511" i="4"/>
  <c r="AE511" i="4" a="1"/>
  <c r="AE511" i="4"/>
  <c r="AD511" i="4"/>
  <c r="AB511" i="4"/>
  <c r="X511" i="4" a="1"/>
  <c r="X511" i="4" s="1"/>
  <c r="W511" i="4" a="1"/>
  <c r="W511" i="4"/>
  <c r="V511" i="4"/>
  <c r="T511" i="4"/>
  <c r="P511" i="4" a="1"/>
  <c r="P511" i="4"/>
  <c r="O511" i="4" a="1"/>
  <c r="O511" i="4"/>
  <c r="N511" i="4"/>
  <c r="L511" i="4"/>
  <c r="H511" i="4" a="1"/>
  <c r="H511" i="4"/>
  <c r="G511" i="4" a="1"/>
  <c r="G511" i="4"/>
  <c r="F511" i="4"/>
  <c r="D511" i="4"/>
  <c r="AJ510" i="4"/>
  <c r="AB510" i="4"/>
  <c r="T510" i="4"/>
  <c r="L510" i="4"/>
  <c r="D510" i="4"/>
  <c r="AN496" i="4" a="1"/>
  <c r="AN496" i="4"/>
  <c r="AM496" i="4" a="1"/>
  <c r="AM496" i="4"/>
  <c r="AL496" i="4"/>
  <c r="AJ496" i="4"/>
  <c r="AF496" i="4" a="1"/>
  <c r="AF496" i="4" s="1"/>
  <c r="AE496" i="4" a="1"/>
  <c r="AE496" i="4"/>
  <c r="AD496" i="4"/>
  <c r="AB496" i="4"/>
  <c r="X496" i="4" a="1"/>
  <c r="X496" i="4" s="1"/>
  <c r="W496" i="4" a="1"/>
  <c r="W496" i="4" s="1"/>
  <c r="V496" i="4"/>
  <c r="T496" i="4"/>
  <c r="P496" i="4" a="1"/>
  <c r="P496" i="4" s="1"/>
  <c r="O496" i="4" a="1"/>
  <c r="O496" i="4"/>
  <c r="N496" i="4"/>
  <c r="L496" i="4"/>
  <c r="H496" i="4" a="1"/>
  <c r="H496" i="4" s="1"/>
  <c r="G496" i="4" a="1"/>
  <c r="G496" i="4" s="1"/>
  <c r="F496" i="4"/>
  <c r="D496" i="4"/>
  <c r="AJ495" i="4"/>
  <c r="AB495" i="4"/>
  <c r="T495" i="4"/>
  <c r="L495" i="4"/>
  <c r="D495" i="4"/>
  <c r="AN481" i="4" a="1"/>
  <c r="AN481" i="4"/>
  <c r="AM481" i="4" a="1"/>
  <c r="AM481" i="4" s="1"/>
  <c r="AL481" i="4"/>
  <c r="AJ481" i="4"/>
  <c r="AF481" i="4" a="1"/>
  <c r="AF481" i="4" s="1"/>
  <c r="AE481" i="4" a="1"/>
  <c r="AE481" i="4"/>
  <c r="AD481" i="4"/>
  <c r="AB481" i="4"/>
  <c r="X481" i="4" a="1"/>
  <c r="X481" i="4"/>
  <c r="W481" i="4" a="1"/>
  <c r="W481" i="4"/>
  <c r="V481" i="4"/>
  <c r="T481" i="4"/>
  <c r="P481" i="4" a="1"/>
  <c r="P481" i="4"/>
  <c r="O481" i="4" a="1"/>
  <c r="O481" i="4"/>
  <c r="N481" i="4"/>
  <c r="L481" i="4"/>
  <c r="H481" i="4" a="1"/>
  <c r="H481" i="4"/>
  <c r="G481" i="4" a="1"/>
  <c r="G481" i="4" s="1"/>
  <c r="F481" i="4"/>
  <c r="D481" i="4"/>
  <c r="AJ480" i="4"/>
  <c r="AB480" i="4"/>
  <c r="T480" i="4"/>
  <c r="L480" i="4"/>
  <c r="D480" i="4"/>
  <c r="AN466" i="4" a="1"/>
  <c r="AN466" i="4" s="1"/>
  <c r="AM466" i="4" a="1"/>
  <c r="AM466" i="4" s="1"/>
  <c r="AL466" i="4"/>
  <c r="AJ466" i="4"/>
  <c r="AF466" i="4" a="1"/>
  <c r="AF466" i="4" s="1"/>
  <c r="AE466" i="4" a="1"/>
  <c r="AE466" i="4" s="1"/>
  <c r="AD466" i="4"/>
  <c r="AB466" i="4"/>
  <c r="X466" i="4" a="1"/>
  <c r="X466" i="4"/>
  <c r="W466" i="4" a="1"/>
  <c r="W466" i="4" s="1"/>
  <c r="V466" i="4"/>
  <c r="T466" i="4"/>
  <c r="P466" i="4" a="1"/>
  <c r="P466" i="4"/>
  <c r="O466" i="4" a="1"/>
  <c r="O466" i="4" s="1"/>
  <c r="N466" i="4"/>
  <c r="L466" i="4"/>
  <c r="H466" i="4" a="1"/>
  <c r="H466" i="4" s="1"/>
  <c r="G466" i="4" a="1"/>
  <c r="G466" i="4" s="1"/>
  <c r="F466" i="4"/>
  <c r="D466" i="4"/>
  <c r="AJ465" i="4"/>
  <c r="AB465" i="4"/>
  <c r="T465" i="4"/>
  <c r="L465" i="4"/>
  <c r="D465" i="4"/>
  <c r="AN451" i="4" a="1"/>
  <c r="AN451" i="4"/>
  <c r="AM451" i="4" a="1"/>
  <c r="AM451" i="4"/>
  <c r="AL451" i="4"/>
  <c r="AJ451" i="4"/>
  <c r="AF451" i="4" a="1"/>
  <c r="AF451" i="4"/>
  <c r="AE451" i="4" a="1"/>
  <c r="AE451" i="4"/>
  <c r="AD451" i="4"/>
  <c r="AB451" i="4"/>
  <c r="X451" i="4" a="1"/>
  <c r="X451" i="4" s="1"/>
  <c r="W451" i="4" a="1"/>
  <c r="W451" i="4"/>
  <c r="V451" i="4"/>
  <c r="T451" i="4"/>
  <c r="P451" i="4" a="1"/>
  <c r="P451" i="4"/>
  <c r="O451" i="4" a="1"/>
  <c r="O451" i="4"/>
  <c r="N451" i="4"/>
  <c r="L451" i="4"/>
  <c r="H451" i="4" a="1"/>
  <c r="H451" i="4"/>
  <c r="G451" i="4" a="1"/>
  <c r="G451" i="4"/>
  <c r="F451" i="4"/>
  <c r="D451" i="4"/>
  <c r="AJ450" i="4"/>
  <c r="AB450" i="4"/>
  <c r="T450" i="4"/>
  <c r="L450" i="4"/>
  <c r="D450" i="4"/>
  <c r="AN436" i="4" a="1"/>
  <c r="AN436" i="4"/>
  <c r="AM436" i="4" a="1"/>
  <c r="AM436" i="4"/>
  <c r="AL436" i="4"/>
  <c r="AJ436" i="4"/>
  <c r="AF436" i="4" a="1"/>
  <c r="AF436" i="4" s="1"/>
  <c r="AE436" i="4" a="1"/>
  <c r="AE436" i="4"/>
  <c r="AD436" i="4"/>
  <c r="AB436" i="4"/>
  <c r="X436" i="4" a="1"/>
  <c r="X436" i="4" s="1"/>
  <c r="W436" i="4" a="1"/>
  <c r="W436" i="4" s="1"/>
  <c r="V436" i="4"/>
  <c r="T436" i="4"/>
  <c r="P436" i="4" a="1"/>
  <c r="P436" i="4" s="1"/>
  <c r="O436" i="4" a="1"/>
  <c r="O436" i="4"/>
  <c r="N436" i="4"/>
  <c r="L436" i="4"/>
  <c r="H436" i="4" a="1"/>
  <c r="H436" i="4" s="1"/>
  <c r="G436" i="4" a="1"/>
  <c r="G436" i="4" s="1"/>
  <c r="F436" i="4"/>
  <c r="D436" i="4"/>
  <c r="AJ435" i="4"/>
  <c r="AB435" i="4"/>
  <c r="T435" i="4"/>
  <c r="L435" i="4"/>
  <c r="D435" i="4"/>
  <c r="AN421" i="4" a="1"/>
  <c r="AN421" i="4"/>
  <c r="AM421" i="4" a="1"/>
  <c r="AM421" i="4" s="1"/>
  <c r="AL421" i="4"/>
  <c r="AJ421" i="4"/>
  <c r="AF421" i="4" a="1"/>
  <c r="AF421" i="4" s="1"/>
  <c r="AE421" i="4" a="1"/>
  <c r="AE421" i="4"/>
  <c r="AD421" i="4"/>
  <c r="AB421" i="4"/>
  <c r="X421" i="4" a="1"/>
  <c r="X421" i="4"/>
  <c r="W421" i="4" a="1"/>
  <c r="W421" i="4"/>
  <c r="V421" i="4"/>
  <c r="T421" i="4"/>
  <c r="P421" i="4" a="1"/>
  <c r="P421" i="4"/>
  <c r="O421" i="4" a="1"/>
  <c r="O421" i="4"/>
  <c r="N421" i="4"/>
  <c r="L421" i="4"/>
  <c r="H421" i="4" a="1"/>
  <c r="H421" i="4"/>
  <c r="G421" i="4" a="1"/>
  <c r="G421" i="4" s="1"/>
  <c r="F421" i="4"/>
  <c r="D421" i="4"/>
  <c r="AJ420" i="4"/>
  <c r="AB420" i="4"/>
  <c r="T420" i="4"/>
  <c r="L420" i="4"/>
  <c r="D420" i="4"/>
  <c r="AN406" i="4" a="1"/>
  <c r="AN406" i="4" s="1"/>
  <c r="AM406" i="4" a="1"/>
  <c r="AM406" i="4" s="1"/>
  <c r="AL406" i="4"/>
  <c r="AJ406" i="4"/>
  <c r="AF406" i="4" a="1"/>
  <c r="AF406" i="4" s="1"/>
  <c r="AE406" i="4" a="1"/>
  <c r="AE406" i="4" s="1"/>
  <c r="AD406" i="4"/>
  <c r="AB406" i="4"/>
  <c r="X406" i="4" a="1"/>
  <c r="X406" i="4"/>
  <c r="W406" i="4" a="1"/>
  <c r="W406" i="4" s="1"/>
  <c r="V406" i="4"/>
  <c r="T406" i="4"/>
  <c r="P406" i="4" a="1"/>
  <c r="P406" i="4"/>
  <c r="O406" i="4" a="1"/>
  <c r="O406" i="4" s="1"/>
  <c r="N406" i="4"/>
  <c r="L406" i="4"/>
  <c r="H406" i="4" a="1"/>
  <c r="H406" i="4" s="1"/>
  <c r="G406" i="4" a="1"/>
  <c r="G406" i="4" s="1"/>
  <c r="F406" i="4"/>
  <c r="D406" i="4"/>
  <c r="AJ405" i="4"/>
  <c r="AB405" i="4"/>
  <c r="T405" i="4"/>
  <c r="L405" i="4"/>
  <c r="D405" i="4"/>
  <c r="AN391" i="4" a="1"/>
  <c r="AN391" i="4"/>
  <c r="AM391" i="4" a="1"/>
  <c r="AM391" i="4"/>
  <c r="AL391" i="4"/>
  <c r="AJ391" i="4"/>
  <c r="AF391" i="4" a="1"/>
  <c r="AF391" i="4"/>
  <c r="AE391" i="4" a="1"/>
  <c r="AE391" i="4"/>
  <c r="AD391" i="4"/>
  <c r="AB391" i="4"/>
  <c r="X391" i="4" a="1"/>
  <c r="X391" i="4" s="1"/>
  <c r="W391" i="4" a="1"/>
  <c r="W391" i="4"/>
  <c r="V391" i="4"/>
  <c r="T391" i="4"/>
  <c r="P391" i="4" a="1"/>
  <c r="P391" i="4"/>
  <c r="O391" i="4" a="1"/>
  <c r="O391" i="4"/>
  <c r="N391" i="4"/>
  <c r="L391" i="4"/>
  <c r="H391" i="4" a="1"/>
  <c r="H391" i="4"/>
  <c r="G391" i="4" a="1"/>
  <c r="G391" i="4"/>
  <c r="F391" i="4"/>
  <c r="D391" i="4"/>
  <c r="AJ390" i="4"/>
  <c r="AB390" i="4"/>
  <c r="T390" i="4"/>
  <c r="L390" i="4"/>
  <c r="D390" i="4"/>
  <c r="AN376" i="4" a="1"/>
  <c r="AN376" i="4"/>
  <c r="AM376" i="4" a="1"/>
  <c r="AM376" i="4"/>
  <c r="AL376" i="4"/>
  <c r="AJ376" i="4"/>
  <c r="AF376" i="4" a="1"/>
  <c r="AF376" i="4" s="1"/>
  <c r="AE376" i="4" a="1"/>
  <c r="AE376" i="4"/>
  <c r="AD376" i="4"/>
  <c r="AB376" i="4"/>
  <c r="X376" i="4" a="1"/>
  <c r="X376" i="4" s="1"/>
  <c r="W376" i="4" a="1"/>
  <c r="W376" i="4" s="1"/>
  <c r="V376" i="4"/>
  <c r="T376" i="4"/>
  <c r="P376" i="4" a="1"/>
  <c r="P376" i="4" s="1"/>
  <c r="O376" i="4" a="1"/>
  <c r="O376" i="4"/>
  <c r="N376" i="4"/>
  <c r="L376" i="4"/>
  <c r="H376" i="4" a="1"/>
  <c r="H376" i="4" s="1"/>
  <c r="G376" i="4" a="1"/>
  <c r="G376" i="4" s="1"/>
  <c r="F376" i="4"/>
  <c r="D376" i="4"/>
  <c r="AJ375" i="4"/>
  <c r="AB375" i="4"/>
  <c r="T375" i="4"/>
  <c r="L375" i="4"/>
  <c r="D375" i="4"/>
  <c r="AN361" i="4" a="1"/>
  <c r="AN361" i="4"/>
  <c r="AM361" i="4" a="1"/>
  <c r="AM361" i="4" s="1"/>
  <c r="AL361" i="4"/>
  <c r="AJ361" i="4"/>
  <c r="AF361" i="4" a="1"/>
  <c r="AF361" i="4" s="1"/>
  <c r="AE361" i="4" a="1"/>
  <c r="AE361" i="4"/>
  <c r="AD361" i="4"/>
  <c r="AB361" i="4"/>
  <c r="X361" i="4" a="1"/>
  <c r="X361" i="4"/>
  <c r="W361" i="4" a="1"/>
  <c r="W361" i="4"/>
  <c r="V361" i="4"/>
  <c r="T361" i="4"/>
  <c r="P361" i="4" a="1"/>
  <c r="P361" i="4"/>
  <c r="O361" i="4" a="1"/>
  <c r="O361" i="4"/>
  <c r="N361" i="4"/>
  <c r="L361" i="4"/>
  <c r="H361" i="4" a="1"/>
  <c r="H361" i="4"/>
  <c r="G361" i="4" a="1"/>
  <c r="G361" i="4" s="1"/>
  <c r="F361" i="4"/>
  <c r="D361" i="4"/>
  <c r="AJ360" i="4"/>
  <c r="AB360" i="4"/>
  <c r="T360" i="4"/>
  <c r="L360" i="4"/>
  <c r="D360" i="4"/>
  <c r="AN346" i="4" a="1"/>
  <c r="AN346" i="4" s="1"/>
  <c r="AM346" i="4" a="1"/>
  <c r="AM346" i="4" s="1"/>
  <c r="AL346" i="4"/>
  <c r="AJ346" i="4"/>
  <c r="AF346" i="4" a="1"/>
  <c r="AF346" i="4" s="1"/>
  <c r="AE346" i="4" a="1"/>
  <c r="AE346" i="4" s="1"/>
  <c r="AD346" i="4"/>
  <c r="AB346" i="4"/>
  <c r="X346" i="4" a="1"/>
  <c r="X346" i="4"/>
  <c r="W346" i="4" a="1"/>
  <c r="W346" i="4" s="1"/>
  <c r="V346" i="4"/>
  <c r="T346" i="4"/>
  <c r="P346" i="4" a="1"/>
  <c r="P346" i="4"/>
  <c r="O346" i="4" a="1"/>
  <c r="O346" i="4" s="1"/>
  <c r="N346" i="4"/>
  <c r="L346" i="4"/>
  <c r="H346" i="4" a="1"/>
  <c r="H346" i="4" s="1"/>
  <c r="G346" i="4" a="1"/>
  <c r="G346" i="4" s="1"/>
  <c r="F346" i="4"/>
  <c r="D346" i="4"/>
  <c r="AJ345" i="4"/>
  <c r="AB345" i="4"/>
  <c r="T345" i="4"/>
  <c r="L345" i="4"/>
  <c r="D345" i="4"/>
  <c r="AN331" i="4" a="1"/>
  <c r="AN331" i="4"/>
  <c r="AM331" i="4" a="1"/>
  <c r="AM331" i="4"/>
  <c r="AL331" i="4"/>
  <c r="AJ331" i="4"/>
  <c r="AF331" i="4" a="1"/>
  <c r="AF331" i="4"/>
  <c r="AE331" i="4" a="1"/>
  <c r="AE331" i="4"/>
  <c r="AD331" i="4"/>
  <c r="AB331" i="4"/>
  <c r="X331" i="4" a="1"/>
  <c r="X331" i="4" s="1"/>
  <c r="W331" i="4" a="1"/>
  <c r="W331" i="4"/>
  <c r="V331" i="4"/>
  <c r="T331" i="4"/>
  <c r="P331" i="4" a="1"/>
  <c r="P331" i="4"/>
  <c r="O331" i="4" a="1"/>
  <c r="O331" i="4"/>
  <c r="N331" i="4"/>
  <c r="L331" i="4"/>
  <c r="H331" i="4" a="1"/>
  <c r="H331" i="4"/>
  <c r="G331" i="4" a="1"/>
  <c r="G331" i="4"/>
  <c r="F331" i="4"/>
  <c r="D331" i="4"/>
  <c r="AJ330" i="4"/>
  <c r="AB330" i="4"/>
  <c r="T330" i="4"/>
  <c r="L330" i="4"/>
  <c r="D330" i="4"/>
  <c r="AN316" i="4" a="1"/>
  <c r="AN316" i="4"/>
  <c r="AM316" i="4" a="1"/>
  <c r="AM316" i="4"/>
  <c r="AL316" i="4"/>
  <c r="AJ316" i="4"/>
  <c r="AF316" i="4" a="1"/>
  <c r="AF316" i="4" s="1"/>
  <c r="AE316" i="4" a="1"/>
  <c r="AE316" i="4"/>
  <c r="AD316" i="4"/>
  <c r="AB316" i="4"/>
  <c r="X316" i="4" a="1"/>
  <c r="X316" i="4" s="1"/>
  <c r="W316" i="4" a="1"/>
  <c r="W316" i="4" s="1"/>
  <c r="V316" i="4"/>
  <c r="T316" i="4"/>
  <c r="P316" i="4" a="1"/>
  <c r="P316" i="4" s="1"/>
  <c r="O316" i="4" a="1"/>
  <c r="O316" i="4"/>
  <c r="N316" i="4"/>
  <c r="L316" i="4"/>
  <c r="H316" i="4" a="1"/>
  <c r="H316" i="4" s="1"/>
  <c r="G316" i="4" a="1"/>
  <c r="G316" i="4" s="1"/>
  <c r="F316" i="4"/>
  <c r="D316" i="4"/>
  <c r="AJ315" i="4"/>
  <c r="AB315" i="4"/>
  <c r="T315" i="4"/>
  <c r="L315" i="4"/>
  <c r="D315" i="4"/>
  <c r="AN301" i="4" a="1"/>
  <c r="AN301" i="4"/>
  <c r="AM301" i="4" a="1"/>
  <c r="AM301" i="4" s="1"/>
  <c r="AL301" i="4"/>
  <c r="AJ301" i="4"/>
  <c r="AF301" i="4" a="1"/>
  <c r="AF301" i="4" s="1"/>
  <c r="AE301" i="4" a="1"/>
  <c r="AE301" i="4"/>
  <c r="AD301" i="4"/>
  <c r="AB301" i="4"/>
  <c r="X301" i="4" a="1"/>
  <c r="X301" i="4"/>
  <c r="W301" i="4" a="1"/>
  <c r="W301" i="4"/>
  <c r="V301" i="4"/>
  <c r="T301" i="4"/>
  <c r="P301" i="4" a="1"/>
  <c r="P301" i="4"/>
  <c r="O301" i="4" a="1"/>
  <c r="O301" i="4"/>
  <c r="N301" i="4"/>
  <c r="L301" i="4"/>
  <c r="H301" i="4" a="1"/>
  <c r="H301" i="4"/>
  <c r="G301" i="4" a="1"/>
  <c r="G301" i="4" s="1"/>
  <c r="F301" i="4"/>
  <c r="D301" i="4"/>
  <c r="AJ300" i="4"/>
  <c r="AB300" i="4"/>
  <c r="T300" i="4"/>
  <c r="L300" i="4"/>
  <c r="D300" i="4"/>
  <c r="AN286" i="4" a="1"/>
  <c r="AN286" i="4" s="1"/>
  <c r="AM286" i="4" a="1"/>
  <c r="AM286" i="4" s="1"/>
  <c r="AL286" i="4"/>
  <c r="AJ286" i="4"/>
  <c r="AF286" i="4" a="1"/>
  <c r="AF286" i="4" s="1"/>
  <c r="AE286" i="4" a="1"/>
  <c r="AE286" i="4" s="1"/>
  <c r="AD286" i="4"/>
  <c r="AB286" i="4"/>
  <c r="X286" i="4" a="1"/>
  <c r="X286" i="4"/>
  <c r="W286" i="4" a="1"/>
  <c r="W286" i="4" s="1"/>
  <c r="V286" i="4"/>
  <c r="T286" i="4"/>
  <c r="P286" i="4" a="1"/>
  <c r="P286" i="4"/>
  <c r="O286" i="4" a="1"/>
  <c r="O286" i="4" s="1"/>
  <c r="N286" i="4"/>
  <c r="L286" i="4"/>
  <c r="H286" i="4" a="1"/>
  <c r="H286" i="4" s="1"/>
  <c r="G286" i="4" a="1"/>
  <c r="G286" i="4" s="1"/>
  <c r="F286" i="4"/>
  <c r="D286" i="4"/>
  <c r="AJ285" i="4"/>
  <c r="AB285" i="4"/>
  <c r="T285" i="4"/>
  <c r="L285" i="4"/>
  <c r="D285" i="4"/>
  <c r="AN271" i="4" a="1"/>
  <c r="AN271" i="4"/>
  <c r="AM271" i="4" a="1"/>
  <c r="AM271" i="4"/>
  <c r="AL271" i="4"/>
  <c r="AJ271" i="4"/>
  <c r="AF271" i="4" a="1"/>
  <c r="AF271" i="4"/>
  <c r="AE271" i="4" a="1"/>
  <c r="AE271" i="4"/>
  <c r="AD271" i="4"/>
  <c r="AB271" i="4"/>
  <c r="X271" i="4" a="1"/>
  <c r="X271" i="4" s="1"/>
  <c r="W271" i="4" a="1"/>
  <c r="W271" i="4"/>
  <c r="V271" i="4"/>
  <c r="T271" i="4"/>
  <c r="P271" i="4" a="1"/>
  <c r="P271" i="4"/>
  <c r="O271" i="4" a="1"/>
  <c r="O271" i="4"/>
  <c r="N271" i="4"/>
  <c r="L271" i="4"/>
  <c r="H271" i="4" a="1"/>
  <c r="H271" i="4"/>
  <c r="G271" i="4" a="1"/>
  <c r="G271" i="4"/>
  <c r="F271" i="4"/>
  <c r="D271" i="4"/>
  <c r="AJ270" i="4"/>
  <c r="AB270" i="4"/>
  <c r="T270" i="4"/>
  <c r="L270" i="4"/>
  <c r="D270" i="4"/>
  <c r="AN256" i="4" a="1"/>
  <c r="AN256" i="4"/>
  <c r="AM256" i="4" a="1"/>
  <c r="AM256" i="4"/>
  <c r="AL256" i="4"/>
  <c r="AJ256" i="4"/>
  <c r="AF256" i="4" a="1"/>
  <c r="AF256" i="4" s="1"/>
  <c r="AE256" i="4" a="1"/>
  <c r="AE256" i="4"/>
  <c r="AD256" i="4"/>
  <c r="AB256" i="4"/>
  <c r="X256" i="4" a="1"/>
  <c r="X256" i="4" s="1"/>
  <c r="W256" i="4" a="1"/>
  <c r="W256" i="4" s="1"/>
  <c r="V256" i="4"/>
  <c r="T256" i="4"/>
  <c r="P256" i="4" a="1"/>
  <c r="P256" i="4" s="1"/>
  <c r="O256" i="4" a="1"/>
  <c r="O256" i="4"/>
  <c r="N256" i="4"/>
  <c r="L256" i="4"/>
  <c r="H256" i="4" a="1"/>
  <c r="H256" i="4" s="1"/>
  <c r="G256" i="4" a="1"/>
  <c r="G256" i="4" s="1"/>
  <c r="F256" i="4"/>
  <c r="D256" i="4"/>
  <c r="AJ255" i="4"/>
  <c r="AB255" i="4"/>
  <c r="T255" i="4"/>
  <c r="L255" i="4"/>
  <c r="D255" i="4"/>
  <c r="AN241" i="4" a="1"/>
  <c r="AN241" i="4"/>
  <c r="AM241" i="4" a="1"/>
  <c r="AM241" i="4" s="1"/>
  <c r="AL241" i="4"/>
  <c r="AJ241" i="4"/>
  <c r="AF241" i="4" a="1"/>
  <c r="AF241" i="4" s="1"/>
  <c r="AE241" i="4" a="1"/>
  <c r="AE241" i="4"/>
  <c r="AD241" i="4"/>
  <c r="AB241" i="4"/>
  <c r="X241" i="4" a="1"/>
  <c r="X241" i="4"/>
  <c r="W241" i="4" a="1"/>
  <c r="W241" i="4"/>
  <c r="V241" i="4"/>
  <c r="T241" i="4"/>
  <c r="P241" i="4" a="1"/>
  <c r="P241" i="4"/>
  <c r="O241" i="4" a="1"/>
  <c r="O241" i="4"/>
  <c r="N241" i="4"/>
  <c r="L241" i="4"/>
  <c r="H241" i="4" a="1"/>
  <c r="H241" i="4"/>
  <c r="G241" i="4" a="1"/>
  <c r="G241" i="4" s="1"/>
  <c r="F241" i="4"/>
  <c r="D241" i="4"/>
  <c r="AJ240" i="4"/>
  <c r="AB240" i="4"/>
  <c r="T240" i="4"/>
  <c r="L240" i="4"/>
  <c r="D240" i="4"/>
  <c r="AN226" i="4" a="1"/>
  <c r="AN226" i="4" s="1"/>
  <c r="AM226" i="4" a="1"/>
  <c r="AM226" i="4" s="1"/>
  <c r="AL226" i="4"/>
  <c r="AJ226" i="4"/>
  <c r="AF226" i="4" a="1"/>
  <c r="AF226" i="4" s="1"/>
  <c r="AE226" i="4" a="1"/>
  <c r="AE226" i="4" s="1"/>
  <c r="AD226" i="4"/>
  <c r="AB226" i="4"/>
  <c r="X226" i="4" a="1"/>
  <c r="X226" i="4"/>
  <c r="W226" i="4" a="1"/>
  <c r="W226" i="4" s="1"/>
  <c r="V226" i="4"/>
  <c r="T226" i="4"/>
  <c r="P226" i="4" a="1"/>
  <c r="P226" i="4"/>
  <c r="O226" i="4" a="1"/>
  <c r="O226" i="4" s="1"/>
  <c r="N226" i="4"/>
  <c r="L226" i="4"/>
  <c r="H226" i="4" a="1"/>
  <c r="H226" i="4" s="1"/>
  <c r="G226" i="4" a="1"/>
  <c r="G226" i="4" s="1"/>
  <c r="F226" i="4"/>
  <c r="D226" i="4"/>
  <c r="AJ225" i="4"/>
  <c r="AB225" i="4"/>
  <c r="T225" i="4"/>
  <c r="L225" i="4"/>
  <c r="D225" i="4"/>
  <c r="AN211" i="4" a="1"/>
  <c r="AN211" i="4"/>
  <c r="AM211" i="4" a="1"/>
  <c r="AM211" i="4"/>
  <c r="AL211" i="4"/>
  <c r="AJ211" i="4"/>
  <c r="AF211" i="4" a="1"/>
  <c r="AF211" i="4"/>
  <c r="AE211" i="4" a="1"/>
  <c r="AE211" i="4"/>
  <c r="AD211" i="4"/>
  <c r="AB211" i="4"/>
  <c r="X211" i="4" a="1"/>
  <c r="X211" i="4" s="1"/>
  <c r="W211" i="4" a="1"/>
  <c r="W211" i="4"/>
  <c r="V211" i="4"/>
  <c r="T211" i="4"/>
  <c r="P211" i="4" a="1"/>
  <c r="P211" i="4"/>
  <c r="O211" i="4" a="1"/>
  <c r="O211" i="4"/>
  <c r="N211" i="4"/>
  <c r="L211" i="4"/>
  <c r="H211" i="4" a="1"/>
  <c r="H211" i="4"/>
  <c r="G211" i="4" a="1"/>
  <c r="G211" i="4"/>
  <c r="F211" i="4"/>
  <c r="D211" i="4"/>
  <c r="AJ210" i="4"/>
  <c r="AB210" i="4"/>
  <c r="T210" i="4"/>
  <c r="L210" i="4"/>
  <c r="D210" i="4"/>
  <c r="AN196" i="4" a="1"/>
  <c r="AN196" i="4"/>
  <c r="AM196" i="4" a="1"/>
  <c r="AM196" i="4"/>
  <c r="AL196" i="4"/>
  <c r="AJ196" i="4"/>
  <c r="AF196" i="4" a="1"/>
  <c r="AF196" i="4" s="1"/>
  <c r="AE196" i="4" a="1"/>
  <c r="AE196" i="4"/>
  <c r="AD196" i="4"/>
  <c r="AB196" i="4"/>
  <c r="X196" i="4" a="1"/>
  <c r="X196" i="4" s="1"/>
  <c r="W196" i="4" a="1"/>
  <c r="W196" i="4" s="1"/>
  <c r="V196" i="4"/>
  <c r="T196" i="4"/>
  <c r="P196" i="4" a="1"/>
  <c r="P196" i="4" s="1"/>
  <c r="O196" i="4" a="1"/>
  <c r="O196" i="4"/>
  <c r="N196" i="4"/>
  <c r="L196" i="4"/>
  <c r="H196" i="4" a="1"/>
  <c r="H196" i="4" s="1"/>
  <c r="G196" i="4" a="1"/>
  <c r="G196" i="4" s="1"/>
  <c r="F196" i="4"/>
  <c r="D196" i="4"/>
  <c r="AJ195" i="4"/>
  <c r="AB195" i="4"/>
  <c r="T195" i="4"/>
  <c r="L195" i="4"/>
  <c r="D195" i="4"/>
  <c r="AN181" i="4" a="1"/>
  <c r="AN181" i="4"/>
  <c r="AM181" i="4" a="1"/>
  <c r="AM181" i="4" s="1"/>
  <c r="AL181" i="4"/>
  <c r="AJ181" i="4"/>
  <c r="AF181" i="4" a="1"/>
  <c r="AF181" i="4" s="1"/>
  <c r="AE181" i="4" a="1"/>
  <c r="AE181" i="4"/>
  <c r="AD181" i="4"/>
  <c r="AB181" i="4"/>
  <c r="X181" i="4" a="1"/>
  <c r="X181" i="4"/>
  <c r="W181" i="4" a="1"/>
  <c r="W181" i="4"/>
  <c r="V181" i="4"/>
  <c r="T181" i="4"/>
  <c r="P181" i="4" a="1"/>
  <c r="P181" i="4"/>
  <c r="O181" i="4" a="1"/>
  <c r="O181" i="4"/>
  <c r="N181" i="4"/>
  <c r="L181" i="4"/>
  <c r="H181" i="4" a="1"/>
  <c r="H181" i="4"/>
  <c r="G181" i="4" a="1"/>
  <c r="G181" i="4" s="1"/>
  <c r="F181" i="4"/>
  <c r="D181" i="4"/>
  <c r="AJ180" i="4"/>
  <c r="AB180" i="4"/>
  <c r="T180" i="4"/>
  <c r="L180" i="4"/>
  <c r="D180" i="4"/>
  <c r="AN166" i="4" a="1"/>
  <c r="AN166" i="4" s="1"/>
  <c r="AM166" i="4" a="1"/>
  <c r="AM166" i="4" s="1"/>
  <c r="AL166" i="4"/>
  <c r="AJ166" i="4"/>
  <c r="AF166" i="4" a="1"/>
  <c r="AF166" i="4" s="1"/>
  <c r="AE166" i="4" a="1"/>
  <c r="AE166" i="4" s="1"/>
  <c r="AD166" i="4"/>
  <c r="AB166" i="4"/>
  <c r="X166" i="4" a="1"/>
  <c r="X166" i="4"/>
  <c r="W166" i="4" a="1"/>
  <c r="W166" i="4" s="1"/>
  <c r="V166" i="4"/>
  <c r="T166" i="4"/>
  <c r="P166" i="4" a="1"/>
  <c r="P166" i="4"/>
  <c r="O166" i="4" a="1"/>
  <c r="O166" i="4" s="1"/>
  <c r="N166" i="4"/>
  <c r="L166" i="4"/>
  <c r="H166" i="4" a="1"/>
  <c r="H166" i="4" s="1"/>
  <c r="G166" i="4" a="1"/>
  <c r="G166" i="4" s="1"/>
  <c r="F166" i="4"/>
  <c r="D166" i="4"/>
  <c r="AJ165" i="4"/>
  <c r="AB165" i="4"/>
  <c r="T165" i="4"/>
  <c r="L165" i="4"/>
  <c r="D165" i="4"/>
  <c r="AN151" i="4" a="1"/>
  <c r="AN151" i="4"/>
  <c r="AM151" i="4" a="1"/>
  <c r="AM151" i="4"/>
  <c r="AL151" i="4"/>
  <c r="AJ151" i="4"/>
  <c r="AF151" i="4" a="1"/>
  <c r="AF151" i="4"/>
  <c r="AE151" i="4" a="1"/>
  <c r="AE151" i="4"/>
  <c r="AD151" i="4"/>
  <c r="AB151" i="4"/>
  <c r="X151" i="4" a="1"/>
  <c r="X151" i="4" s="1"/>
  <c r="W151" i="4" a="1"/>
  <c r="W151" i="4"/>
  <c r="V151" i="4"/>
  <c r="T151" i="4"/>
  <c r="P151" i="4" a="1"/>
  <c r="P151" i="4"/>
  <c r="O151" i="4" a="1"/>
  <c r="O151" i="4"/>
  <c r="N151" i="4"/>
  <c r="L151" i="4"/>
  <c r="H151" i="4" a="1"/>
  <c r="H151" i="4"/>
  <c r="G151" i="4" a="1"/>
  <c r="G151" i="4"/>
  <c r="F151" i="4"/>
  <c r="D151" i="4"/>
  <c r="AJ150" i="4"/>
  <c r="AB150" i="4"/>
  <c r="T150" i="4"/>
  <c r="L150" i="4"/>
  <c r="D150" i="4"/>
  <c r="AN136" i="4" a="1"/>
  <c r="AN136" i="4"/>
  <c r="AM136" i="4" a="1"/>
  <c r="AM136" i="4"/>
  <c r="AL136" i="4"/>
  <c r="AJ136" i="4"/>
  <c r="AF136" i="4" a="1"/>
  <c r="AF136" i="4" s="1"/>
  <c r="AE136" i="4" a="1"/>
  <c r="AE136" i="4"/>
  <c r="AD136" i="4"/>
  <c r="AB136" i="4"/>
  <c r="X136" i="4" a="1"/>
  <c r="X136" i="4" s="1"/>
  <c r="W136" i="4" a="1"/>
  <c r="W136" i="4" s="1"/>
  <c r="V136" i="4"/>
  <c r="T136" i="4"/>
  <c r="P136" i="4" a="1"/>
  <c r="P136" i="4" s="1"/>
  <c r="O136" i="4" a="1"/>
  <c r="O136" i="4"/>
  <c r="N136" i="4"/>
  <c r="L136" i="4"/>
  <c r="H136" i="4" a="1"/>
  <c r="H136" i="4" s="1"/>
  <c r="G136" i="4" a="1"/>
  <c r="G136" i="4" s="1"/>
  <c r="F136" i="4"/>
  <c r="D136" i="4"/>
  <c r="AJ135" i="4"/>
  <c r="AB135" i="4"/>
  <c r="T135" i="4"/>
  <c r="L135" i="4"/>
  <c r="D135" i="4"/>
  <c r="AN121" i="4" a="1"/>
  <c r="AN121" i="4"/>
  <c r="AM121" i="4" a="1"/>
  <c r="AM121" i="4" s="1"/>
  <c r="AL121" i="4"/>
  <c r="AJ121" i="4"/>
  <c r="AF121" i="4" a="1"/>
  <c r="AF121" i="4" s="1"/>
  <c r="AE121" i="4" a="1"/>
  <c r="AE121" i="4"/>
  <c r="AD121" i="4"/>
  <c r="AB121" i="4"/>
  <c r="X121" i="4" a="1"/>
  <c r="X121" i="4"/>
  <c r="W121" i="4" a="1"/>
  <c r="W121" i="4"/>
  <c r="V121" i="4"/>
  <c r="T121" i="4"/>
  <c r="P121" i="4" a="1"/>
  <c r="P121" i="4"/>
  <c r="O121" i="4" a="1"/>
  <c r="O121" i="4"/>
  <c r="N121" i="4"/>
  <c r="L121" i="4"/>
  <c r="H121" i="4" a="1"/>
  <c r="H121" i="4"/>
  <c r="G121" i="4" a="1"/>
  <c r="G121" i="4" s="1"/>
  <c r="F121" i="4"/>
  <c r="D121" i="4"/>
  <c r="AJ120" i="4"/>
  <c r="AB120" i="4"/>
  <c r="T120" i="4"/>
  <c r="L120" i="4"/>
  <c r="D120" i="4"/>
  <c r="AN106" i="4" a="1"/>
  <c r="AN106" i="4" s="1"/>
  <c r="AM106" i="4" a="1"/>
  <c r="AM106" i="4" s="1"/>
  <c r="AL106" i="4"/>
  <c r="AJ106" i="4"/>
  <c r="AF106" i="4" a="1"/>
  <c r="AF106" i="4" s="1"/>
  <c r="AE106" i="4" a="1"/>
  <c r="AE106" i="4" s="1"/>
  <c r="AD106" i="4"/>
  <c r="AB106" i="4"/>
  <c r="X106" i="4" a="1"/>
  <c r="X106" i="4"/>
  <c r="W106" i="4" a="1"/>
  <c r="W106" i="4" s="1"/>
  <c r="V106" i="4"/>
  <c r="T106" i="4"/>
  <c r="P106" i="4" a="1"/>
  <c r="P106" i="4"/>
  <c r="O106" i="4" a="1"/>
  <c r="O106" i="4" s="1"/>
  <c r="N106" i="4"/>
  <c r="L106" i="4"/>
  <c r="H106" i="4" a="1"/>
  <c r="H106" i="4" s="1"/>
  <c r="G106" i="4" a="1"/>
  <c r="G106" i="4" s="1"/>
  <c r="F106" i="4"/>
  <c r="D106" i="4"/>
  <c r="AJ105" i="4"/>
  <c r="AB105" i="4"/>
  <c r="T105" i="4"/>
  <c r="L105" i="4"/>
  <c r="D105" i="4"/>
  <c r="AN91" i="4" a="1"/>
  <c r="AN91" i="4"/>
  <c r="AM91" i="4" a="1"/>
  <c r="AM91" i="4"/>
  <c r="AL91" i="4"/>
  <c r="AJ91" i="4"/>
  <c r="AF91" i="4" a="1"/>
  <c r="AF91" i="4"/>
  <c r="AE91" i="4" a="1"/>
  <c r="AE91" i="4"/>
  <c r="AD91" i="4"/>
  <c r="AB91" i="4"/>
  <c r="X91" i="4" a="1"/>
  <c r="X91" i="4" s="1"/>
  <c r="W91" i="4" a="1"/>
  <c r="W91" i="4"/>
  <c r="V91" i="4"/>
  <c r="T91" i="4"/>
  <c r="P91" i="4" a="1"/>
  <c r="P91" i="4"/>
  <c r="O91" i="4" a="1"/>
  <c r="O91" i="4"/>
  <c r="N91" i="4"/>
  <c r="L91" i="4"/>
  <c r="H91" i="4" a="1"/>
  <c r="H91" i="4"/>
  <c r="G91" i="4" a="1"/>
  <c r="G91" i="4"/>
  <c r="F91" i="4"/>
  <c r="D91" i="4"/>
  <c r="AJ90" i="4"/>
  <c r="AB90" i="4"/>
  <c r="T90" i="4"/>
  <c r="L90" i="4"/>
  <c r="D90" i="4"/>
  <c r="AN76" i="4" a="1"/>
  <c r="AN76" i="4"/>
  <c r="AM76" i="4" a="1"/>
  <c r="AM76" i="4"/>
  <c r="AL76" i="4"/>
  <c r="AJ76" i="4"/>
  <c r="AF76" i="4" a="1"/>
  <c r="AF76" i="4" s="1"/>
  <c r="AE76" i="4" a="1"/>
  <c r="AE76" i="4"/>
  <c r="AD76" i="4"/>
  <c r="AB76" i="4"/>
  <c r="X76" i="4" a="1"/>
  <c r="X76" i="4" s="1"/>
  <c r="W76" i="4" a="1"/>
  <c r="W76" i="4" s="1"/>
  <c r="V76" i="4"/>
  <c r="T76" i="4"/>
  <c r="P76" i="4" a="1"/>
  <c r="P76" i="4" s="1"/>
  <c r="O76" i="4" a="1"/>
  <c r="O76" i="4"/>
  <c r="N76" i="4"/>
  <c r="L76" i="4"/>
  <c r="H76" i="4" a="1"/>
  <c r="H76" i="4" s="1"/>
  <c r="G76" i="4" a="1"/>
  <c r="G76" i="4" s="1"/>
  <c r="F76" i="4"/>
  <c r="D76" i="4"/>
  <c r="AJ75" i="4"/>
  <c r="AB75" i="4"/>
  <c r="T75" i="4"/>
  <c r="L75" i="4"/>
  <c r="D75" i="4"/>
  <c r="AN61" i="4" a="1"/>
  <c r="AN61" i="4"/>
  <c r="AM61" i="4" a="1"/>
  <c r="AM61" i="4" s="1"/>
  <c r="AL61" i="4"/>
  <c r="AJ61" i="4"/>
  <c r="AF61" i="4" a="1"/>
  <c r="AF61" i="4" s="1"/>
  <c r="AE61" i="4" a="1"/>
  <c r="AE61" i="4"/>
  <c r="AD61" i="4"/>
  <c r="AB61" i="4"/>
  <c r="X61" i="4" a="1"/>
  <c r="X61" i="4"/>
  <c r="W61" i="4" a="1"/>
  <c r="W61" i="4"/>
  <c r="V61" i="4"/>
  <c r="T61" i="4"/>
  <c r="P61" i="4" a="1"/>
  <c r="P61" i="4"/>
  <c r="O61" i="4" a="1"/>
  <c r="O61" i="4"/>
  <c r="N61" i="4"/>
  <c r="L61" i="4"/>
  <c r="H61" i="4" a="1"/>
  <c r="H61" i="4"/>
  <c r="G61" i="4" a="1"/>
  <c r="G61" i="4" s="1"/>
  <c r="F61" i="4"/>
  <c r="D61" i="4"/>
  <c r="AJ60" i="4"/>
  <c r="AB60" i="4"/>
  <c r="T60" i="4"/>
  <c r="L60" i="4"/>
  <c r="D60" i="4"/>
  <c r="AN46" i="4" a="1"/>
  <c r="AN46" i="4" s="1"/>
  <c r="AM46" i="4" a="1"/>
  <c r="AM46" i="4" s="1"/>
  <c r="AL46" i="4"/>
  <c r="AJ46" i="4"/>
  <c r="AF46" i="4" a="1"/>
  <c r="AF46" i="4" s="1"/>
  <c r="AE46" i="4" a="1"/>
  <c r="AE46" i="4" s="1"/>
  <c r="AD46" i="4"/>
  <c r="AB46" i="4"/>
  <c r="X46" i="4" a="1"/>
  <c r="X46" i="4"/>
  <c r="W46" i="4" a="1"/>
  <c r="W46" i="4" s="1"/>
  <c r="V46" i="4"/>
  <c r="T46" i="4"/>
  <c r="P46" i="4" a="1"/>
  <c r="P46" i="4"/>
  <c r="O46" i="4" a="1"/>
  <c r="O46" i="4" s="1"/>
  <c r="N46" i="4"/>
  <c r="L46" i="4"/>
  <c r="H46" i="4" a="1"/>
  <c r="H46" i="4" s="1"/>
  <c r="G46" i="4" a="1"/>
  <c r="G46" i="4" s="1"/>
  <c r="F46" i="4"/>
  <c r="D46" i="4"/>
  <c r="AJ45" i="4"/>
  <c r="AB45" i="4"/>
  <c r="T45" i="4"/>
  <c r="L45" i="4"/>
  <c r="D45" i="4"/>
  <c r="AN31" i="4" a="1"/>
  <c r="AN31" i="4"/>
  <c r="AM31" i="4" a="1"/>
  <c r="AM31" i="4"/>
  <c r="AL31" i="4"/>
  <c r="AJ31" i="4"/>
  <c r="AF31" i="4" a="1"/>
  <c r="AF31" i="4"/>
  <c r="AE31" i="4" a="1"/>
  <c r="AE31" i="4"/>
  <c r="AD31" i="4"/>
  <c r="AB31" i="4"/>
  <c r="X31" i="4" a="1"/>
  <c r="X31" i="4" s="1"/>
  <c r="W31" i="4" a="1"/>
  <c r="W31" i="4"/>
  <c r="V31" i="4"/>
  <c r="T31" i="4"/>
  <c r="P31" i="4" a="1"/>
  <c r="P31" i="4"/>
  <c r="O31" i="4" a="1"/>
  <c r="O31" i="4"/>
  <c r="N31" i="4"/>
  <c r="L31" i="4"/>
  <c r="H31" i="4" a="1"/>
  <c r="H31" i="4"/>
  <c r="G31" i="4" a="1"/>
  <c r="G31" i="4"/>
  <c r="F31" i="4"/>
  <c r="D31" i="4"/>
  <c r="AJ30" i="4"/>
  <c r="AB30" i="4"/>
  <c r="T30" i="4"/>
  <c r="L30" i="4"/>
  <c r="D30" i="4"/>
  <c r="AN16" i="4" a="1"/>
  <c r="AN16" i="4"/>
  <c r="AM16" i="4" a="1"/>
  <c r="AM16" i="4"/>
  <c r="AL16" i="4"/>
  <c r="AJ16" i="4"/>
  <c r="AF16" i="4" a="1"/>
  <c r="AF16" i="4" s="1"/>
  <c r="AE16" i="4" a="1"/>
  <c r="AE16" i="4"/>
  <c r="AD16" i="4"/>
  <c r="AB16" i="4"/>
  <c r="X16" i="4" a="1"/>
  <c r="X16" i="4" s="1"/>
  <c r="W16" i="4" a="1"/>
  <c r="W16" i="4" s="1"/>
  <c r="V16" i="4"/>
  <c r="T16" i="4"/>
  <c r="P16" i="4" a="1"/>
  <c r="P16" i="4" s="1"/>
  <c r="O16" i="4" a="1"/>
  <c r="O16" i="4"/>
  <c r="N16" i="4"/>
  <c r="L16" i="4"/>
  <c r="H16" i="4" a="1"/>
  <c r="H16" i="4" s="1"/>
  <c r="G16" i="4" a="1"/>
  <c r="G16" i="4" s="1"/>
  <c r="F16" i="4"/>
  <c r="D16" i="4"/>
  <c r="AJ15" i="4"/>
  <c r="AB15" i="4"/>
  <c r="T15" i="4"/>
  <c r="L15" i="4"/>
  <c r="D15" i="4"/>
  <c r="AN601" i="3" a="1"/>
  <c r="AN601" i="3"/>
  <c r="AM601" i="3" a="1"/>
  <c r="AM601" i="3" s="1"/>
  <c r="AL601" i="3"/>
  <c r="AJ601" i="3"/>
  <c r="AF601" i="3" a="1"/>
  <c r="AF601" i="3" s="1"/>
  <c r="AE601" i="3" a="1"/>
  <c r="AE601" i="3"/>
  <c r="AD601" i="3"/>
  <c r="AB601" i="3"/>
  <c r="X601" i="3" a="1"/>
  <c r="X601" i="3"/>
  <c r="W601" i="3" a="1"/>
  <c r="W601" i="3"/>
  <c r="V601" i="3"/>
  <c r="T601" i="3"/>
  <c r="P601" i="3" a="1"/>
  <c r="P601" i="3"/>
  <c r="O601" i="3" a="1"/>
  <c r="O601" i="3"/>
  <c r="N601" i="3"/>
  <c r="L601" i="3"/>
  <c r="H601" i="3" a="1"/>
  <c r="H601" i="3"/>
  <c r="G601" i="3" a="1"/>
  <c r="G601" i="3" s="1"/>
  <c r="F601" i="3"/>
  <c r="D601" i="3"/>
  <c r="AJ600" i="3"/>
  <c r="AB600" i="3"/>
  <c r="T600" i="3"/>
  <c r="L600" i="3"/>
  <c r="D600" i="3"/>
  <c r="AN586" i="3" a="1"/>
  <c r="AN586" i="3" s="1"/>
  <c r="AM586" i="3" a="1"/>
  <c r="AM586" i="3" s="1"/>
  <c r="AL586" i="3"/>
  <c r="AJ586" i="3"/>
  <c r="AF586" i="3" a="1"/>
  <c r="AF586" i="3" s="1"/>
  <c r="AE586" i="3" a="1"/>
  <c r="AE586" i="3" s="1"/>
  <c r="AD586" i="3"/>
  <c r="AB586" i="3"/>
  <c r="X586" i="3" a="1"/>
  <c r="X586" i="3"/>
  <c r="W586" i="3" a="1"/>
  <c r="W586" i="3" s="1"/>
  <c r="V586" i="3"/>
  <c r="T586" i="3"/>
  <c r="P586" i="3" a="1"/>
  <c r="P586" i="3"/>
  <c r="O586" i="3" a="1"/>
  <c r="O586" i="3" s="1"/>
  <c r="N586" i="3"/>
  <c r="L586" i="3"/>
  <c r="H586" i="3" a="1"/>
  <c r="H586" i="3" s="1"/>
  <c r="G586" i="3" a="1"/>
  <c r="G586" i="3" s="1"/>
  <c r="F586" i="3"/>
  <c r="D586" i="3"/>
  <c r="AJ585" i="3"/>
  <c r="AB585" i="3"/>
  <c r="T585" i="3"/>
  <c r="L585" i="3"/>
  <c r="D585" i="3"/>
  <c r="AN571" i="3" a="1"/>
  <c r="AN571" i="3"/>
  <c r="AM571" i="3" a="1"/>
  <c r="AM571" i="3"/>
  <c r="AL571" i="3"/>
  <c r="AJ571" i="3"/>
  <c r="AF571" i="3" a="1"/>
  <c r="AF571" i="3"/>
  <c r="AE571" i="3" a="1"/>
  <c r="AE571" i="3"/>
  <c r="AD571" i="3"/>
  <c r="AB571" i="3"/>
  <c r="X571" i="3" a="1"/>
  <c r="X571" i="3" s="1"/>
  <c r="W571" i="3" a="1"/>
  <c r="W571" i="3"/>
  <c r="V571" i="3"/>
  <c r="T571" i="3"/>
  <c r="P571" i="3" a="1"/>
  <c r="P571" i="3"/>
  <c r="O571" i="3" a="1"/>
  <c r="O571" i="3"/>
  <c r="N571" i="3"/>
  <c r="L571" i="3"/>
  <c r="H571" i="3" a="1"/>
  <c r="H571" i="3"/>
  <c r="G571" i="3" a="1"/>
  <c r="G571" i="3"/>
  <c r="F571" i="3"/>
  <c r="D571" i="3"/>
  <c r="AJ570" i="3"/>
  <c r="AB570" i="3"/>
  <c r="T570" i="3"/>
  <c r="L570" i="3"/>
  <c r="D570" i="3"/>
  <c r="AN556" i="3" a="1"/>
  <c r="AN556" i="3"/>
  <c r="AM556" i="3" a="1"/>
  <c r="AM556" i="3"/>
  <c r="AL556" i="3"/>
  <c r="AJ556" i="3"/>
  <c r="AF556" i="3" a="1"/>
  <c r="AF556" i="3" s="1"/>
  <c r="AE556" i="3" a="1"/>
  <c r="AE556" i="3"/>
  <c r="AD556" i="3"/>
  <c r="AB556" i="3"/>
  <c r="X556" i="3" a="1"/>
  <c r="X556" i="3" s="1"/>
  <c r="W556" i="3" a="1"/>
  <c r="W556" i="3" s="1"/>
  <c r="V556" i="3"/>
  <c r="T556" i="3"/>
  <c r="P556" i="3" a="1"/>
  <c r="P556" i="3" s="1"/>
  <c r="O556" i="3" a="1"/>
  <c r="O556" i="3"/>
  <c r="N556" i="3"/>
  <c r="L556" i="3"/>
  <c r="H556" i="3" a="1"/>
  <c r="H556" i="3" s="1"/>
  <c r="G556" i="3" a="1"/>
  <c r="G556" i="3" s="1"/>
  <c r="F556" i="3"/>
  <c r="D556" i="3"/>
  <c r="AJ555" i="3"/>
  <c r="AB555" i="3"/>
  <c r="T555" i="3"/>
  <c r="L555" i="3"/>
  <c r="D555" i="3"/>
  <c r="AN541" i="3" a="1"/>
  <c r="AN541" i="3"/>
  <c r="AM541" i="3" a="1"/>
  <c r="AM541" i="3" s="1"/>
  <c r="AL541" i="3"/>
  <c r="AJ541" i="3"/>
  <c r="AF541" i="3" a="1"/>
  <c r="AF541" i="3" s="1"/>
  <c r="AE541" i="3" a="1"/>
  <c r="AE541" i="3"/>
  <c r="AD541" i="3"/>
  <c r="AB541" i="3"/>
  <c r="X541" i="3" a="1"/>
  <c r="X541" i="3"/>
  <c r="W541" i="3" a="1"/>
  <c r="W541" i="3"/>
  <c r="V541" i="3"/>
  <c r="T541" i="3"/>
  <c r="P541" i="3" a="1"/>
  <c r="P541" i="3"/>
  <c r="O541" i="3" a="1"/>
  <c r="O541" i="3"/>
  <c r="N541" i="3"/>
  <c r="L541" i="3"/>
  <c r="H541" i="3" a="1"/>
  <c r="H541" i="3"/>
  <c r="G541" i="3" a="1"/>
  <c r="G541" i="3" s="1"/>
  <c r="F541" i="3"/>
  <c r="D541" i="3"/>
  <c r="AJ540" i="3"/>
  <c r="AB540" i="3"/>
  <c r="T540" i="3"/>
  <c r="L540" i="3"/>
  <c r="D540" i="3"/>
  <c r="AN526" i="3" a="1"/>
  <c r="AN526" i="3" s="1"/>
  <c r="AM526" i="3" a="1"/>
  <c r="AM526" i="3" s="1"/>
  <c r="AL526" i="3"/>
  <c r="AJ526" i="3"/>
  <c r="AF526" i="3" a="1"/>
  <c r="AF526" i="3" s="1"/>
  <c r="AE526" i="3" a="1"/>
  <c r="AE526" i="3" s="1"/>
  <c r="AD526" i="3"/>
  <c r="AB526" i="3"/>
  <c r="X526" i="3" a="1"/>
  <c r="X526" i="3"/>
  <c r="W526" i="3" a="1"/>
  <c r="W526" i="3" s="1"/>
  <c r="V526" i="3"/>
  <c r="T526" i="3"/>
  <c r="P526" i="3" a="1"/>
  <c r="P526" i="3"/>
  <c r="O526" i="3" a="1"/>
  <c r="O526" i="3" s="1"/>
  <c r="N526" i="3"/>
  <c r="L526" i="3"/>
  <c r="H526" i="3" a="1"/>
  <c r="H526" i="3" s="1"/>
  <c r="G526" i="3" a="1"/>
  <c r="G526" i="3" s="1"/>
  <c r="F526" i="3"/>
  <c r="D526" i="3"/>
  <c r="AJ525" i="3"/>
  <c r="AB525" i="3"/>
  <c r="T525" i="3"/>
  <c r="L525" i="3"/>
  <c r="D525" i="3"/>
  <c r="AN511" i="3" a="1"/>
  <c r="AN511" i="3"/>
  <c r="AM511" i="3" a="1"/>
  <c r="AM511" i="3"/>
  <c r="AL511" i="3"/>
  <c r="AJ511" i="3"/>
  <c r="AF511" i="3" a="1"/>
  <c r="AF511" i="3"/>
  <c r="AE511" i="3" a="1"/>
  <c r="AE511" i="3"/>
  <c r="AD511" i="3"/>
  <c r="AB511" i="3"/>
  <c r="X511" i="3" a="1"/>
  <c r="X511" i="3" s="1"/>
  <c r="W511" i="3" a="1"/>
  <c r="W511" i="3"/>
  <c r="V511" i="3"/>
  <c r="T511" i="3"/>
  <c r="P511" i="3" a="1"/>
  <c r="P511" i="3"/>
  <c r="O511" i="3" a="1"/>
  <c r="O511" i="3"/>
  <c r="N511" i="3"/>
  <c r="L511" i="3"/>
  <c r="H511" i="3" a="1"/>
  <c r="H511" i="3"/>
  <c r="G511" i="3" a="1"/>
  <c r="G511" i="3"/>
  <c r="F511" i="3"/>
  <c r="D511" i="3"/>
  <c r="AJ510" i="3"/>
  <c r="AB510" i="3"/>
  <c r="T510" i="3"/>
  <c r="L510" i="3"/>
  <c r="D510" i="3"/>
  <c r="AN496" i="3" a="1"/>
  <c r="AN496" i="3"/>
  <c r="AM496" i="3" a="1"/>
  <c r="AM496" i="3"/>
  <c r="AL496" i="3"/>
  <c r="AJ496" i="3"/>
  <c r="AF496" i="3" a="1"/>
  <c r="AF496" i="3" s="1"/>
  <c r="AE496" i="3" a="1"/>
  <c r="AE496" i="3"/>
  <c r="AD496" i="3"/>
  <c r="AB496" i="3"/>
  <c r="X496" i="3" a="1"/>
  <c r="X496" i="3" s="1"/>
  <c r="W496" i="3" a="1"/>
  <c r="W496" i="3" s="1"/>
  <c r="V496" i="3"/>
  <c r="T496" i="3"/>
  <c r="P496" i="3" a="1"/>
  <c r="P496" i="3" s="1"/>
  <c r="O496" i="3" a="1"/>
  <c r="O496" i="3"/>
  <c r="N496" i="3"/>
  <c r="L496" i="3"/>
  <c r="H496" i="3" a="1"/>
  <c r="H496" i="3" s="1"/>
  <c r="G496" i="3" a="1"/>
  <c r="G496" i="3" s="1"/>
  <c r="F496" i="3"/>
  <c r="D496" i="3"/>
  <c r="AJ495" i="3"/>
  <c r="AB495" i="3"/>
  <c r="T495" i="3"/>
  <c r="L495" i="3"/>
  <c r="D495" i="3"/>
  <c r="AN481" i="3" a="1"/>
  <c r="AN481" i="3"/>
  <c r="AM481" i="3" a="1"/>
  <c r="AM481" i="3" s="1"/>
  <c r="AL481" i="3"/>
  <c r="AJ481" i="3"/>
  <c r="AF481" i="3" a="1"/>
  <c r="AF481" i="3" s="1"/>
  <c r="AE481" i="3" a="1"/>
  <c r="AE481" i="3"/>
  <c r="AD481" i="3"/>
  <c r="AB481" i="3"/>
  <c r="X481" i="3" a="1"/>
  <c r="X481" i="3"/>
  <c r="W481" i="3" a="1"/>
  <c r="W481" i="3"/>
  <c r="V481" i="3"/>
  <c r="T481" i="3"/>
  <c r="P481" i="3" a="1"/>
  <c r="P481" i="3"/>
  <c r="O481" i="3" a="1"/>
  <c r="O481" i="3"/>
  <c r="N481" i="3"/>
  <c r="L481" i="3"/>
  <c r="H481" i="3" a="1"/>
  <c r="H481" i="3"/>
  <c r="G481" i="3" a="1"/>
  <c r="G481" i="3" s="1"/>
  <c r="F481" i="3"/>
  <c r="D481" i="3"/>
  <c r="AJ480" i="3"/>
  <c r="AB480" i="3"/>
  <c r="T480" i="3"/>
  <c r="L480" i="3"/>
  <c r="D480" i="3"/>
  <c r="AN466" i="3" a="1"/>
  <c r="AN466" i="3" s="1"/>
  <c r="AM466" i="3" a="1"/>
  <c r="AM466" i="3" s="1"/>
  <c r="AL466" i="3"/>
  <c r="AJ466" i="3"/>
  <c r="AF466" i="3" a="1"/>
  <c r="AF466" i="3" s="1"/>
  <c r="AE466" i="3" a="1"/>
  <c r="AE466" i="3" s="1"/>
  <c r="AD466" i="3"/>
  <c r="AB466" i="3"/>
  <c r="X466" i="3" a="1"/>
  <c r="X466" i="3"/>
  <c r="W466" i="3" a="1"/>
  <c r="W466" i="3" s="1"/>
  <c r="V466" i="3"/>
  <c r="T466" i="3"/>
  <c r="P466" i="3" a="1"/>
  <c r="P466" i="3"/>
  <c r="O466" i="3" a="1"/>
  <c r="O466" i="3" s="1"/>
  <c r="N466" i="3"/>
  <c r="L466" i="3"/>
  <c r="H466" i="3" a="1"/>
  <c r="H466" i="3" s="1"/>
  <c r="G466" i="3" a="1"/>
  <c r="G466" i="3" s="1"/>
  <c r="F466" i="3"/>
  <c r="D466" i="3"/>
  <c r="AJ465" i="3"/>
  <c r="AB465" i="3"/>
  <c r="T465" i="3"/>
  <c r="L465" i="3"/>
  <c r="D465" i="3"/>
  <c r="AN451" i="3" a="1"/>
  <c r="AN451" i="3"/>
  <c r="AM451" i="3" a="1"/>
  <c r="AM451" i="3"/>
  <c r="AL451" i="3"/>
  <c r="AJ451" i="3"/>
  <c r="AF451" i="3" a="1"/>
  <c r="AF451" i="3"/>
  <c r="AE451" i="3" a="1"/>
  <c r="AE451" i="3"/>
  <c r="AD451" i="3"/>
  <c r="AB451" i="3"/>
  <c r="X451" i="3" a="1"/>
  <c r="X451" i="3" s="1"/>
  <c r="W451" i="3" a="1"/>
  <c r="W451" i="3"/>
  <c r="V451" i="3"/>
  <c r="T451" i="3"/>
  <c r="P451" i="3" a="1"/>
  <c r="P451" i="3"/>
  <c r="O451" i="3" a="1"/>
  <c r="O451" i="3"/>
  <c r="N451" i="3"/>
  <c r="L451" i="3"/>
  <c r="H451" i="3" a="1"/>
  <c r="H451" i="3"/>
  <c r="G451" i="3" a="1"/>
  <c r="G451" i="3"/>
  <c r="F451" i="3"/>
  <c r="D451" i="3"/>
  <c r="AJ450" i="3"/>
  <c r="AB450" i="3"/>
  <c r="T450" i="3"/>
  <c r="L450" i="3"/>
  <c r="D450" i="3"/>
  <c r="AN436" i="3" a="1"/>
  <c r="AN436" i="3"/>
  <c r="AM436" i="3" a="1"/>
  <c r="AM436" i="3"/>
  <c r="AL436" i="3"/>
  <c r="AJ436" i="3"/>
  <c r="AF436" i="3" a="1"/>
  <c r="AF436" i="3" s="1"/>
  <c r="AE436" i="3" a="1"/>
  <c r="AE436" i="3"/>
  <c r="AD436" i="3"/>
  <c r="AB436" i="3"/>
  <c r="X436" i="3" a="1"/>
  <c r="X436" i="3" s="1"/>
  <c r="W436" i="3" a="1"/>
  <c r="W436" i="3" s="1"/>
  <c r="V436" i="3"/>
  <c r="T436" i="3"/>
  <c r="P436" i="3" a="1"/>
  <c r="P436" i="3" s="1"/>
  <c r="O436" i="3" a="1"/>
  <c r="O436" i="3"/>
  <c r="N436" i="3"/>
  <c r="L436" i="3"/>
  <c r="H436" i="3" a="1"/>
  <c r="H436" i="3" s="1"/>
  <c r="G436" i="3" a="1"/>
  <c r="G436" i="3" s="1"/>
  <c r="F436" i="3"/>
  <c r="D436" i="3"/>
  <c r="AJ435" i="3"/>
  <c r="AB435" i="3"/>
  <c r="T435" i="3"/>
  <c r="L435" i="3"/>
  <c r="D435" i="3"/>
  <c r="AN421" i="3" a="1"/>
  <c r="AN421" i="3"/>
  <c r="AM421" i="3" a="1"/>
  <c r="AM421" i="3" s="1"/>
  <c r="AL421" i="3"/>
  <c r="AJ421" i="3"/>
  <c r="AF421" i="3" a="1"/>
  <c r="AF421" i="3" s="1"/>
  <c r="AE421" i="3" a="1"/>
  <c r="AE421" i="3"/>
  <c r="AD421" i="3"/>
  <c r="AB421" i="3"/>
  <c r="X421" i="3" a="1"/>
  <c r="X421" i="3"/>
  <c r="W421" i="3" a="1"/>
  <c r="W421" i="3"/>
  <c r="V421" i="3"/>
  <c r="T421" i="3"/>
  <c r="P421" i="3" a="1"/>
  <c r="P421" i="3"/>
  <c r="O421" i="3" a="1"/>
  <c r="O421" i="3"/>
  <c r="N421" i="3"/>
  <c r="L421" i="3"/>
  <c r="H421" i="3" a="1"/>
  <c r="H421" i="3"/>
  <c r="G421" i="3" a="1"/>
  <c r="G421" i="3" s="1"/>
  <c r="F421" i="3"/>
  <c r="D421" i="3"/>
  <c r="AJ420" i="3"/>
  <c r="AB420" i="3"/>
  <c r="T420" i="3"/>
  <c r="L420" i="3"/>
  <c r="D420" i="3"/>
  <c r="AN406" i="3" a="1"/>
  <c r="AN406" i="3" s="1"/>
  <c r="AM406" i="3" a="1"/>
  <c r="AM406" i="3" s="1"/>
  <c r="AL406" i="3"/>
  <c r="AJ406" i="3"/>
  <c r="AF406" i="3" a="1"/>
  <c r="AF406" i="3" s="1"/>
  <c r="AE406" i="3" a="1"/>
  <c r="AE406" i="3" s="1"/>
  <c r="AD406" i="3"/>
  <c r="AB406" i="3"/>
  <c r="X406" i="3" a="1"/>
  <c r="X406" i="3"/>
  <c r="W406" i="3" a="1"/>
  <c r="W406" i="3" s="1"/>
  <c r="V406" i="3"/>
  <c r="T406" i="3"/>
  <c r="P406" i="3" a="1"/>
  <c r="P406" i="3"/>
  <c r="O406" i="3" a="1"/>
  <c r="O406" i="3" s="1"/>
  <c r="N406" i="3"/>
  <c r="L406" i="3"/>
  <c r="H406" i="3" a="1"/>
  <c r="H406" i="3" s="1"/>
  <c r="G406" i="3" a="1"/>
  <c r="G406" i="3" s="1"/>
  <c r="F406" i="3"/>
  <c r="D406" i="3"/>
  <c r="AJ405" i="3"/>
  <c r="AB405" i="3"/>
  <c r="T405" i="3"/>
  <c r="L405" i="3"/>
  <c r="D405" i="3"/>
  <c r="AN391" i="3" a="1"/>
  <c r="AN391" i="3"/>
  <c r="AM391" i="3" a="1"/>
  <c r="AM391" i="3"/>
  <c r="AL391" i="3"/>
  <c r="AJ391" i="3"/>
  <c r="AF391" i="3" a="1"/>
  <c r="AF391" i="3"/>
  <c r="AE391" i="3" a="1"/>
  <c r="AE391" i="3"/>
  <c r="AD391" i="3"/>
  <c r="AB391" i="3"/>
  <c r="X391" i="3" a="1"/>
  <c r="X391" i="3" s="1"/>
  <c r="W391" i="3" a="1"/>
  <c r="W391" i="3"/>
  <c r="V391" i="3"/>
  <c r="T391" i="3"/>
  <c r="P391" i="3" a="1"/>
  <c r="P391" i="3"/>
  <c r="O391" i="3" a="1"/>
  <c r="O391" i="3"/>
  <c r="N391" i="3"/>
  <c r="L391" i="3"/>
  <c r="H391" i="3" a="1"/>
  <c r="H391" i="3"/>
  <c r="G391" i="3" a="1"/>
  <c r="G391" i="3"/>
  <c r="F391" i="3"/>
  <c r="D391" i="3"/>
  <c r="AJ390" i="3"/>
  <c r="AB390" i="3"/>
  <c r="T390" i="3"/>
  <c r="L390" i="3"/>
  <c r="D390" i="3"/>
  <c r="AN376" i="3" a="1"/>
  <c r="AN376" i="3"/>
  <c r="AM376" i="3" a="1"/>
  <c r="AM376" i="3"/>
  <c r="AL376" i="3"/>
  <c r="AJ376" i="3"/>
  <c r="AF376" i="3" a="1"/>
  <c r="AF376" i="3" s="1"/>
  <c r="AE376" i="3" a="1"/>
  <c r="AE376" i="3"/>
  <c r="AD376" i="3"/>
  <c r="AB376" i="3"/>
  <c r="X376" i="3" a="1"/>
  <c r="X376" i="3" s="1"/>
  <c r="W376" i="3" a="1"/>
  <c r="W376" i="3" s="1"/>
  <c r="V376" i="3"/>
  <c r="T376" i="3"/>
  <c r="P376" i="3" a="1"/>
  <c r="P376" i="3" s="1"/>
  <c r="O376" i="3" a="1"/>
  <c r="O376" i="3"/>
  <c r="N376" i="3"/>
  <c r="L376" i="3"/>
  <c r="H376" i="3" a="1"/>
  <c r="H376" i="3" s="1"/>
  <c r="G376" i="3" a="1"/>
  <c r="G376" i="3" s="1"/>
  <c r="F376" i="3"/>
  <c r="D376" i="3"/>
  <c r="AJ375" i="3"/>
  <c r="AB375" i="3"/>
  <c r="T375" i="3"/>
  <c r="L375" i="3"/>
  <c r="D375" i="3"/>
  <c r="AN361" i="3" a="1"/>
  <c r="AN361" i="3"/>
  <c r="AM361" i="3" a="1"/>
  <c r="AM361" i="3" s="1"/>
  <c r="AL361" i="3"/>
  <c r="AJ361" i="3"/>
  <c r="AF361" i="3" a="1"/>
  <c r="AF361" i="3" s="1"/>
  <c r="AE361" i="3" a="1"/>
  <c r="AE361" i="3"/>
  <c r="AD361" i="3"/>
  <c r="AB361" i="3"/>
  <c r="X361" i="3" a="1"/>
  <c r="X361" i="3"/>
  <c r="W361" i="3" a="1"/>
  <c r="W361" i="3"/>
  <c r="V361" i="3"/>
  <c r="T361" i="3"/>
  <c r="P361" i="3" a="1"/>
  <c r="P361" i="3"/>
  <c r="O361" i="3" a="1"/>
  <c r="O361" i="3"/>
  <c r="N361" i="3"/>
  <c r="L361" i="3"/>
  <c r="H361" i="3" a="1"/>
  <c r="H361" i="3"/>
  <c r="G361" i="3" a="1"/>
  <c r="G361" i="3" s="1"/>
  <c r="F361" i="3"/>
  <c r="D361" i="3"/>
  <c r="AJ360" i="3"/>
  <c r="AB360" i="3"/>
  <c r="T360" i="3"/>
  <c r="L360" i="3"/>
  <c r="D360" i="3"/>
  <c r="AN346" i="3" a="1"/>
  <c r="AN346" i="3" s="1"/>
  <c r="AM346" i="3" a="1"/>
  <c r="AM346" i="3" s="1"/>
  <c r="AL346" i="3"/>
  <c r="AJ346" i="3"/>
  <c r="AF346" i="3" a="1"/>
  <c r="AF346" i="3" s="1"/>
  <c r="AE346" i="3" a="1"/>
  <c r="AE346" i="3" s="1"/>
  <c r="AD346" i="3"/>
  <c r="AB346" i="3"/>
  <c r="X346" i="3" a="1"/>
  <c r="X346" i="3"/>
  <c r="W346" i="3" a="1"/>
  <c r="W346" i="3" s="1"/>
  <c r="V346" i="3"/>
  <c r="T346" i="3"/>
  <c r="P346" i="3" a="1"/>
  <c r="P346" i="3"/>
  <c r="O346" i="3" a="1"/>
  <c r="O346" i="3" s="1"/>
  <c r="N346" i="3"/>
  <c r="L346" i="3"/>
  <c r="H346" i="3" a="1"/>
  <c r="H346" i="3" s="1"/>
  <c r="G346" i="3" a="1"/>
  <c r="G346" i="3" s="1"/>
  <c r="F346" i="3"/>
  <c r="D346" i="3"/>
  <c r="AJ345" i="3"/>
  <c r="AB345" i="3"/>
  <c r="T345" i="3"/>
  <c r="L345" i="3"/>
  <c r="D345" i="3"/>
  <c r="AN331" i="3" a="1"/>
  <c r="AN331" i="3"/>
  <c r="AM331" i="3" a="1"/>
  <c r="AM331" i="3"/>
  <c r="AL331" i="3"/>
  <c r="AJ331" i="3"/>
  <c r="AF331" i="3" a="1"/>
  <c r="AF331" i="3"/>
  <c r="AE331" i="3" a="1"/>
  <c r="AE331" i="3"/>
  <c r="AD331" i="3"/>
  <c r="AB331" i="3"/>
  <c r="X331" i="3" a="1"/>
  <c r="X331" i="3" s="1"/>
  <c r="W331" i="3" a="1"/>
  <c r="W331" i="3"/>
  <c r="V331" i="3"/>
  <c r="T331" i="3"/>
  <c r="P331" i="3" a="1"/>
  <c r="P331" i="3"/>
  <c r="O331" i="3" a="1"/>
  <c r="O331" i="3"/>
  <c r="N331" i="3"/>
  <c r="L331" i="3"/>
  <c r="H331" i="3" a="1"/>
  <c r="H331" i="3"/>
  <c r="G331" i="3" a="1"/>
  <c r="G331" i="3"/>
  <c r="F331" i="3"/>
  <c r="D331" i="3"/>
  <c r="AJ330" i="3"/>
  <c r="AB330" i="3"/>
  <c r="T330" i="3"/>
  <c r="L330" i="3"/>
  <c r="D330" i="3"/>
  <c r="AN316" i="3" a="1"/>
  <c r="AN316" i="3"/>
  <c r="AM316" i="3" a="1"/>
  <c r="AM316" i="3"/>
  <c r="AL316" i="3"/>
  <c r="AJ316" i="3"/>
  <c r="AF316" i="3" a="1"/>
  <c r="AF316" i="3" s="1"/>
  <c r="AE316" i="3" a="1"/>
  <c r="AE316" i="3"/>
  <c r="AD316" i="3"/>
  <c r="AB316" i="3"/>
  <c r="X316" i="3" a="1"/>
  <c r="X316" i="3" s="1"/>
  <c r="W316" i="3" a="1"/>
  <c r="W316" i="3" s="1"/>
  <c r="V316" i="3"/>
  <c r="T316" i="3"/>
  <c r="P316" i="3" a="1"/>
  <c r="P316" i="3" s="1"/>
  <c r="O316" i="3" a="1"/>
  <c r="O316" i="3"/>
  <c r="N316" i="3"/>
  <c r="L316" i="3"/>
  <c r="H316" i="3" a="1"/>
  <c r="H316" i="3" s="1"/>
  <c r="G316" i="3" a="1"/>
  <c r="G316" i="3" s="1"/>
  <c r="F316" i="3"/>
  <c r="D316" i="3"/>
  <c r="AJ315" i="3"/>
  <c r="AB315" i="3"/>
  <c r="T315" i="3"/>
  <c r="L315" i="3"/>
  <c r="D315" i="3"/>
  <c r="AN301" i="3" a="1"/>
  <c r="AN301" i="3"/>
  <c r="AM301" i="3" a="1"/>
  <c r="AM301" i="3" s="1"/>
  <c r="AL301" i="3"/>
  <c r="AJ301" i="3"/>
  <c r="AF301" i="3" a="1"/>
  <c r="AF301" i="3" s="1"/>
  <c r="AE301" i="3" a="1"/>
  <c r="AE301" i="3"/>
  <c r="AD301" i="3"/>
  <c r="AB301" i="3"/>
  <c r="X301" i="3" a="1"/>
  <c r="X301" i="3"/>
  <c r="W301" i="3" a="1"/>
  <c r="W301" i="3"/>
  <c r="V301" i="3"/>
  <c r="T301" i="3"/>
  <c r="P301" i="3" a="1"/>
  <c r="P301" i="3"/>
  <c r="O301" i="3" a="1"/>
  <c r="O301" i="3"/>
  <c r="N301" i="3"/>
  <c r="L301" i="3"/>
  <c r="H301" i="3" a="1"/>
  <c r="H301" i="3"/>
  <c r="G301" i="3" a="1"/>
  <c r="G301" i="3" s="1"/>
  <c r="F301" i="3"/>
  <c r="D301" i="3"/>
  <c r="AJ300" i="3"/>
  <c r="AB300" i="3"/>
  <c r="T300" i="3"/>
  <c r="L300" i="3"/>
  <c r="D300" i="3"/>
  <c r="AN286" i="3" a="1"/>
  <c r="AN286" i="3" s="1"/>
  <c r="AM286" i="3" a="1"/>
  <c r="AM286" i="3" s="1"/>
  <c r="AL286" i="3"/>
  <c r="AJ286" i="3"/>
  <c r="AF286" i="3" a="1"/>
  <c r="AF286" i="3" s="1"/>
  <c r="AE286" i="3" a="1"/>
  <c r="AE286" i="3" s="1"/>
  <c r="AD286" i="3"/>
  <c r="AB286" i="3"/>
  <c r="X286" i="3" a="1"/>
  <c r="X286" i="3"/>
  <c r="W286" i="3" a="1"/>
  <c r="W286" i="3" s="1"/>
  <c r="V286" i="3"/>
  <c r="T286" i="3"/>
  <c r="P286" i="3" a="1"/>
  <c r="P286" i="3"/>
  <c r="O286" i="3" a="1"/>
  <c r="O286" i="3" s="1"/>
  <c r="N286" i="3"/>
  <c r="L286" i="3"/>
  <c r="H286" i="3" a="1"/>
  <c r="H286" i="3" s="1"/>
  <c r="G286" i="3" a="1"/>
  <c r="G286" i="3" s="1"/>
  <c r="F286" i="3"/>
  <c r="D286" i="3"/>
  <c r="AJ285" i="3"/>
  <c r="AB285" i="3"/>
  <c r="T285" i="3"/>
  <c r="L285" i="3"/>
  <c r="D285" i="3"/>
  <c r="AN271" i="3" a="1"/>
  <c r="AN271" i="3"/>
  <c r="AM271" i="3" a="1"/>
  <c r="AM271" i="3"/>
  <c r="AL271" i="3"/>
  <c r="AJ271" i="3"/>
  <c r="AF271" i="3" a="1"/>
  <c r="AF271" i="3"/>
  <c r="AE271" i="3" a="1"/>
  <c r="AE271" i="3"/>
  <c r="AD271" i="3"/>
  <c r="AB271" i="3"/>
  <c r="X271" i="3" a="1"/>
  <c r="X271" i="3" s="1"/>
  <c r="W271" i="3" a="1"/>
  <c r="W271" i="3"/>
  <c r="V271" i="3"/>
  <c r="T271" i="3"/>
  <c r="P271" i="3" a="1"/>
  <c r="P271" i="3"/>
  <c r="O271" i="3" a="1"/>
  <c r="O271" i="3"/>
  <c r="N271" i="3"/>
  <c r="L271" i="3"/>
  <c r="H271" i="3" a="1"/>
  <c r="H271" i="3"/>
  <c r="G271" i="3" a="1"/>
  <c r="G271" i="3"/>
  <c r="F271" i="3"/>
  <c r="D271" i="3"/>
  <c r="AJ270" i="3"/>
  <c r="AB270" i="3"/>
  <c r="T270" i="3"/>
  <c r="L270" i="3"/>
  <c r="D270" i="3"/>
  <c r="AN256" i="3" a="1"/>
  <c r="AN256" i="3"/>
  <c r="AM256" i="3" a="1"/>
  <c r="AM256" i="3"/>
  <c r="AL256" i="3"/>
  <c r="AJ256" i="3"/>
  <c r="AF256" i="3" a="1"/>
  <c r="AF256" i="3" s="1"/>
  <c r="AE256" i="3" a="1"/>
  <c r="AE256" i="3"/>
  <c r="AD256" i="3"/>
  <c r="AB256" i="3"/>
  <c r="X256" i="3" a="1"/>
  <c r="X256" i="3" s="1"/>
  <c r="W256" i="3" a="1"/>
  <c r="W256" i="3" s="1"/>
  <c r="V256" i="3"/>
  <c r="T256" i="3"/>
  <c r="P256" i="3" a="1"/>
  <c r="P256" i="3" s="1"/>
  <c r="O256" i="3" a="1"/>
  <c r="O256" i="3"/>
  <c r="N256" i="3"/>
  <c r="L256" i="3"/>
  <c r="H256" i="3" a="1"/>
  <c r="H256" i="3" s="1"/>
  <c r="G256" i="3" a="1"/>
  <c r="G256" i="3" s="1"/>
  <c r="F256" i="3"/>
  <c r="D256" i="3"/>
  <c r="AJ255" i="3"/>
  <c r="AB255" i="3"/>
  <c r="T255" i="3"/>
  <c r="L255" i="3"/>
  <c r="D255" i="3"/>
  <c r="AN241" i="3" a="1"/>
  <c r="AN241" i="3"/>
  <c r="AM241" i="3" a="1"/>
  <c r="AM241" i="3" s="1"/>
  <c r="AL241" i="3"/>
  <c r="AJ241" i="3"/>
  <c r="AF241" i="3" a="1"/>
  <c r="AF241" i="3" s="1"/>
  <c r="AE241" i="3" a="1"/>
  <c r="AE241" i="3"/>
  <c r="AD241" i="3"/>
  <c r="AB241" i="3"/>
  <c r="X241" i="3" a="1"/>
  <c r="X241" i="3"/>
  <c r="W241" i="3" a="1"/>
  <c r="W241" i="3"/>
  <c r="V241" i="3"/>
  <c r="T241" i="3"/>
  <c r="P241" i="3" a="1"/>
  <c r="P241" i="3"/>
  <c r="O241" i="3" a="1"/>
  <c r="O241" i="3"/>
  <c r="N241" i="3"/>
  <c r="L241" i="3"/>
  <c r="H241" i="3" a="1"/>
  <c r="H241" i="3"/>
  <c r="G241" i="3" a="1"/>
  <c r="G241" i="3" s="1"/>
  <c r="F241" i="3"/>
  <c r="D241" i="3"/>
  <c r="AJ240" i="3"/>
  <c r="AB240" i="3"/>
  <c r="T240" i="3"/>
  <c r="L240" i="3"/>
  <c r="D240" i="3"/>
  <c r="AN226" i="3" a="1"/>
  <c r="AN226" i="3" s="1"/>
  <c r="AM226" i="3" a="1"/>
  <c r="AM226" i="3" s="1"/>
  <c r="AL226" i="3"/>
  <c r="AJ226" i="3"/>
  <c r="AF226" i="3" a="1"/>
  <c r="AF226" i="3" s="1"/>
  <c r="AE226" i="3" a="1"/>
  <c r="AE226" i="3" s="1"/>
  <c r="AD226" i="3"/>
  <c r="AB226" i="3"/>
  <c r="X226" i="3" a="1"/>
  <c r="X226" i="3"/>
  <c r="W226" i="3" a="1"/>
  <c r="W226" i="3" s="1"/>
  <c r="V226" i="3"/>
  <c r="T226" i="3"/>
  <c r="P226" i="3" a="1"/>
  <c r="P226" i="3"/>
  <c r="O226" i="3" a="1"/>
  <c r="O226" i="3" s="1"/>
  <c r="N226" i="3"/>
  <c r="L226" i="3"/>
  <c r="H226" i="3" a="1"/>
  <c r="H226" i="3" s="1"/>
  <c r="G226" i="3" a="1"/>
  <c r="G226" i="3" s="1"/>
  <c r="F226" i="3"/>
  <c r="D226" i="3"/>
  <c r="AJ225" i="3"/>
  <c r="AB225" i="3"/>
  <c r="T225" i="3"/>
  <c r="L225" i="3"/>
  <c r="D225" i="3"/>
  <c r="AN211" i="3" a="1"/>
  <c r="AN211" i="3"/>
  <c r="AM211" i="3" a="1"/>
  <c r="AM211" i="3"/>
  <c r="AL211" i="3"/>
  <c r="AJ211" i="3"/>
  <c r="AF211" i="3" a="1"/>
  <c r="AF211" i="3"/>
  <c r="AE211" i="3" a="1"/>
  <c r="AE211" i="3"/>
  <c r="AD211" i="3"/>
  <c r="AB211" i="3"/>
  <c r="X211" i="3" a="1"/>
  <c r="X211" i="3" s="1"/>
  <c r="W211" i="3" a="1"/>
  <c r="W211" i="3"/>
  <c r="V211" i="3"/>
  <c r="T211" i="3"/>
  <c r="P211" i="3" a="1"/>
  <c r="P211" i="3"/>
  <c r="O211" i="3" a="1"/>
  <c r="O211" i="3"/>
  <c r="N211" i="3"/>
  <c r="L211" i="3"/>
  <c r="H211" i="3" a="1"/>
  <c r="H211" i="3"/>
  <c r="G211" i="3" a="1"/>
  <c r="G211" i="3"/>
  <c r="F211" i="3"/>
  <c r="D211" i="3"/>
  <c r="AJ210" i="3"/>
  <c r="AB210" i="3"/>
  <c r="T210" i="3"/>
  <c r="L210" i="3"/>
  <c r="D210" i="3"/>
  <c r="AN196" i="3" a="1"/>
  <c r="AN196" i="3"/>
  <c r="AM196" i="3" a="1"/>
  <c r="AM196" i="3"/>
  <c r="AL196" i="3"/>
  <c r="AJ196" i="3"/>
  <c r="AF196" i="3" a="1"/>
  <c r="AF196" i="3" s="1"/>
  <c r="AE196" i="3" a="1"/>
  <c r="AE196" i="3"/>
  <c r="AD196" i="3"/>
  <c r="AB196" i="3"/>
  <c r="X196" i="3" a="1"/>
  <c r="X196" i="3" s="1"/>
  <c r="W196" i="3" a="1"/>
  <c r="W196" i="3" s="1"/>
  <c r="V196" i="3"/>
  <c r="T196" i="3"/>
  <c r="P196" i="3" a="1"/>
  <c r="P196" i="3" s="1"/>
  <c r="O196" i="3" a="1"/>
  <c r="O196" i="3"/>
  <c r="N196" i="3"/>
  <c r="L196" i="3"/>
  <c r="H196" i="3" a="1"/>
  <c r="H196" i="3" s="1"/>
  <c r="G196" i="3" a="1"/>
  <c r="G196" i="3" s="1"/>
  <c r="F196" i="3"/>
  <c r="D196" i="3"/>
  <c r="AJ195" i="3"/>
  <c r="AB195" i="3"/>
  <c r="T195" i="3"/>
  <c r="L195" i="3"/>
  <c r="D195" i="3"/>
  <c r="AN181" i="3" a="1"/>
  <c r="AN181" i="3"/>
  <c r="AM181" i="3" a="1"/>
  <c r="AM181" i="3" s="1"/>
  <c r="AL181" i="3"/>
  <c r="AJ181" i="3"/>
  <c r="AF181" i="3" a="1"/>
  <c r="AF181" i="3" s="1"/>
  <c r="AE181" i="3" a="1"/>
  <c r="AE181" i="3"/>
  <c r="AD181" i="3"/>
  <c r="AB181" i="3"/>
  <c r="X181" i="3" a="1"/>
  <c r="X181" i="3"/>
  <c r="W181" i="3" a="1"/>
  <c r="W181" i="3"/>
  <c r="V181" i="3"/>
  <c r="T181" i="3"/>
  <c r="P181" i="3" a="1"/>
  <c r="P181" i="3"/>
  <c r="O181" i="3" a="1"/>
  <c r="O181" i="3"/>
  <c r="N181" i="3"/>
  <c r="L181" i="3"/>
  <c r="H181" i="3" a="1"/>
  <c r="H181" i="3"/>
  <c r="G181" i="3" a="1"/>
  <c r="G181" i="3" s="1"/>
  <c r="F181" i="3"/>
  <c r="D181" i="3"/>
  <c r="AJ180" i="3"/>
  <c r="AB180" i="3"/>
  <c r="T180" i="3"/>
  <c r="L180" i="3"/>
  <c r="D180" i="3"/>
  <c r="AN166" i="3" a="1"/>
  <c r="AN166" i="3" s="1"/>
  <c r="AM166" i="3" a="1"/>
  <c r="AM166" i="3" s="1"/>
  <c r="AL166" i="3"/>
  <c r="AJ166" i="3"/>
  <c r="AF166" i="3" a="1"/>
  <c r="AF166" i="3" s="1"/>
  <c r="AE166" i="3" a="1"/>
  <c r="AE166" i="3" s="1"/>
  <c r="AD166" i="3"/>
  <c r="AB166" i="3"/>
  <c r="X166" i="3" a="1"/>
  <c r="X166" i="3"/>
  <c r="W166" i="3" a="1"/>
  <c r="W166" i="3" s="1"/>
  <c r="V166" i="3"/>
  <c r="T166" i="3"/>
  <c r="P166" i="3" a="1"/>
  <c r="P166" i="3"/>
  <c r="O166" i="3" a="1"/>
  <c r="O166" i="3" s="1"/>
  <c r="N166" i="3"/>
  <c r="L166" i="3"/>
  <c r="H166" i="3" a="1"/>
  <c r="H166" i="3" s="1"/>
  <c r="G166" i="3" a="1"/>
  <c r="G166" i="3" s="1"/>
  <c r="F166" i="3"/>
  <c r="D166" i="3"/>
  <c r="AJ165" i="3"/>
  <c r="AB165" i="3"/>
  <c r="T165" i="3"/>
  <c r="L165" i="3"/>
  <c r="D165" i="3"/>
  <c r="AN151" i="3" a="1"/>
  <c r="AN151" i="3"/>
  <c r="AM151" i="3" a="1"/>
  <c r="AM151" i="3"/>
  <c r="AL151" i="3"/>
  <c r="AJ151" i="3"/>
  <c r="AF151" i="3" a="1"/>
  <c r="AF151" i="3"/>
  <c r="AE151" i="3" a="1"/>
  <c r="AE151" i="3"/>
  <c r="AD151" i="3"/>
  <c r="AB151" i="3"/>
  <c r="X151" i="3" a="1"/>
  <c r="X151" i="3" s="1"/>
  <c r="W151" i="3" a="1"/>
  <c r="W151" i="3"/>
  <c r="V151" i="3"/>
  <c r="T151" i="3"/>
  <c r="P151" i="3" a="1"/>
  <c r="P151" i="3"/>
  <c r="O151" i="3" a="1"/>
  <c r="O151" i="3"/>
  <c r="N151" i="3"/>
  <c r="L151" i="3"/>
  <c r="H151" i="3" a="1"/>
  <c r="H151" i="3"/>
  <c r="G151" i="3" a="1"/>
  <c r="G151" i="3"/>
  <c r="F151" i="3"/>
  <c r="D151" i="3"/>
  <c r="AJ150" i="3"/>
  <c r="AB150" i="3"/>
  <c r="T150" i="3"/>
  <c r="L150" i="3"/>
  <c r="D150" i="3"/>
  <c r="AN136" i="3" a="1"/>
  <c r="AN136" i="3"/>
  <c r="AM136" i="3" a="1"/>
  <c r="AM136" i="3"/>
  <c r="AL136" i="3"/>
  <c r="AJ136" i="3"/>
  <c r="AF136" i="3" a="1"/>
  <c r="AF136" i="3" s="1"/>
  <c r="AE136" i="3" a="1"/>
  <c r="AE136" i="3"/>
  <c r="AD136" i="3"/>
  <c r="AB136" i="3"/>
  <c r="X136" i="3" a="1"/>
  <c r="X136" i="3" s="1"/>
  <c r="W136" i="3" a="1"/>
  <c r="W136" i="3" s="1"/>
  <c r="V136" i="3"/>
  <c r="T136" i="3"/>
  <c r="P136" i="3" a="1"/>
  <c r="P136" i="3" s="1"/>
  <c r="O136" i="3" a="1"/>
  <c r="O136" i="3"/>
  <c r="N136" i="3"/>
  <c r="L136" i="3"/>
  <c r="H136" i="3" a="1"/>
  <c r="H136" i="3" s="1"/>
  <c r="G136" i="3" a="1"/>
  <c r="G136" i="3" s="1"/>
  <c r="F136" i="3"/>
  <c r="D136" i="3"/>
  <c r="AJ135" i="3"/>
  <c r="AB135" i="3"/>
  <c r="T135" i="3"/>
  <c r="L135" i="3"/>
  <c r="D135" i="3"/>
  <c r="AN121" i="3" a="1"/>
  <c r="AN121" i="3"/>
  <c r="AM121" i="3" a="1"/>
  <c r="AM121" i="3" s="1"/>
  <c r="AL121" i="3"/>
  <c r="AJ121" i="3"/>
  <c r="AF121" i="3" a="1"/>
  <c r="AF121" i="3" s="1"/>
  <c r="AE121" i="3" a="1"/>
  <c r="AE121" i="3"/>
  <c r="AD121" i="3"/>
  <c r="AB121" i="3"/>
  <c r="X121" i="3" a="1"/>
  <c r="X121" i="3"/>
  <c r="W121" i="3" a="1"/>
  <c r="W121" i="3"/>
  <c r="V121" i="3"/>
  <c r="T121" i="3"/>
  <c r="P121" i="3" a="1"/>
  <c r="P121" i="3"/>
  <c r="O121" i="3" a="1"/>
  <c r="O121" i="3"/>
  <c r="N121" i="3"/>
  <c r="L121" i="3"/>
  <c r="H121" i="3" a="1"/>
  <c r="H121" i="3"/>
  <c r="G121" i="3" a="1"/>
  <c r="G121" i="3" s="1"/>
  <c r="F121" i="3"/>
  <c r="D121" i="3"/>
  <c r="AJ120" i="3"/>
  <c r="AB120" i="3"/>
  <c r="T120" i="3"/>
  <c r="L120" i="3"/>
  <c r="D120" i="3"/>
  <c r="AN106" i="3" a="1"/>
  <c r="AN106" i="3" s="1"/>
  <c r="AM106" i="3" a="1"/>
  <c r="AM106" i="3" s="1"/>
  <c r="AL106" i="3"/>
  <c r="AJ106" i="3"/>
  <c r="AF106" i="3" a="1"/>
  <c r="AF106" i="3" s="1"/>
  <c r="AE106" i="3" a="1"/>
  <c r="AE106" i="3" s="1"/>
  <c r="AD106" i="3"/>
  <c r="AB106" i="3"/>
  <c r="X106" i="3" a="1"/>
  <c r="X106" i="3"/>
  <c r="W106" i="3" a="1"/>
  <c r="W106" i="3" s="1"/>
  <c r="V106" i="3"/>
  <c r="T106" i="3"/>
  <c r="P106" i="3" a="1"/>
  <c r="P106" i="3"/>
  <c r="O106" i="3" a="1"/>
  <c r="O106" i="3" s="1"/>
  <c r="N106" i="3"/>
  <c r="L106" i="3"/>
  <c r="H106" i="3" a="1"/>
  <c r="H106" i="3" s="1"/>
  <c r="G106" i="3" a="1"/>
  <c r="G106" i="3" s="1"/>
  <c r="F106" i="3"/>
  <c r="D106" i="3"/>
  <c r="AJ105" i="3"/>
  <c r="AB105" i="3"/>
  <c r="T105" i="3"/>
  <c r="L105" i="3"/>
  <c r="D105" i="3"/>
  <c r="AN91" i="3" a="1"/>
  <c r="AN91" i="3"/>
  <c r="AM91" i="3" a="1"/>
  <c r="AM91" i="3"/>
  <c r="AL91" i="3"/>
  <c r="AJ91" i="3"/>
  <c r="AF91" i="3" a="1"/>
  <c r="AF91" i="3"/>
  <c r="AE91" i="3" a="1"/>
  <c r="AE91" i="3"/>
  <c r="AD91" i="3"/>
  <c r="AB91" i="3"/>
  <c r="X91" i="3" a="1"/>
  <c r="X91" i="3" s="1"/>
  <c r="W91" i="3" a="1"/>
  <c r="W91" i="3"/>
  <c r="V91" i="3"/>
  <c r="T91" i="3"/>
  <c r="P91" i="3" a="1"/>
  <c r="P91" i="3"/>
  <c r="O91" i="3" a="1"/>
  <c r="O91" i="3"/>
  <c r="N91" i="3"/>
  <c r="L91" i="3"/>
  <c r="H91" i="3" a="1"/>
  <c r="H91" i="3"/>
  <c r="G91" i="3" a="1"/>
  <c r="G91" i="3"/>
  <c r="F91" i="3"/>
  <c r="D91" i="3"/>
  <c r="AJ90" i="3"/>
  <c r="AB90" i="3"/>
  <c r="T90" i="3"/>
  <c r="L90" i="3"/>
  <c r="D90" i="3"/>
  <c r="AN76" i="3" a="1"/>
  <c r="AN76" i="3"/>
  <c r="AM76" i="3" a="1"/>
  <c r="AM76" i="3"/>
  <c r="AL76" i="3"/>
  <c r="AJ76" i="3"/>
  <c r="AF76" i="3" a="1"/>
  <c r="AF76" i="3" s="1"/>
  <c r="AE76" i="3" a="1"/>
  <c r="AE76" i="3"/>
  <c r="AD76" i="3"/>
  <c r="AB76" i="3"/>
  <c r="X76" i="3" a="1"/>
  <c r="X76" i="3" s="1"/>
  <c r="W76" i="3" a="1"/>
  <c r="W76" i="3" s="1"/>
  <c r="V76" i="3"/>
  <c r="T76" i="3"/>
  <c r="P76" i="3" a="1"/>
  <c r="P76" i="3" s="1"/>
  <c r="O76" i="3" a="1"/>
  <c r="O76" i="3"/>
  <c r="N76" i="3"/>
  <c r="L76" i="3"/>
  <c r="H76" i="3" a="1"/>
  <c r="H76" i="3" s="1"/>
  <c r="G76" i="3" a="1"/>
  <c r="G76" i="3" s="1"/>
  <c r="F76" i="3"/>
  <c r="D76" i="3"/>
  <c r="AJ75" i="3"/>
  <c r="AB75" i="3"/>
  <c r="T75" i="3"/>
  <c r="L75" i="3"/>
  <c r="D75" i="3"/>
  <c r="AN61" i="3" a="1"/>
  <c r="AN61" i="3"/>
  <c r="AM61" i="3" a="1"/>
  <c r="AM61" i="3" s="1"/>
  <c r="AL61" i="3"/>
  <c r="AJ61" i="3"/>
  <c r="AF61" i="3" a="1"/>
  <c r="AF61" i="3" s="1"/>
  <c r="AE61" i="3" a="1"/>
  <c r="AE61" i="3"/>
  <c r="AD61" i="3"/>
  <c r="AB61" i="3"/>
  <c r="X61" i="3" a="1"/>
  <c r="X61" i="3"/>
  <c r="W61" i="3" a="1"/>
  <c r="W61" i="3"/>
  <c r="V61" i="3"/>
  <c r="T61" i="3"/>
  <c r="P61" i="3" a="1"/>
  <c r="P61" i="3"/>
  <c r="O61" i="3" a="1"/>
  <c r="O61" i="3"/>
  <c r="N61" i="3"/>
  <c r="L61" i="3"/>
  <c r="H61" i="3" a="1"/>
  <c r="H61" i="3"/>
  <c r="G61" i="3" a="1"/>
  <c r="G61" i="3" s="1"/>
  <c r="F61" i="3"/>
  <c r="D61" i="3"/>
  <c r="AJ60" i="3"/>
  <c r="AB60" i="3"/>
  <c r="T60" i="3"/>
  <c r="L60" i="3"/>
  <c r="D60" i="3"/>
  <c r="AN46" i="3" a="1"/>
  <c r="AN46" i="3" s="1"/>
  <c r="AM46" i="3" a="1"/>
  <c r="AM46" i="3" s="1"/>
  <c r="AL46" i="3"/>
  <c r="AJ46" i="3"/>
  <c r="AF46" i="3" a="1"/>
  <c r="AF46" i="3" s="1"/>
  <c r="AE46" i="3" a="1"/>
  <c r="AE46" i="3" s="1"/>
  <c r="AD46" i="3"/>
  <c r="AB46" i="3"/>
  <c r="X46" i="3" a="1"/>
  <c r="X46" i="3"/>
  <c r="W46" i="3" a="1"/>
  <c r="W46" i="3" s="1"/>
  <c r="V46" i="3"/>
  <c r="T46" i="3"/>
  <c r="P46" i="3" a="1"/>
  <c r="P46" i="3"/>
  <c r="O46" i="3" a="1"/>
  <c r="O46" i="3" s="1"/>
  <c r="N46" i="3"/>
  <c r="L46" i="3"/>
  <c r="H46" i="3" a="1"/>
  <c r="H46" i="3" s="1"/>
  <c r="G46" i="3" a="1"/>
  <c r="G46" i="3" s="1"/>
  <c r="F46" i="3"/>
  <c r="D46" i="3"/>
  <c r="AJ45" i="3"/>
  <c r="AB45" i="3"/>
  <c r="T45" i="3"/>
  <c r="L45" i="3"/>
  <c r="D45" i="3"/>
  <c r="AN31" i="3" a="1"/>
  <c r="AN31" i="3"/>
  <c r="AM31" i="3" a="1"/>
  <c r="AM31" i="3"/>
  <c r="AL31" i="3"/>
  <c r="AJ31" i="3"/>
  <c r="AF31" i="3" a="1"/>
  <c r="AF31" i="3"/>
  <c r="AE31" i="3" a="1"/>
  <c r="AE31" i="3"/>
  <c r="AD31" i="3"/>
  <c r="AB31" i="3"/>
  <c r="X31" i="3" a="1"/>
  <c r="X31" i="3" s="1"/>
  <c r="W31" i="3" a="1"/>
  <c r="W31" i="3"/>
  <c r="V31" i="3"/>
  <c r="T31" i="3"/>
  <c r="P31" i="3" a="1"/>
  <c r="P31" i="3"/>
  <c r="O31" i="3" a="1"/>
  <c r="O31" i="3"/>
  <c r="N31" i="3"/>
  <c r="L31" i="3"/>
  <c r="H31" i="3" a="1"/>
  <c r="H31" i="3"/>
  <c r="G31" i="3" a="1"/>
  <c r="G31" i="3"/>
  <c r="F31" i="3"/>
  <c r="D31" i="3"/>
  <c r="AJ30" i="3"/>
  <c r="AB30" i="3"/>
  <c r="T30" i="3"/>
  <c r="L30" i="3"/>
  <c r="D30" i="3"/>
  <c r="AN16" i="3" a="1"/>
  <c r="AN16" i="3"/>
  <c r="AM16" i="3" a="1"/>
  <c r="AM16" i="3"/>
  <c r="AL16" i="3"/>
  <c r="AJ16" i="3"/>
  <c r="AF16" i="3" a="1"/>
  <c r="AF16" i="3" s="1"/>
  <c r="AE16" i="3" a="1"/>
  <c r="AE16" i="3"/>
  <c r="AD16" i="3"/>
  <c r="AB16" i="3"/>
  <c r="X16" i="3" a="1"/>
  <c r="X16" i="3" s="1"/>
  <c r="W16" i="3" a="1"/>
  <c r="W16" i="3" s="1"/>
  <c r="V16" i="3"/>
  <c r="T16" i="3"/>
  <c r="P16" i="3" a="1"/>
  <c r="P16" i="3" s="1"/>
  <c r="O16" i="3" a="1"/>
  <c r="O16" i="3"/>
  <c r="N16" i="3"/>
  <c r="L16" i="3"/>
  <c r="H16" i="3" a="1"/>
  <c r="H16" i="3" s="1"/>
  <c r="G16" i="3" a="1"/>
  <c r="G16" i="3" s="1"/>
  <c r="F16" i="3"/>
  <c r="D16" i="3"/>
  <c r="AJ15" i="3"/>
  <c r="AB15" i="3"/>
  <c r="T15" i="3"/>
  <c r="L15" i="3"/>
  <c r="D15" i="3"/>
  <c r="AN601" i="2" a="1"/>
  <c r="AN601" i="2"/>
  <c r="AM601" i="2" a="1"/>
  <c r="AM601" i="2" s="1"/>
  <c r="AL601" i="2"/>
  <c r="AJ601" i="2"/>
  <c r="AF601" i="2" a="1"/>
  <c r="AF601" i="2" s="1"/>
  <c r="AE601" i="2" a="1"/>
  <c r="AE601" i="2"/>
  <c r="AD601" i="2"/>
  <c r="AB601" i="2"/>
  <c r="X601" i="2" a="1"/>
  <c r="X601" i="2"/>
  <c r="W601" i="2" a="1"/>
  <c r="W601" i="2"/>
  <c r="V601" i="2"/>
  <c r="T601" i="2"/>
  <c r="P601" i="2" a="1"/>
  <c r="P601" i="2"/>
  <c r="O601" i="2" a="1"/>
  <c r="O601" i="2"/>
  <c r="N601" i="2"/>
  <c r="L601" i="2"/>
  <c r="H601" i="2" a="1"/>
  <c r="H601" i="2"/>
  <c r="G601" i="2" a="1"/>
  <c r="G601" i="2" s="1"/>
  <c r="F601" i="2"/>
  <c r="D601" i="2"/>
  <c r="AJ600" i="2"/>
  <c r="AB600" i="2"/>
  <c r="T600" i="2"/>
  <c r="L600" i="2"/>
  <c r="D600" i="2"/>
  <c r="AN586" i="2" a="1"/>
  <c r="AN586" i="2" s="1"/>
  <c r="AM586" i="2" a="1"/>
  <c r="AM586" i="2" s="1"/>
  <c r="AL586" i="2"/>
  <c r="AJ586" i="2"/>
  <c r="AF586" i="2" a="1"/>
  <c r="AF586" i="2" s="1"/>
  <c r="AE586" i="2" a="1"/>
  <c r="AE586" i="2" s="1"/>
  <c r="AD586" i="2"/>
  <c r="AB586" i="2"/>
  <c r="X586" i="2" a="1"/>
  <c r="X586" i="2"/>
  <c r="W586" i="2" a="1"/>
  <c r="W586" i="2" s="1"/>
  <c r="V586" i="2"/>
  <c r="T586" i="2"/>
  <c r="P586" i="2" a="1"/>
  <c r="P586" i="2"/>
  <c r="O586" i="2" a="1"/>
  <c r="O586" i="2" s="1"/>
  <c r="N586" i="2"/>
  <c r="L586" i="2"/>
  <c r="H586" i="2" a="1"/>
  <c r="H586" i="2" s="1"/>
  <c r="G586" i="2" a="1"/>
  <c r="G586" i="2" s="1"/>
  <c r="F586" i="2"/>
  <c r="D586" i="2"/>
  <c r="AJ585" i="2"/>
  <c r="AB585" i="2"/>
  <c r="T585" i="2"/>
  <c r="L585" i="2"/>
  <c r="D585" i="2"/>
  <c r="AN571" i="2" a="1"/>
  <c r="AN571" i="2"/>
  <c r="AM571" i="2" a="1"/>
  <c r="AM571" i="2"/>
  <c r="AL571" i="2"/>
  <c r="AJ571" i="2"/>
  <c r="AF571" i="2" a="1"/>
  <c r="AF571" i="2"/>
  <c r="AE571" i="2" a="1"/>
  <c r="AE571" i="2"/>
  <c r="AD571" i="2"/>
  <c r="AB571" i="2"/>
  <c r="X571" i="2" a="1"/>
  <c r="X571" i="2" s="1"/>
  <c r="W571" i="2" a="1"/>
  <c r="W571" i="2"/>
  <c r="V571" i="2"/>
  <c r="T571" i="2"/>
  <c r="P571" i="2" a="1"/>
  <c r="P571" i="2"/>
  <c r="O571" i="2" a="1"/>
  <c r="O571" i="2"/>
  <c r="N571" i="2"/>
  <c r="L571" i="2"/>
  <c r="H571" i="2" a="1"/>
  <c r="H571" i="2"/>
  <c r="G571" i="2" a="1"/>
  <c r="G571" i="2"/>
  <c r="F571" i="2"/>
  <c r="D571" i="2"/>
  <c r="AJ570" i="2"/>
  <c r="AB570" i="2"/>
  <c r="T570" i="2"/>
  <c r="L570" i="2"/>
  <c r="D570" i="2"/>
  <c r="AN556" i="2" a="1"/>
  <c r="AN556" i="2"/>
  <c r="AM556" i="2" a="1"/>
  <c r="AM556" i="2"/>
  <c r="AL556" i="2"/>
  <c r="AJ556" i="2"/>
  <c r="AF556" i="2" a="1"/>
  <c r="AF556" i="2" s="1"/>
  <c r="AE556" i="2" a="1"/>
  <c r="AE556" i="2"/>
  <c r="AD556" i="2"/>
  <c r="AB556" i="2"/>
  <c r="X556" i="2" a="1"/>
  <c r="X556" i="2" s="1"/>
  <c r="W556" i="2" a="1"/>
  <c r="W556" i="2" s="1"/>
  <c r="V556" i="2"/>
  <c r="T556" i="2"/>
  <c r="P556" i="2" a="1"/>
  <c r="P556" i="2" s="1"/>
  <c r="O556" i="2" a="1"/>
  <c r="O556" i="2"/>
  <c r="N556" i="2"/>
  <c r="L556" i="2"/>
  <c r="H556" i="2" a="1"/>
  <c r="H556" i="2" s="1"/>
  <c r="G556" i="2" a="1"/>
  <c r="G556" i="2" s="1"/>
  <c r="F556" i="2"/>
  <c r="D556" i="2"/>
  <c r="AJ555" i="2"/>
  <c r="AB555" i="2"/>
  <c r="T555" i="2"/>
  <c r="L555" i="2"/>
  <c r="D555" i="2"/>
  <c r="AN541" i="2" a="1"/>
  <c r="AN541" i="2"/>
  <c r="AM541" i="2" a="1"/>
  <c r="AM541" i="2" s="1"/>
  <c r="AL541" i="2"/>
  <c r="AJ541" i="2"/>
  <c r="AF541" i="2" a="1"/>
  <c r="AF541" i="2" s="1"/>
  <c r="AE541" i="2" a="1"/>
  <c r="AE541" i="2"/>
  <c r="AD541" i="2"/>
  <c r="AB541" i="2"/>
  <c r="X541" i="2" a="1"/>
  <c r="X541" i="2"/>
  <c r="W541" i="2" a="1"/>
  <c r="W541" i="2"/>
  <c r="V541" i="2"/>
  <c r="T541" i="2"/>
  <c r="P541" i="2" a="1"/>
  <c r="P541" i="2"/>
  <c r="O541" i="2" a="1"/>
  <c r="O541" i="2"/>
  <c r="N541" i="2"/>
  <c r="L541" i="2"/>
  <c r="H541" i="2" a="1"/>
  <c r="H541" i="2"/>
  <c r="G541" i="2" a="1"/>
  <c r="G541" i="2" s="1"/>
  <c r="F541" i="2"/>
  <c r="D541" i="2"/>
  <c r="AJ540" i="2"/>
  <c r="AB540" i="2"/>
  <c r="T540" i="2"/>
  <c r="L540" i="2"/>
  <c r="D540" i="2"/>
  <c r="AN526" i="2" a="1"/>
  <c r="AN526" i="2" s="1"/>
  <c r="AM526" i="2" a="1"/>
  <c r="AM526" i="2" s="1"/>
  <c r="AL526" i="2"/>
  <c r="AJ526" i="2"/>
  <c r="AF526" i="2" a="1"/>
  <c r="AF526" i="2" s="1"/>
  <c r="AE526" i="2" a="1"/>
  <c r="AE526" i="2" s="1"/>
  <c r="AD526" i="2"/>
  <c r="AB526" i="2"/>
  <c r="X526" i="2" a="1"/>
  <c r="X526" i="2"/>
  <c r="W526" i="2" a="1"/>
  <c r="W526" i="2" s="1"/>
  <c r="V526" i="2"/>
  <c r="T526" i="2"/>
  <c r="P526" i="2" a="1"/>
  <c r="P526" i="2"/>
  <c r="O526" i="2" a="1"/>
  <c r="O526" i="2" s="1"/>
  <c r="N526" i="2"/>
  <c r="L526" i="2"/>
  <c r="H526" i="2" a="1"/>
  <c r="H526" i="2" s="1"/>
  <c r="G526" i="2" a="1"/>
  <c r="G526" i="2" s="1"/>
  <c r="F526" i="2"/>
  <c r="D526" i="2"/>
  <c r="AJ525" i="2"/>
  <c r="AB525" i="2"/>
  <c r="T525" i="2"/>
  <c r="L525" i="2"/>
  <c r="D525" i="2"/>
  <c r="AN511" i="2" a="1"/>
  <c r="AN511" i="2"/>
  <c r="AM511" i="2" a="1"/>
  <c r="AM511" i="2"/>
  <c r="AL511" i="2"/>
  <c r="AJ511" i="2"/>
  <c r="AF511" i="2" a="1"/>
  <c r="AF511" i="2"/>
  <c r="AE511" i="2" a="1"/>
  <c r="AE511" i="2"/>
  <c r="AD511" i="2"/>
  <c r="AB511" i="2"/>
  <c r="X511" i="2" a="1"/>
  <c r="X511" i="2" s="1"/>
  <c r="W511" i="2" a="1"/>
  <c r="W511" i="2"/>
  <c r="V511" i="2"/>
  <c r="T511" i="2"/>
  <c r="P511" i="2" a="1"/>
  <c r="P511" i="2"/>
  <c r="O511" i="2" a="1"/>
  <c r="O511" i="2"/>
  <c r="N511" i="2"/>
  <c r="L511" i="2"/>
  <c r="H511" i="2" a="1"/>
  <c r="H511" i="2"/>
  <c r="G511" i="2" a="1"/>
  <c r="G511" i="2"/>
  <c r="F511" i="2"/>
  <c r="D511" i="2"/>
  <c r="AJ510" i="2"/>
  <c r="AB510" i="2"/>
  <c r="T510" i="2"/>
  <c r="L510" i="2"/>
  <c r="D510" i="2"/>
  <c r="AN496" i="2" a="1"/>
  <c r="AN496" i="2"/>
  <c r="AM496" i="2" a="1"/>
  <c r="AM496" i="2"/>
  <c r="AL496" i="2"/>
  <c r="AJ496" i="2"/>
  <c r="AF496" i="2" a="1"/>
  <c r="AF496" i="2" s="1"/>
  <c r="AE496" i="2" a="1"/>
  <c r="AE496" i="2"/>
  <c r="AD496" i="2"/>
  <c r="AB496" i="2"/>
  <c r="X496" i="2" a="1"/>
  <c r="X496" i="2" s="1"/>
  <c r="W496" i="2" a="1"/>
  <c r="W496" i="2" s="1"/>
  <c r="V496" i="2"/>
  <c r="T496" i="2"/>
  <c r="P496" i="2" a="1"/>
  <c r="P496" i="2" s="1"/>
  <c r="O496" i="2" a="1"/>
  <c r="O496" i="2"/>
  <c r="N496" i="2"/>
  <c r="L496" i="2"/>
  <c r="H496" i="2" a="1"/>
  <c r="H496" i="2" s="1"/>
  <c r="G496" i="2" a="1"/>
  <c r="G496" i="2" s="1"/>
  <c r="F496" i="2"/>
  <c r="D496" i="2"/>
  <c r="AJ495" i="2"/>
  <c r="AB495" i="2"/>
  <c r="T495" i="2"/>
  <c r="L495" i="2"/>
  <c r="D495" i="2"/>
  <c r="AN481" i="2" a="1"/>
  <c r="AN481" i="2"/>
  <c r="AM481" i="2" a="1"/>
  <c r="AM481" i="2" s="1"/>
  <c r="AL481" i="2"/>
  <c r="AJ481" i="2"/>
  <c r="AF481" i="2" a="1"/>
  <c r="AF481" i="2" s="1"/>
  <c r="AE481" i="2" a="1"/>
  <c r="AE481" i="2"/>
  <c r="AD481" i="2"/>
  <c r="AB481" i="2"/>
  <c r="X481" i="2" a="1"/>
  <c r="X481" i="2"/>
  <c r="W481" i="2" a="1"/>
  <c r="W481" i="2"/>
  <c r="V481" i="2"/>
  <c r="T481" i="2"/>
  <c r="P481" i="2" a="1"/>
  <c r="P481" i="2"/>
  <c r="O481" i="2" a="1"/>
  <c r="O481" i="2"/>
  <c r="N481" i="2"/>
  <c r="L481" i="2"/>
  <c r="H481" i="2" a="1"/>
  <c r="H481" i="2"/>
  <c r="G481" i="2" a="1"/>
  <c r="G481" i="2" s="1"/>
  <c r="F481" i="2"/>
  <c r="D481" i="2"/>
  <c r="AJ480" i="2"/>
  <c r="AB480" i="2"/>
  <c r="T480" i="2"/>
  <c r="L480" i="2"/>
  <c r="D480" i="2"/>
  <c r="AN466" i="2" a="1"/>
  <c r="AN466" i="2" s="1"/>
  <c r="AM466" i="2" a="1"/>
  <c r="AM466" i="2" s="1"/>
  <c r="AL466" i="2"/>
  <c r="AJ466" i="2"/>
  <c r="AF466" i="2" a="1"/>
  <c r="AF466" i="2" s="1"/>
  <c r="AE466" i="2" a="1"/>
  <c r="AE466" i="2" s="1"/>
  <c r="AD466" i="2"/>
  <c r="AB466" i="2"/>
  <c r="X466" i="2" a="1"/>
  <c r="X466" i="2"/>
  <c r="W466" i="2" a="1"/>
  <c r="W466" i="2" s="1"/>
  <c r="V466" i="2"/>
  <c r="T466" i="2"/>
  <c r="P466" i="2" a="1"/>
  <c r="P466" i="2"/>
  <c r="O466" i="2" a="1"/>
  <c r="O466" i="2" s="1"/>
  <c r="N466" i="2"/>
  <c r="L466" i="2"/>
  <c r="H466" i="2" a="1"/>
  <c r="H466" i="2" s="1"/>
  <c r="G466" i="2" a="1"/>
  <c r="G466" i="2" s="1"/>
  <c r="F466" i="2"/>
  <c r="D466" i="2"/>
  <c r="AJ465" i="2"/>
  <c r="AB465" i="2"/>
  <c r="T465" i="2"/>
  <c r="L465" i="2"/>
  <c r="D465" i="2"/>
  <c r="AN451" i="2" a="1"/>
  <c r="AN451" i="2"/>
  <c r="AM451" i="2" a="1"/>
  <c r="AM451" i="2"/>
  <c r="AL451" i="2"/>
  <c r="AJ451" i="2"/>
  <c r="AF451" i="2" a="1"/>
  <c r="AF451" i="2"/>
  <c r="AE451" i="2" a="1"/>
  <c r="AE451" i="2"/>
  <c r="AD451" i="2"/>
  <c r="AB451" i="2"/>
  <c r="X451" i="2" a="1"/>
  <c r="X451" i="2" s="1"/>
  <c r="W451" i="2" a="1"/>
  <c r="W451" i="2"/>
  <c r="V451" i="2"/>
  <c r="T451" i="2"/>
  <c r="P451" i="2" a="1"/>
  <c r="P451" i="2"/>
  <c r="O451" i="2" a="1"/>
  <c r="O451" i="2"/>
  <c r="N451" i="2"/>
  <c r="L451" i="2"/>
  <c r="H451" i="2" a="1"/>
  <c r="H451" i="2"/>
  <c r="G451" i="2" a="1"/>
  <c r="G451" i="2"/>
  <c r="F451" i="2"/>
  <c r="D451" i="2"/>
  <c r="AJ450" i="2"/>
  <c r="AB450" i="2"/>
  <c r="T450" i="2"/>
  <c r="L450" i="2"/>
  <c r="D450" i="2"/>
  <c r="AN436" i="2" a="1"/>
  <c r="AN436" i="2"/>
  <c r="AM436" i="2" a="1"/>
  <c r="AM436" i="2"/>
  <c r="AL436" i="2"/>
  <c r="AJ436" i="2"/>
  <c r="AF436" i="2" a="1"/>
  <c r="AF436" i="2" s="1"/>
  <c r="AE436" i="2" a="1"/>
  <c r="AE436" i="2"/>
  <c r="AD436" i="2"/>
  <c r="AB436" i="2"/>
  <c r="X436" i="2" a="1"/>
  <c r="X436" i="2" s="1"/>
  <c r="W436" i="2" a="1"/>
  <c r="W436" i="2" s="1"/>
  <c r="V436" i="2"/>
  <c r="T436" i="2"/>
  <c r="P436" i="2" a="1"/>
  <c r="P436" i="2" s="1"/>
  <c r="O436" i="2" a="1"/>
  <c r="O436" i="2"/>
  <c r="N436" i="2"/>
  <c r="L436" i="2"/>
  <c r="H436" i="2" a="1"/>
  <c r="H436" i="2" s="1"/>
  <c r="G436" i="2" a="1"/>
  <c r="G436" i="2" s="1"/>
  <c r="F436" i="2"/>
  <c r="D436" i="2"/>
  <c r="AJ435" i="2"/>
  <c r="AB435" i="2"/>
  <c r="T435" i="2"/>
  <c r="L435" i="2"/>
  <c r="D435" i="2"/>
  <c r="AN421" i="2" a="1"/>
  <c r="AN421" i="2"/>
  <c r="AM421" i="2" a="1"/>
  <c r="AM421" i="2" s="1"/>
  <c r="AL421" i="2"/>
  <c r="AJ421" i="2"/>
  <c r="AF421" i="2" a="1"/>
  <c r="AF421" i="2" s="1"/>
  <c r="AE421" i="2" a="1"/>
  <c r="AE421" i="2"/>
  <c r="AD421" i="2"/>
  <c r="AB421" i="2"/>
  <c r="X421" i="2" a="1"/>
  <c r="X421" i="2"/>
  <c r="W421" i="2" a="1"/>
  <c r="W421" i="2"/>
  <c r="V421" i="2"/>
  <c r="T421" i="2"/>
  <c r="P421" i="2" a="1"/>
  <c r="P421" i="2"/>
  <c r="O421" i="2" a="1"/>
  <c r="O421" i="2"/>
  <c r="N421" i="2"/>
  <c r="L421" i="2"/>
  <c r="H421" i="2" a="1"/>
  <c r="H421" i="2"/>
  <c r="G421" i="2" a="1"/>
  <c r="G421" i="2" s="1"/>
  <c r="F421" i="2"/>
  <c r="D421" i="2"/>
  <c r="AJ420" i="2"/>
  <c r="AB420" i="2"/>
  <c r="T420" i="2"/>
  <c r="L420" i="2"/>
  <c r="D420" i="2"/>
  <c r="AN406" i="2" a="1"/>
  <c r="AN406" i="2" s="1"/>
  <c r="AM406" i="2" a="1"/>
  <c r="AM406" i="2" s="1"/>
  <c r="AL406" i="2"/>
  <c r="AJ406" i="2"/>
  <c r="AF406" i="2" a="1"/>
  <c r="AF406" i="2" s="1"/>
  <c r="AE406" i="2" a="1"/>
  <c r="AE406" i="2" s="1"/>
  <c r="AD406" i="2"/>
  <c r="AB406" i="2"/>
  <c r="X406" i="2" a="1"/>
  <c r="X406" i="2"/>
  <c r="W406" i="2" a="1"/>
  <c r="W406" i="2" s="1"/>
  <c r="V406" i="2"/>
  <c r="T406" i="2"/>
  <c r="P406" i="2" a="1"/>
  <c r="P406" i="2"/>
  <c r="O406" i="2" a="1"/>
  <c r="O406" i="2" s="1"/>
  <c r="N406" i="2"/>
  <c r="L406" i="2"/>
  <c r="H406" i="2" a="1"/>
  <c r="H406" i="2" s="1"/>
  <c r="G406" i="2" a="1"/>
  <c r="G406" i="2" s="1"/>
  <c r="F406" i="2"/>
  <c r="D406" i="2"/>
  <c r="AJ405" i="2"/>
  <c r="AB405" i="2"/>
  <c r="T405" i="2"/>
  <c r="L405" i="2"/>
  <c r="D405" i="2"/>
  <c r="AN391" i="2" a="1"/>
  <c r="AN391" i="2"/>
  <c r="AM391" i="2" a="1"/>
  <c r="AM391" i="2"/>
  <c r="AL391" i="2"/>
  <c r="AJ391" i="2"/>
  <c r="AF391" i="2" a="1"/>
  <c r="AF391" i="2"/>
  <c r="AE391" i="2" a="1"/>
  <c r="AE391" i="2"/>
  <c r="AD391" i="2"/>
  <c r="AB391" i="2"/>
  <c r="X391" i="2" a="1"/>
  <c r="X391" i="2" s="1"/>
  <c r="W391" i="2" a="1"/>
  <c r="W391" i="2"/>
  <c r="V391" i="2"/>
  <c r="T391" i="2"/>
  <c r="P391" i="2" a="1"/>
  <c r="P391" i="2"/>
  <c r="O391" i="2" a="1"/>
  <c r="O391" i="2"/>
  <c r="N391" i="2"/>
  <c r="L391" i="2"/>
  <c r="H391" i="2" a="1"/>
  <c r="H391" i="2"/>
  <c r="G391" i="2" a="1"/>
  <c r="G391" i="2"/>
  <c r="F391" i="2"/>
  <c r="D391" i="2"/>
  <c r="AJ390" i="2"/>
  <c r="AB390" i="2"/>
  <c r="T390" i="2"/>
  <c r="L390" i="2"/>
  <c r="D390" i="2"/>
  <c r="AN376" i="2" a="1"/>
  <c r="AN376" i="2"/>
  <c r="AM376" i="2" a="1"/>
  <c r="AM376" i="2"/>
  <c r="AL376" i="2"/>
  <c r="AJ376" i="2"/>
  <c r="AF376" i="2" a="1"/>
  <c r="AF376" i="2" s="1"/>
  <c r="AE376" i="2" a="1"/>
  <c r="AE376" i="2"/>
  <c r="AD376" i="2"/>
  <c r="AB376" i="2"/>
  <c r="X376" i="2" a="1"/>
  <c r="X376" i="2" s="1"/>
  <c r="W376" i="2" a="1"/>
  <c r="W376" i="2" s="1"/>
  <c r="V376" i="2"/>
  <c r="T376" i="2"/>
  <c r="P376" i="2" a="1"/>
  <c r="P376" i="2" s="1"/>
  <c r="O376" i="2" a="1"/>
  <c r="O376" i="2"/>
  <c r="N376" i="2"/>
  <c r="L376" i="2"/>
  <c r="H376" i="2" a="1"/>
  <c r="H376" i="2" s="1"/>
  <c r="G376" i="2" a="1"/>
  <c r="G376" i="2" s="1"/>
  <c r="F376" i="2"/>
  <c r="D376" i="2"/>
  <c r="AJ375" i="2"/>
  <c r="AB375" i="2"/>
  <c r="T375" i="2"/>
  <c r="L375" i="2"/>
  <c r="D375" i="2"/>
  <c r="AN361" i="2" a="1"/>
  <c r="AN361" i="2"/>
  <c r="AM361" i="2" a="1"/>
  <c r="AM361" i="2" s="1"/>
  <c r="AL361" i="2"/>
  <c r="AJ361" i="2"/>
  <c r="AF361" i="2" a="1"/>
  <c r="AF361" i="2" s="1"/>
  <c r="AE361" i="2" a="1"/>
  <c r="AE361" i="2"/>
  <c r="AD361" i="2"/>
  <c r="AB361" i="2"/>
  <c r="X361" i="2" a="1"/>
  <c r="X361" i="2"/>
  <c r="W361" i="2" a="1"/>
  <c r="W361" i="2"/>
  <c r="V361" i="2"/>
  <c r="T361" i="2"/>
  <c r="P361" i="2" a="1"/>
  <c r="P361" i="2"/>
  <c r="O361" i="2" a="1"/>
  <c r="O361" i="2"/>
  <c r="N361" i="2"/>
  <c r="L361" i="2"/>
  <c r="H361" i="2" a="1"/>
  <c r="H361" i="2"/>
  <c r="G361" i="2" a="1"/>
  <c r="G361" i="2" s="1"/>
  <c r="F361" i="2"/>
  <c r="D361" i="2"/>
  <c r="AJ360" i="2"/>
  <c r="AB360" i="2"/>
  <c r="T360" i="2"/>
  <c r="L360" i="2"/>
  <c r="D360" i="2"/>
  <c r="AN346" i="2" a="1"/>
  <c r="AN346" i="2" s="1"/>
  <c r="AM346" i="2" a="1"/>
  <c r="AM346" i="2" s="1"/>
  <c r="AL346" i="2"/>
  <c r="AJ346" i="2"/>
  <c r="AF346" i="2" a="1"/>
  <c r="AF346" i="2"/>
  <c r="AE346" i="2" a="1"/>
  <c r="AE346" i="2" s="1"/>
  <c r="AD346" i="2"/>
  <c r="AB346" i="2"/>
  <c r="X346" i="2" a="1"/>
  <c r="X346" i="2"/>
  <c r="W346" i="2" a="1"/>
  <c r="W346" i="2" s="1"/>
  <c r="V346" i="2"/>
  <c r="T346" i="2"/>
  <c r="P346" i="2" a="1"/>
  <c r="P346" i="2"/>
  <c r="O346" i="2" a="1"/>
  <c r="O346" i="2" s="1"/>
  <c r="N346" i="2"/>
  <c r="L346" i="2"/>
  <c r="H346" i="2" a="1"/>
  <c r="H346" i="2" s="1"/>
  <c r="G346" i="2" a="1"/>
  <c r="G346" i="2"/>
  <c r="F346" i="2"/>
  <c r="D346" i="2"/>
  <c r="AJ345" i="2"/>
  <c r="AB345" i="2"/>
  <c r="T345" i="2"/>
  <c r="L345" i="2"/>
  <c r="D345" i="2"/>
  <c r="AN331" i="2" a="1"/>
  <c r="AN331" i="2"/>
  <c r="AM331" i="2" a="1"/>
  <c r="AM331" i="2"/>
  <c r="AL331" i="2"/>
  <c r="AJ331" i="2"/>
  <c r="AF331" i="2" a="1"/>
  <c r="AF331" i="2"/>
  <c r="AE331" i="2" a="1"/>
  <c r="AE331" i="2"/>
  <c r="AD331" i="2"/>
  <c r="AB331" i="2"/>
  <c r="X331" i="2" a="1"/>
  <c r="X331" i="2" s="1"/>
  <c r="W331" i="2" a="1"/>
  <c r="W331" i="2"/>
  <c r="V331" i="2"/>
  <c r="T331" i="2"/>
  <c r="P331" i="2" a="1"/>
  <c r="P331" i="2"/>
  <c r="O331" i="2" a="1"/>
  <c r="O331" i="2"/>
  <c r="N331" i="2"/>
  <c r="L331" i="2"/>
  <c r="H331" i="2" a="1"/>
  <c r="H331" i="2"/>
  <c r="G331" i="2" a="1"/>
  <c r="G331" i="2"/>
  <c r="F331" i="2"/>
  <c r="D331" i="2"/>
  <c r="AJ330" i="2"/>
  <c r="AB330" i="2"/>
  <c r="T330" i="2"/>
  <c r="L330" i="2"/>
  <c r="D330" i="2"/>
  <c r="AN316" i="2" a="1"/>
  <c r="AN316" i="2"/>
  <c r="AM316" i="2" a="1"/>
  <c r="AM316" i="2"/>
  <c r="AL316" i="2"/>
  <c r="AJ316" i="2"/>
  <c r="AF316" i="2" a="1"/>
  <c r="AF316" i="2" s="1"/>
  <c r="AE316" i="2" a="1"/>
  <c r="AE316" i="2"/>
  <c r="AD316" i="2"/>
  <c r="AB316" i="2"/>
  <c r="X316" i="2" a="1"/>
  <c r="X316" i="2" s="1"/>
  <c r="W316" i="2" a="1"/>
  <c r="W316" i="2" s="1"/>
  <c r="V316" i="2"/>
  <c r="T316" i="2"/>
  <c r="P316" i="2" a="1"/>
  <c r="P316" i="2" s="1"/>
  <c r="O316" i="2" a="1"/>
  <c r="O316" i="2"/>
  <c r="N316" i="2"/>
  <c r="L316" i="2"/>
  <c r="H316" i="2" a="1"/>
  <c r="H316" i="2" s="1"/>
  <c r="G316" i="2" a="1"/>
  <c r="G316" i="2" s="1"/>
  <c r="F316" i="2"/>
  <c r="D316" i="2"/>
  <c r="AJ315" i="2"/>
  <c r="AB315" i="2"/>
  <c r="T315" i="2"/>
  <c r="L315" i="2"/>
  <c r="D315" i="2"/>
  <c r="AN301" i="2" a="1"/>
  <c r="AN301" i="2"/>
  <c r="AM301" i="2" a="1"/>
  <c r="AM301" i="2" s="1"/>
  <c r="AL301" i="2"/>
  <c r="AJ301" i="2"/>
  <c r="AF301" i="2" a="1"/>
  <c r="AF301" i="2" s="1"/>
  <c r="AE301" i="2" a="1"/>
  <c r="AE301" i="2"/>
  <c r="AD301" i="2"/>
  <c r="AB301" i="2"/>
  <c r="X301" i="2" a="1"/>
  <c r="X301" i="2"/>
  <c r="W301" i="2" a="1"/>
  <c r="W301" i="2"/>
  <c r="V301" i="2"/>
  <c r="T301" i="2"/>
  <c r="P301" i="2" a="1"/>
  <c r="P301" i="2"/>
  <c r="O301" i="2" a="1"/>
  <c r="O301" i="2"/>
  <c r="N301" i="2"/>
  <c r="L301" i="2"/>
  <c r="H301" i="2" a="1"/>
  <c r="H301" i="2"/>
  <c r="G301" i="2" a="1"/>
  <c r="G301" i="2" s="1"/>
  <c r="F301" i="2"/>
  <c r="D301" i="2"/>
  <c r="AJ300" i="2"/>
  <c r="AB300" i="2"/>
  <c r="T300" i="2"/>
  <c r="L300" i="2"/>
  <c r="D300" i="2"/>
  <c r="AN286" i="2" a="1"/>
  <c r="AN286" i="2" s="1"/>
  <c r="AM286" i="2" a="1"/>
  <c r="AM286" i="2" s="1"/>
  <c r="AL286" i="2"/>
  <c r="AJ286" i="2"/>
  <c r="AF286" i="2" a="1"/>
  <c r="AF286" i="2"/>
  <c r="AE286" i="2" a="1"/>
  <c r="AE286" i="2" s="1"/>
  <c r="AD286" i="2"/>
  <c r="AB286" i="2"/>
  <c r="X286" i="2" a="1"/>
  <c r="X286" i="2"/>
  <c r="W286" i="2" a="1"/>
  <c r="W286" i="2" s="1"/>
  <c r="V286" i="2"/>
  <c r="T286" i="2"/>
  <c r="P286" i="2" a="1"/>
  <c r="P286" i="2"/>
  <c r="O286" i="2" a="1"/>
  <c r="O286" i="2" s="1"/>
  <c r="N286" i="2"/>
  <c r="L286" i="2"/>
  <c r="H286" i="2" a="1"/>
  <c r="H286" i="2" s="1"/>
  <c r="G286" i="2" a="1"/>
  <c r="G286" i="2"/>
  <c r="F286" i="2"/>
  <c r="D286" i="2"/>
  <c r="AJ285" i="2"/>
  <c r="AB285" i="2"/>
  <c r="T285" i="2"/>
  <c r="L285" i="2"/>
  <c r="D285" i="2"/>
  <c r="AN271" i="2" a="1"/>
  <c r="AN271" i="2"/>
  <c r="AM271" i="2" a="1"/>
  <c r="AM271" i="2"/>
  <c r="AL271" i="2"/>
  <c r="AJ271" i="2"/>
  <c r="AF271" i="2" a="1"/>
  <c r="AF271" i="2"/>
  <c r="AE271" i="2" a="1"/>
  <c r="AE271" i="2"/>
  <c r="AD271" i="2"/>
  <c r="AB271" i="2"/>
  <c r="X271" i="2" a="1"/>
  <c r="X271" i="2" s="1"/>
  <c r="W271" i="2" a="1"/>
  <c r="W271" i="2"/>
  <c r="V271" i="2"/>
  <c r="T271" i="2"/>
  <c r="P271" i="2" a="1"/>
  <c r="P271" i="2"/>
  <c r="O271" i="2" a="1"/>
  <c r="O271" i="2"/>
  <c r="N271" i="2"/>
  <c r="L271" i="2"/>
  <c r="H271" i="2" a="1"/>
  <c r="H271" i="2"/>
  <c r="G271" i="2" a="1"/>
  <c r="G271" i="2"/>
  <c r="F271" i="2"/>
  <c r="D271" i="2"/>
  <c r="AJ270" i="2"/>
  <c r="AB270" i="2"/>
  <c r="T270" i="2"/>
  <c r="L270" i="2"/>
  <c r="D270" i="2"/>
  <c r="AN256" i="2" a="1"/>
  <c r="AN256" i="2"/>
  <c r="AM256" i="2" a="1"/>
  <c r="AM256" i="2"/>
  <c r="AL256" i="2"/>
  <c r="AJ256" i="2"/>
  <c r="AF256" i="2" a="1"/>
  <c r="AF256" i="2" s="1"/>
  <c r="AE256" i="2" a="1"/>
  <c r="AE256" i="2"/>
  <c r="AD256" i="2"/>
  <c r="AB256" i="2"/>
  <c r="X256" i="2" a="1"/>
  <c r="X256" i="2" s="1"/>
  <c r="W256" i="2" a="1"/>
  <c r="W256" i="2" s="1"/>
  <c r="V256" i="2"/>
  <c r="T256" i="2"/>
  <c r="P256" i="2" a="1"/>
  <c r="P256" i="2" s="1"/>
  <c r="O256" i="2" a="1"/>
  <c r="O256" i="2"/>
  <c r="N256" i="2"/>
  <c r="L256" i="2"/>
  <c r="H256" i="2" a="1"/>
  <c r="H256" i="2" s="1"/>
  <c r="G256" i="2" a="1"/>
  <c r="G256" i="2" s="1"/>
  <c r="F256" i="2"/>
  <c r="D256" i="2"/>
  <c r="AJ255" i="2"/>
  <c r="AB255" i="2"/>
  <c r="T255" i="2"/>
  <c r="L255" i="2"/>
  <c r="D255" i="2"/>
  <c r="AN241" i="2" a="1"/>
  <c r="AN241" i="2"/>
  <c r="AM241" i="2" a="1"/>
  <c r="AM241" i="2" s="1"/>
  <c r="AL241" i="2"/>
  <c r="AJ241" i="2"/>
  <c r="AF241" i="2" a="1"/>
  <c r="AF241" i="2" s="1"/>
  <c r="AE241" i="2" a="1"/>
  <c r="AE241" i="2"/>
  <c r="AD241" i="2"/>
  <c r="AB241" i="2"/>
  <c r="X241" i="2" a="1"/>
  <c r="X241" i="2"/>
  <c r="W241" i="2" a="1"/>
  <c r="W241" i="2"/>
  <c r="V241" i="2"/>
  <c r="T241" i="2"/>
  <c r="P241" i="2" a="1"/>
  <c r="P241" i="2"/>
  <c r="O241" i="2" a="1"/>
  <c r="O241" i="2"/>
  <c r="N241" i="2"/>
  <c r="L241" i="2"/>
  <c r="H241" i="2" a="1"/>
  <c r="H241" i="2"/>
  <c r="G241" i="2" a="1"/>
  <c r="G241" i="2" s="1"/>
  <c r="F241" i="2"/>
  <c r="D241" i="2"/>
  <c r="AJ240" i="2"/>
  <c r="AB240" i="2"/>
  <c r="T240" i="2"/>
  <c r="L240" i="2"/>
  <c r="D240" i="2"/>
  <c r="AN226" i="2" a="1"/>
  <c r="AN226" i="2" s="1"/>
  <c r="AM226" i="2" a="1"/>
  <c r="AM226" i="2" s="1"/>
  <c r="AL226" i="2"/>
  <c r="AJ226" i="2"/>
  <c r="AF226" i="2" a="1"/>
  <c r="AF226" i="2"/>
  <c r="AE226" i="2" a="1"/>
  <c r="AE226" i="2" s="1"/>
  <c r="AD226" i="2"/>
  <c r="AB226" i="2"/>
  <c r="X226" i="2" a="1"/>
  <c r="X226" i="2"/>
  <c r="W226" i="2" a="1"/>
  <c r="W226" i="2" s="1"/>
  <c r="V226" i="2"/>
  <c r="T226" i="2"/>
  <c r="P226" i="2" a="1"/>
  <c r="P226" i="2"/>
  <c r="O226" i="2" a="1"/>
  <c r="O226" i="2" s="1"/>
  <c r="N226" i="2"/>
  <c r="L226" i="2"/>
  <c r="H226" i="2" a="1"/>
  <c r="H226" i="2" s="1"/>
  <c r="G226" i="2" a="1"/>
  <c r="G226" i="2"/>
  <c r="F226" i="2"/>
  <c r="D226" i="2"/>
  <c r="AJ225" i="2"/>
  <c r="AB225" i="2"/>
  <c r="T225" i="2"/>
  <c r="L225" i="2"/>
  <c r="D225" i="2"/>
  <c r="AN211" i="2" a="1"/>
  <c r="AN211" i="2"/>
  <c r="AM211" i="2" a="1"/>
  <c r="AM211" i="2"/>
  <c r="AL211" i="2"/>
  <c r="AJ211" i="2"/>
  <c r="AF211" i="2" a="1"/>
  <c r="AF211" i="2"/>
  <c r="AE211" i="2" a="1"/>
  <c r="AE211" i="2"/>
  <c r="AD211" i="2"/>
  <c r="AB211" i="2"/>
  <c r="X211" i="2" a="1"/>
  <c r="X211" i="2" s="1"/>
  <c r="W211" i="2" a="1"/>
  <c r="W211" i="2"/>
  <c r="V211" i="2"/>
  <c r="T211" i="2"/>
  <c r="P211" i="2" a="1"/>
  <c r="P211" i="2"/>
  <c r="O211" i="2" a="1"/>
  <c r="O211" i="2"/>
  <c r="N211" i="2"/>
  <c r="L211" i="2"/>
  <c r="H211" i="2" a="1"/>
  <c r="H211" i="2"/>
  <c r="G211" i="2" a="1"/>
  <c r="G211" i="2"/>
  <c r="F211" i="2"/>
  <c r="D211" i="2"/>
  <c r="AJ210" i="2"/>
  <c r="AB210" i="2"/>
  <c r="T210" i="2"/>
  <c r="L210" i="2"/>
  <c r="D210" i="2"/>
  <c r="AN196" i="2" a="1"/>
  <c r="AN196" i="2"/>
  <c r="AM196" i="2" a="1"/>
  <c r="AM196" i="2"/>
  <c r="AL196" i="2"/>
  <c r="AJ196" i="2"/>
  <c r="AF196" i="2" a="1"/>
  <c r="AF196" i="2" s="1"/>
  <c r="AE196" i="2" a="1"/>
  <c r="AE196" i="2"/>
  <c r="AD196" i="2"/>
  <c r="AB196" i="2"/>
  <c r="X196" i="2" a="1"/>
  <c r="X196" i="2" s="1"/>
  <c r="W196" i="2" a="1"/>
  <c r="W196" i="2" s="1"/>
  <c r="V196" i="2"/>
  <c r="T196" i="2"/>
  <c r="P196" i="2" a="1"/>
  <c r="P196" i="2" s="1"/>
  <c r="O196" i="2" a="1"/>
  <c r="O196" i="2"/>
  <c r="N196" i="2"/>
  <c r="L196" i="2"/>
  <c r="H196" i="2" a="1"/>
  <c r="H196" i="2" s="1"/>
  <c r="G196" i="2" a="1"/>
  <c r="G196" i="2" s="1"/>
  <c r="F196" i="2"/>
  <c r="D196" i="2"/>
  <c r="AJ195" i="2"/>
  <c r="AB195" i="2"/>
  <c r="T195" i="2"/>
  <c r="L195" i="2"/>
  <c r="D195" i="2"/>
  <c r="AN181" i="2" a="1"/>
  <c r="AN181" i="2"/>
  <c r="AM181" i="2" a="1"/>
  <c r="AM181" i="2" s="1"/>
  <c r="AL181" i="2"/>
  <c r="AJ181" i="2"/>
  <c r="AF181" i="2" a="1"/>
  <c r="AF181" i="2" s="1"/>
  <c r="AE181" i="2" a="1"/>
  <c r="AE181" i="2"/>
  <c r="AD181" i="2"/>
  <c r="AB181" i="2"/>
  <c r="X181" i="2" a="1"/>
  <c r="X181" i="2"/>
  <c r="W181" i="2" a="1"/>
  <c r="W181" i="2"/>
  <c r="V181" i="2"/>
  <c r="T181" i="2"/>
  <c r="P181" i="2" a="1"/>
  <c r="P181" i="2"/>
  <c r="O181" i="2" a="1"/>
  <c r="O181" i="2"/>
  <c r="N181" i="2"/>
  <c r="L181" i="2"/>
  <c r="H181" i="2" a="1"/>
  <c r="H181" i="2"/>
  <c r="G181" i="2" a="1"/>
  <c r="G181" i="2" s="1"/>
  <c r="F181" i="2"/>
  <c r="D181" i="2"/>
  <c r="AJ180" i="2"/>
  <c r="AB180" i="2"/>
  <c r="T180" i="2"/>
  <c r="L180" i="2"/>
  <c r="D180" i="2"/>
  <c r="AN166" i="2" a="1"/>
  <c r="AN166" i="2" s="1"/>
  <c r="AM166" i="2" a="1"/>
  <c r="AM166" i="2" s="1"/>
  <c r="AL166" i="2"/>
  <c r="AJ166" i="2"/>
  <c r="AF166" i="2" a="1"/>
  <c r="AF166" i="2"/>
  <c r="AE166" i="2" a="1"/>
  <c r="AE166" i="2" s="1"/>
  <c r="AD166" i="2"/>
  <c r="AB166" i="2"/>
  <c r="X166" i="2" a="1"/>
  <c r="X166" i="2"/>
  <c r="W166" i="2" a="1"/>
  <c r="W166" i="2" s="1"/>
  <c r="V166" i="2"/>
  <c r="T166" i="2"/>
  <c r="P166" i="2" a="1"/>
  <c r="P166" i="2"/>
  <c r="O166" i="2" a="1"/>
  <c r="O166" i="2" s="1"/>
  <c r="N166" i="2"/>
  <c r="L166" i="2"/>
  <c r="H166" i="2" a="1"/>
  <c r="H166" i="2" s="1"/>
  <c r="G166" i="2" a="1"/>
  <c r="G166" i="2"/>
  <c r="F166" i="2"/>
  <c r="D166" i="2"/>
  <c r="AJ165" i="2"/>
  <c r="AB165" i="2"/>
  <c r="T165" i="2"/>
  <c r="L165" i="2"/>
  <c r="D165" i="2"/>
  <c r="AN151" i="2" a="1"/>
  <c r="AN151" i="2"/>
  <c r="AM151" i="2" a="1"/>
  <c r="AM151" i="2"/>
  <c r="AL151" i="2"/>
  <c r="AJ151" i="2"/>
  <c r="AF151" i="2" a="1"/>
  <c r="AF151" i="2"/>
  <c r="AE151" i="2" a="1"/>
  <c r="AE151" i="2"/>
  <c r="AD151" i="2"/>
  <c r="AB151" i="2"/>
  <c r="X151" i="2" a="1"/>
  <c r="X151" i="2" s="1"/>
  <c r="W151" i="2" a="1"/>
  <c r="W151" i="2"/>
  <c r="V151" i="2"/>
  <c r="T151" i="2"/>
  <c r="P151" i="2" a="1"/>
  <c r="P151" i="2"/>
  <c r="O151" i="2" a="1"/>
  <c r="O151" i="2"/>
  <c r="N151" i="2"/>
  <c r="L151" i="2"/>
  <c r="H151" i="2" a="1"/>
  <c r="H151" i="2"/>
  <c r="G151" i="2" a="1"/>
  <c r="G151" i="2"/>
  <c r="F151" i="2"/>
  <c r="D151" i="2"/>
  <c r="AJ150" i="2"/>
  <c r="AB150" i="2"/>
  <c r="T150" i="2"/>
  <c r="L150" i="2"/>
  <c r="D150" i="2"/>
  <c r="AN136" i="2" a="1"/>
  <c r="AN136" i="2"/>
  <c r="AM136" i="2" a="1"/>
  <c r="AM136" i="2"/>
  <c r="AL136" i="2"/>
  <c r="AJ136" i="2"/>
  <c r="AF136" i="2" a="1"/>
  <c r="AF136" i="2" s="1"/>
  <c r="AE136" i="2" a="1"/>
  <c r="AE136" i="2"/>
  <c r="AD136" i="2"/>
  <c r="AB136" i="2"/>
  <c r="X136" i="2" a="1"/>
  <c r="X136" i="2" s="1"/>
  <c r="W136" i="2" a="1"/>
  <c r="W136" i="2" s="1"/>
  <c r="V136" i="2"/>
  <c r="T136" i="2"/>
  <c r="P136" i="2" a="1"/>
  <c r="P136" i="2" s="1"/>
  <c r="O136" i="2" a="1"/>
  <c r="O136" i="2"/>
  <c r="N136" i="2"/>
  <c r="L136" i="2"/>
  <c r="H136" i="2" a="1"/>
  <c r="H136" i="2" s="1"/>
  <c r="G136" i="2" a="1"/>
  <c r="G136" i="2" s="1"/>
  <c r="F136" i="2"/>
  <c r="D136" i="2"/>
  <c r="AJ135" i="2"/>
  <c r="AB135" i="2"/>
  <c r="T135" i="2"/>
  <c r="L135" i="2"/>
  <c r="D135" i="2"/>
  <c r="AN121" i="2" a="1"/>
  <c r="AN121" i="2"/>
  <c r="AM121" i="2" a="1"/>
  <c r="AM121" i="2" s="1"/>
  <c r="AL121" i="2"/>
  <c r="AJ121" i="2"/>
  <c r="AF121" i="2" a="1"/>
  <c r="AF121" i="2" s="1"/>
  <c r="AE121" i="2" a="1"/>
  <c r="AE121" i="2"/>
  <c r="AD121" i="2"/>
  <c r="AB121" i="2"/>
  <c r="X121" i="2" a="1"/>
  <c r="X121" i="2"/>
  <c r="W121" i="2" a="1"/>
  <c r="W121" i="2"/>
  <c r="V121" i="2"/>
  <c r="T121" i="2"/>
  <c r="P121" i="2" a="1"/>
  <c r="P121" i="2"/>
  <c r="O121" i="2" a="1"/>
  <c r="O121" i="2"/>
  <c r="N121" i="2"/>
  <c r="L121" i="2"/>
  <c r="H121" i="2" a="1"/>
  <c r="H121" i="2"/>
  <c r="G121" i="2" a="1"/>
  <c r="G121" i="2" s="1"/>
  <c r="F121" i="2"/>
  <c r="D121" i="2"/>
  <c r="AJ120" i="2"/>
  <c r="AB120" i="2"/>
  <c r="T120" i="2"/>
  <c r="L120" i="2"/>
  <c r="D120" i="2"/>
  <c r="AN106" i="2" a="1"/>
  <c r="AN106" i="2" s="1"/>
  <c r="AM106" i="2" a="1"/>
  <c r="AM106" i="2" s="1"/>
  <c r="AL106" i="2"/>
  <c r="AJ106" i="2"/>
  <c r="AF106" i="2" a="1"/>
  <c r="AF106" i="2"/>
  <c r="AE106" i="2" a="1"/>
  <c r="AE106" i="2" s="1"/>
  <c r="AD106" i="2"/>
  <c r="AB106" i="2"/>
  <c r="X106" i="2" a="1"/>
  <c r="X106" i="2"/>
  <c r="W106" i="2" a="1"/>
  <c r="W106" i="2" s="1"/>
  <c r="V106" i="2"/>
  <c r="T106" i="2"/>
  <c r="P106" i="2" a="1"/>
  <c r="P106" i="2"/>
  <c r="O106" i="2" a="1"/>
  <c r="O106" i="2" s="1"/>
  <c r="N106" i="2"/>
  <c r="L106" i="2"/>
  <c r="H106" i="2" a="1"/>
  <c r="H106" i="2" s="1"/>
  <c r="G106" i="2" a="1"/>
  <c r="G106" i="2"/>
  <c r="F106" i="2"/>
  <c r="D106" i="2"/>
  <c r="AJ105" i="2"/>
  <c r="AB105" i="2"/>
  <c r="T105" i="2"/>
  <c r="L105" i="2"/>
  <c r="D105" i="2"/>
  <c r="AN91" i="2" a="1"/>
  <c r="AN91" i="2"/>
  <c r="AM91" i="2" a="1"/>
  <c r="AM91" i="2"/>
  <c r="AL91" i="2"/>
  <c r="AJ91" i="2"/>
  <c r="AF91" i="2" a="1"/>
  <c r="AF91" i="2"/>
  <c r="AE91" i="2" a="1"/>
  <c r="AE91" i="2"/>
  <c r="AD91" i="2"/>
  <c r="AB91" i="2"/>
  <c r="X91" i="2" a="1"/>
  <c r="X91" i="2" s="1"/>
  <c r="W91" i="2" a="1"/>
  <c r="W91" i="2"/>
  <c r="V91" i="2"/>
  <c r="T91" i="2"/>
  <c r="P91" i="2" a="1"/>
  <c r="P91" i="2"/>
  <c r="O91" i="2" a="1"/>
  <c r="O91" i="2"/>
  <c r="N91" i="2"/>
  <c r="L91" i="2"/>
  <c r="H91" i="2" a="1"/>
  <c r="H91" i="2"/>
  <c r="G91" i="2" a="1"/>
  <c r="G91" i="2"/>
  <c r="F91" i="2"/>
  <c r="D91" i="2"/>
  <c r="AJ90" i="2"/>
  <c r="AB90" i="2"/>
  <c r="T90" i="2"/>
  <c r="L90" i="2"/>
  <c r="D90" i="2"/>
  <c r="AN76" i="2" a="1"/>
  <c r="AN76" i="2"/>
  <c r="AM76" i="2" a="1"/>
  <c r="AM76" i="2"/>
  <c r="AL76" i="2"/>
  <c r="AJ76" i="2"/>
  <c r="AF76" i="2" a="1"/>
  <c r="AF76" i="2" s="1"/>
  <c r="AE76" i="2" a="1"/>
  <c r="AE76" i="2"/>
  <c r="AD76" i="2"/>
  <c r="AB76" i="2"/>
  <c r="X76" i="2" a="1"/>
  <c r="X76" i="2" s="1"/>
  <c r="W76" i="2" a="1"/>
  <c r="W76" i="2" s="1"/>
  <c r="V76" i="2"/>
  <c r="T76" i="2"/>
  <c r="P76" i="2" a="1"/>
  <c r="P76" i="2" s="1"/>
  <c r="O76" i="2" a="1"/>
  <c r="O76" i="2"/>
  <c r="N76" i="2"/>
  <c r="L76" i="2"/>
  <c r="H76" i="2" a="1"/>
  <c r="H76" i="2" s="1"/>
  <c r="G76" i="2" a="1"/>
  <c r="G76" i="2" s="1"/>
  <c r="F76" i="2"/>
  <c r="D76" i="2"/>
  <c r="AJ75" i="2"/>
  <c r="AB75" i="2"/>
  <c r="T75" i="2"/>
  <c r="L75" i="2"/>
  <c r="D75" i="2"/>
  <c r="AN61" i="2" a="1"/>
  <c r="AN61" i="2"/>
  <c r="AM61" i="2" a="1"/>
  <c r="AM61" i="2" s="1"/>
  <c r="AL61" i="2"/>
  <c r="AJ61" i="2"/>
  <c r="AF61" i="2" a="1"/>
  <c r="AF61" i="2" s="1"/>
  <c r="AE61" i="2" a="1"/>
  <c r="AE61" i="2"/>
  <c r="AD61" i="2"/>
  <c r="AB61" i="2"/>
  <c r="X61" i="2" a="1"/>
  <c r="X61" i="2"/>
  <c r="W61" i="2" a="1"/>
  <c r="W61" i="2"/>
  <c r="V61" i="2"/>
  <c r="T61" i="2"/>
  <c r="P61" i="2" a="1"/>
  <c r="P61" i="2"/>
  <c r="O61" i="2" a="1"/>
  <c r="O61" i="2"/>
  <c r="N61" i="2"/>
  <c r="L61" i="2"/>
  <c r="H61" i="2" a="1"/>
  <c r="H61" i="2"/>
  <c r="G61" i="2" a="1"/>
  <c r="G61" i="2" s="1"/>
  <c r="F61" i="2"/>
  <c r="D61" i="2"/>
  <c r="AJ60" i="2"/>
  <c r="AB60" i="2"/>
  <c r="T60" i="2"/>
  <c r="L60" i="2"/>
  <c r="D60" i="2"/>
  <c r="AN46" i="2" a="1"/>
  <c r="AN46" i="2" s="1"/>
  <c r="AM46" i="2" a="1"/>
  <c r="AM46" i="2" s="1"/>
  <c r="AL46" i="2"/>
  <c r="AJ46" i="2"/>
  <c r="AF46" i="2" a="1"/>
  <c r="AF46" i="2"/>
  <c r="AE46" i="2" a="1"/>
  <c r="AE46" i="2" s="1"/>
  <c r="AD46" i="2"/>
  <c r="AB46" i="2"/>
  <c r="X46" i="2" a="1"/>
  <c r="X46" i="2"/>
  <c r="W46" i="2" a="1"/>
  <c r="W46" i="2" s="1"/>
  <c r="V46" i="2"/>
  <c r="T46" i="2"/>
  <c r="P46" i="2" a="1"/>
  <c r="P46" i="2"/>
  <c r="O46" i="2" a="1"/>
  <c r="O46" i="2" s="1"/>
  <c r="N46" i="2"/>
  <c r="L46" i="2"/>
  <c r="H46" i="2" a="1"/>
  <c r="H46" i="2" s="1"/>
  <c r="G46" i="2" a="1"/>
  <c r="G46" i="2"/>
  <c r="F46" i="2"/>
  <c r="D46" i="2"/>
  <c r="AJ45" i="2"/>
  <c r="AB45" i="2"/>
  <c r="T45" i="2"/>
  <c r="L45" i="2"/>
  <c r="D45" i="2"/>
  <c r="AN31" i="2" a="1"/>
  <c r="AN31" i="2"/>
  <c r="AM31" i="2" a="1"/>
  <c r="AM31" i="2"/>
  <c r="AL31" i="2"/>
  <c r="AJ31" i="2"/>
  <c r="AF31" i="2" a="1"/>
  <c r="AF31" i="2"/>
  <c r="AE31" i="2" a="1"/>
  <c r="AE31" i="2"/>
  <c r="AD31" i="2"/>
  <c r="AB31" i="2"/>
  <c r="X31" i="2" a="1"/>
  <c r="X31" i="2" s="1"/>
  <c r="W31" i="2" a="1"/>
  <c r="W31" i="2"/>
  <c r="V31" i="2"/>
  <c r="T31" i="2"/>
  <c r="P31" i="2" a="1"/>
  <c r="P31" i="2"/>
  <c r="O31" i="2" a="1"/>
  <c r="O31" i="2"/>
  <c r="N31" i="2"/>
  <c r="L31" i="2"/>
  <c r="H31" i="2" a="1"/>
  <c r="H31" i="2"/>
  <c r="G31" i="2" a="1"/>
  <c r="G31" i="2"/>
  <c r="F31" i="2"/>
  <c r="D31" i="2"/>
  <c r="AJ30" i="2"/>
  <c r="AB30" i="2"/>
  <c r="T30" i="2"/>
  <c r="L30" i="2"/>
  <c r="D30" i="2"/>
  <c r="AN16" i="2" a="1"/>
  <c r="AN16" i="2"/>
  <c r="AM16" i="2" a="1"/>
  <c r="AM16" i="2"/>
  <c r="AL16" i="2"/>
  <c r="AJ16" i="2"/>
  <c r="AF16" i="2" a="1"/>
  <c r="AF16" i="2" s="1"/>
  <c r="AE16" i="2" a="1"/>
  <c r="AE16" i="2"/>
  <c r="AD16" i="2"/>
  <c r="AB16" i="2"/>
  <c r="X16" i="2" a="1"/>
  <c r="X16" i="2" s="1"/>
  <c r="W16" i="2" a="1"/>
  <c r="W16" i="2" s="1"/>
  <c r="V16" i="2"/>
  <c r="T16" i="2"/>
  <c r="P16" i="2" a="1"/>
  <c r="P16" i="2" s="1"/>
  <c r="O16" i="2" a="1"/>
  <c r="O16" i="2"/>
  <c r="N16" i="2"/>
  <c r="L16" i="2"/>
  <c r="H16" i="2" a="1"/>
  <c r="H16" i="2" s="1"/>
  <c r="G16" i="2" a="1"/>
  <c r="G16" i="2" s="1"/>
  <c r="F16" i="2"/>
  <c r="D16" i="2"/>
  <c r="AJ15" i="2"/>
  <c r="AB15" i="2"/>
  <c r="T15" i="2"/>
  <c r="L15" i="2"/>
  <c r="D15" i="2"/>
  <c r="AN76" i="1" a="1"/>
  <c r="AN76" i="1"/>
  <c r="AM76" i="1" a="1"/>
  <c r="AM76" i="1" s="1"/>
  <c r="AL76" i="1"/>
  <c r="AJ76" i="1"/>
  <c r="AF76" i="1" a="1"/>
  <c r="AF76" i="1" s="1"/>
  <c r="AE76" i="1" a="1"/>
  <c r="AE76" i="1"/>
  <c r="AD76" i="1"/>
  <c r="AB76" i="1"/>
  <c r="X76" i="1" a="1"/>
  <c r="X76" i="1"/>
  <c r="W76" i="1" a="1"/>
  <c r="W76" i="1"/>
  <c r="V76" i="1"/>
  <c r="T76" i="1"/>
  <c r="P76" i="1" a="1"/>
  <c r="P76" i="1"/>
  <c r="O76" i="1" a="1"/>
  <c r="O76" i="1"/>
  <c r="N76" i="1"/>
  <c r="L76" i="1"/>
  <c r="H76" i="1" a="1"/>
  <c r="H76" i="1"/>
  <c r="G76" i="1" a="1"/>
  <c r="G76" i="1" s="1"/>
  <c r="F76" i="1"/>
  <c r="D76" i="1"/>
  <c r="AJ75" i="1"/>
  <c r="AB75" i="1"/>
  <c r="T75" i="1"/>
  <c r="L75" i="1"/>
  <c r="D75" i="1"/>
  <c r="AN61" i="1" a="1"/>
  <c r="AN61" i="1" s="1"/>
  <c r="AM61" i="1" a="1"/>
  <c r="AM61" i="1" s="1"/>
  <c r="AL61" i="1"/>
  <c r="AJ61" i="1"/>
  <c r="AF61" i="1" a="1"/>
  <c r="AF61" i="1"/>
  <c r="AE61" i="1" a="1"/>
  <c r="AE61" i="1" s="1"/>
  <c r="AD61" i="1"/>
  <c r="AB61" i="1"/>
  <c r="X61" i="1" a="1"/>
  <c r="X61" i="1"/>
  <c r="W61" i="1" a="1"/>
  <c r="W61" i="1"/>
  <c r="V61" i="1"/>
  <c r="T61" i="1"/>
  <c r="P61" i="1" a="1"/>
  <c r="P61" i="1"/>
  <c r="O61" i="1" a="1"/>
  <c r="O61" i="1" s="1"/>
  <c r="N61" i="1"/>
  <c r="L61" i="1"/>
  <c r="H61" i="1" a="1"/>
  <c r="H61" i="1" s="1"/>
  <c r="G61" i="1" a="1"/>
  <c r="G61" i="1"/>
  <c r="F61" i="1"/>
  <c r="D61" i="1"/>
  <c r="AJ60" i="1"/>
  <c r="AB60" i="1"/>
  <c r="T60" i="1"/>
  <c r="L60" i="1"/>
  <c r="D60" i="1"/>
  <c r="AN46" i="1" a="1"/>
  <c r="AN46" i="1"/>
  <c r="AM46" i="1" a="1"/>
  <c r="AM46" i="1"/>
  <c r="AL46" i="1"/>
  <c r="AJ46" i="1"/>
  <c r="AF46" i="1" a="1"/>
  <c r="AF46" i="1"/>
  <c r="AE46" i="1" a="1"/>
  <c r="AE46" i="1"/>
  <c r="AD46" i="1"/>
  <c r="AB46" i="1"/>
  <c r="X46" i="1" a="1"/>
  <c r="X46" i="1" s="1"/>
  <c r="W46" i="1" a="1"/>
  <c r="W46" i="1"/>
  <c r="V46" i="1"/>
  <c r="T46" i="1"/>
  <c r="P46" i="1" a="1"/>
  <c r="P46" i="1"/>
  <c r="O46" i="1" a="1"/>
  <c r="O46" i="1"/>
  <c r="N46" i="1"/>
  <c r="L46" i="1"/>
  <c r="H46" i="1" a="1"/>
  <c r="H46" i="1"/>
  <c r="G46" i="1" a="1"/>
  <c r="G46" i="1"/>
  <c r="F46" i="1"/>
  <c r="D46" i="1"/>
  <c r="AJ45" i="1"/>
  <c r="AB45" i="1"/>
  <c r="T45" i="1"/>
  <c r="L45" i="1"/>
  <c r="D45" i="1"/>
  <c r="AN31" i="1" a="1"/>
  <c r="AN31" i="1"/>
  <c r="AM31" i="1" a="1"/>
  <c r="AM31" i="1"/>
  <c r="AL31" i="1"/>
  <c r="AJ31" i="1"/>
  <c r="AF31" i="1" a="1"/>
  <c r="AF31" i="1" s="1"/>
  <c r="AE31" i="1" a="1"/>
  <c r="AE31" i="1"/>
  <c r="AD31" i="1"/>
  <c r="AB31" i="1"/>
  <c r="X31" i="1" a="1"/>
  <c r="X31" i="1" s="1"/>
  <c r="W31" i="1" a="1"/>
  <c r="W31" i="1" s="1"/>
  <c r="V31" i="1"/>
  <c r="T31" i="1"/>
  <c r="P31" i="1" a="1"/>
  <c r="P31" i="1" s="1"/>
  <c r="O31" i="1" a="1"/>
  <c r="O31" i="1"/>
  <c r="N31" i="1"/>
  <c r="L31" i="1"/>
  <c r="H31" i="1" a="1"/>
  <c r="H31" i="1" s="1"/>
  <c r="G31" i="1" a="1"/>
  <c r="G31" i="1" s="1"/>
  <c r="F31" i="1"/>
  <c r="D31" i="1"/>
  <c r="AJ30" i="1"/>
  <c r="AB30" i="1"/>
  <c r="T30" i="1"/>
  <c r="L30" i="1"/>
  <c r="D30" i="1"/>
  <c r="AN16" i="1" a="1"/>
  <c r="AN16" i="1"/>
  <c r="AM16" i="1" a="1"/>
  <c r="AM16" i="1" s="1"/>
  <c r="AL16" i="1"/>
  <c r="AJ16" i="1"/>
  <c r="AF16" i="1" a="1"/>
  <c r="AF16" i="1" s="1"/>
  <c r="AE16" i="1" a="1"/>
  <c r="AE16" i="1"/>
  <c r="AD16" i="1"/>
  <c r="AB16" i="1"/>
  <c r="X16" i="1" a="1"/>
  <c r="X16" i="1"/>
  <c r="W16" i="1" a="1"/>
  <c r="W16" i="1"/>
  <c r="V16" i="1"/>
  <c r="T16" i="1"/>
  <c r="P16" i="1" a="1"/>
  <c r="P16" i="1"/>
  <c r="O16" i="1" a="1"/>
  <c r="O16" i="1"/>
  <c r="N16" i="1"/>
  <c r="L16" i="1"/>
  <c r="H16" i="1" a="1"/>
  <c r="H16" i="1"/>
  <c r="G16" i="1" a="1"/>
  <c r="G16" i="1" s="1"/>
  <c r="F16" i="1"/>
  <c r="D16" i="1"/>
  <c r="AJ15" i="1"/>
  <c r="AB15" i="1"/>
  <c r="T15" i="1"/>
  <c r="L15" i="1"/>
  <c r="D15" i="1"/>
</calcChain>
</file>

<file path=xl/sharedStrings.xml><?xml version="1.0" encoding="utf-8"?>
<sst xmlns="http://schemas.openxmlformats.org/spreadsheetml/2006/main" count="18121" uniqueCount="220">
  <si>
    <t>case</t>
  </si>
  <si>
    <t>L(L1,L2,L3)*P(MTZ1,MTZ2,MTZ3)</t>
  </si>
  <si>
    <t>ISOA</t>
  </si>
  <si>
    <t>SOA</t>
  </si>
  <si>
    <t>MWOA</t>
  </si>
  <si>
    <t>JCGA</t>
  </si>
  <si>
    <t>IABC</t>
  </si>
  <si>
    <t>L(14,7,4)*P(1,1,1)</t>
  </si>
  <si>
    <t>实验次数</t>
  </si>
  <si>
    <t>最优适应度f</t>
  </si>
  <si>
    <t>每代适应度值</t>
  </si>
  <si>
    <t>每台机器上工件的加工顺序</t>
  </si>
  <si>
    <t>总配套关系</t>
  </si>
  <si>
    <t>各配套时刻</t>
  </si>
  <si>
    <t>程序运行时间</t>
  </si>
  <si>
    <t>备注</t>
  </si>
  <si>
    <t>current_best</t>
  </si>
  <si>
    <t>RSD</t>
  </si>
  <si>
    <t>BRPD</t>
  </si>
  <si>
    <t>MPRD</t>
  </si>
  <si>
    <t xml:space="preserve">Average </t>
  </si>
  <si>
    <t>L(14,7,4)*P(2,2,2)</t>
  </si>
  <si>
    <t>L(14,7,4)*P(3,4,2)</t>
  </si>
  <si>
    <t>L(14,7,4)*P(5,7,3)</t>
  </si>
  <si>
    <t>L(14,7,4)*P(7,9,5)</t>
  </si>
  <si>
    <t>SET</t>
  </si>
  <si>
    <t>L(10,7,4)*P(1,2,1)</t>
  </si>
  <si>
    <t>L(10,7,4)*P(2,2,1)</t>
  </si>
  <si>
    <t>L(12,7,5)*P(2,1,2)</t>
  </si>
  <si>
    <t>L(12,7,5)*P(3,2,2)</t>
  </si>
  <si>
    <t>L(14,7,4)*P(3,3,2)</t>
  </si>
  <si>
    <t>L(14,7,4)*P(4,2,3)</t>
  </si>
  <si>
    <t>L(10,7,4)*P(2,1,2)+C95</t>
  </si>
  <si>
    <t>L(14,8,5)*P(4,2,3)</t>
  </si>
  <si>
    <t>L(14,8,5)*P(4,3,3)</t>
  </si>
  <si>
    <t>L(10,7,4)*P(1,1,2)</t>
  </si>
  <si>
    <t>L(10,7,4)*P(2,1,2)</t>
  </si>
  <si>
    <t>L(12,7,5)*P(2,2,1)</t>
  </si>
  <si>
    <t>L(12,7,5)*P(2,3,2)</t>
  </si>
  <si>
    <t>L(14,7,4)*P(2,3,3)</t>
  </si>
  <si>
    <t>L(14,7,4)*P(4,3,2)</t>
  </si>
  <si>
    <t>L(14,8,5)*P(4,3,2)</t>
  </si>
  <si>
    <t>L(14,8,5)*P(3,4,3)</t>
  </si>
  <si>
    <t>L(10,7,4)*P(2,1,1)</t>
  </si>
  <si>
    <t>L(10,7,4)*P(1,2,2)</t>
  </si>
  <si>
    <t>L(12,7,5)*P(1,2,2)</t>
  </si>
  <si>
    <t>L(12,7,5)*P(2,2,3)</t>
  </si>
  <si>
    <t>L(14,7,4)*P(3,2,3)</t>
  </si>
  <si>
    <t>L(14,8,5)*P(3,4,2)</t>
  </si>
  <si>
    <t>L(14,8,5)*P(3,3,4)</t>
  </si>
  <si>
    <t>L(10,7,4)*P(2,2,0)</t>
  </si>
  <si>
    <t>L(10,7,4)*P(1,1,3)</t>
  </si>
  <si>
    <t>L(12,7,5)*P(3,0,2)</t>
  </si>
  <si>
    <t>L(12,7,5)*P(1,4,2)</t>
  </si>
  <si>
    <t>L(14,7,4)*P(4,3,1)</t>
  </si>
  <si>
    <t>L(14,7,4)*P(3,2,4)</t>
  </si>
  <si>
    <t>L(14,8,5)*P(3,2,4)</t>
  </si>
  <si>
    <t>L(14,8,5)*P(2,4,4)</t>
  </si>
  <si>
    <t>L(10,7,4)*P(3,0,1)</t>
  </si>
  <si>
    <t>L(10,7,4)*P(1,3,1)</t>
  </si>
  <si>
    <t>L(12,7,5)*P(0,3,2)</t>
  </si>
  <si>
    <t>L(12,7,5)*P(1,3,3)</t>
  </si>
  <si>
    <t>L(14,7,4)*P(3,1,4)</t>
  </si>
  <si>
    <t>L(14,7,4)*P(2,3,4)</t>
  </si>
  <si>
    <t>L(14,8,5)*P(2,3,4)</t>
  </si>
  <si>
    <t>L(14,8,5)*P(4,2,4)</t>
  </si>
  <si>
    <t>L(14,9,6)*P(5,5,5)</t>
  </si>
  <si>
    <t>L(14,9,6)*P(6,6,5)</t>
  </si>
  <si>
    <t>L(15,9,6)*P(6,5,6)</t>
  </si>
  <si>
    <t>L(15,9,6)*P(7,5,7)</t>
  </si>
  <si>
    <t>L(16,10,7)*P(7,8,5)</t>
  </si>
  <si>
    <t>L(16,10,7)*P(8,7,6)</t>
  </si>
  <si>
    <t>L(17,10,8)*P(8,8,6)</t>
  </si>
  <si>
    <t>L(17,10,8)*P(9,8,7)</t>
  </si>
  <si>
    <t>L(14,9,6)*P(4,5,6)</t>
  </si>
  <si>
    <t>L(14,9,6)*P(6,5,6)</t>
  </si>
  <si>
    <t>L(15,9,6)*P(5,6,6)</t>
  </si>
  <si>
    <t>L(15,9,6)*P(5,7,7)</t>
  </si>
  <si>
    <t>L(16,10,7)*P(5,8,7)</t>
  </si>
  <si>
    <t>L(16,10,7)*P(8,6,7)</t>
  </si>
  <si>
    <t>L(17,10,8)*P(6,8,8)</t>
  </si>
  <si>
    <t>L(17,10,8)*P(9,7,8)</t>
  </si>
  <si>
    <t>L(14,9,6)*P(6,5,4)</t>
  </si>
  <si>
    <t>L(14,9,6)*P(5,6,6)</t>
  </si>
  <si>
    <t>L(15,9,6)*P(6,6,5)</t>
  </si>
  <si>
    <t>L(15,9,6)*P(7,7,5)</t>
  </si>
  <si>
    <t>L(16,10,7)*P(7,5,8)</t>
  </si>
  <si>
    <t>L(16,10,7)*P(7,8,6)</t>
  </si>
  <si>
    <t>L(17,10,8)*P(8,6,8)</t>
  </si>
  <si>
    <t>L(17,10,8)*P(7,8,9)</t>
  </si>
  <si>
    <t>L(14,9,6)*P(5,6,4)</t>
  </si>
  <si>
    <t>L(14,9,6)*P(7,5,5)</t>
  </si>
  <si>
    <t>L(15,9,6)*P(7,4,6)</t>
  </si>
  <si>
    <t>L(15,9,6)*P(7,6,6)</t>
  </si>
  <si>
    <t>L(16,10,7)*P(8,7,5)</t>
  </si>
  <si>
    <t>L(16,10,7)*P(7,6,8)</t>
  </si>
  <si>
    <t>L(17,10,8)*P(7,9,6)</t>
  </si>
  <si>
    <t>L(17,10,8)*P(7,9,8)</t>
  </si>
  <si>
    <t>L(14,9,6)*P(5,4,6)</t>
  </si>
  <si>
    <t>L(14,9,6)*P(5,7,5)</t>
  </si>
  <si>
    <t>L(15,9,6)*P(7,6,4)</t>
  </si>
  <si>
    <t>L(15,9,6)*P(6,6,7)</t>
  </si>
  <si>
    <t>L(16,10,7)*P(8,5,7)</t>
  </si>
  <si>
    <t>L(16,10,7)*P(6,7,8)</t>
  </si>
  <si>
    <t>L(17,10,8)*P(7,6,9)</t>
  </si>
  <si>
    <t>L(17,10,8)*P(8,9,7)</t>
  </si>
  <si>
    <t>L(18,12,10)*P(10,10,10)</t>
  </si>
  <si>
    <t>L(18,12,10)*P(10,12,11)</t>
  </si>
  <si>
    <t>L(19,12,11)*P(11,10,13)</t>
  </si>
  <si>
    <t>L(19,12,11)*P(11,12,13)</t>
  </si>
  <si>
    <t>L(20,13,10)*P(12,12,12)</t>
  </si>
  <si>
    <t>L(20,13,10)*P(12,13,14)</t>
  </si>
  <si>
    <t>L(21,14,12)*P(13,14,14)</t>
  </si>
  <si>
    <t>L(21,14,12)*P(13,14,15)</t>
  </si>
  <si>
    <t>L(18,12,10)*P(11,10,9)</t>
  </si>
  <si>
    <t>L(18,12,10)*P(10,11,12)</t>
  </si>
  <si>
    <t>L(19,12,11)*P(11,13,10)</t>
  </si>
  <si>
    <t>L(19,12,11)*P(11,13,12)</t>
  </si>
  <si>
    <t>L(20,13,10)*P(11,13,12)</t>
  </si>
  <si>
    <t>L(20,13,10)*P(12,14,13)</t>
  </si>
  <si>
    <t>L(21,14,12)*P(14,13,14)</t>
  </si>
  <si>
    <t>L(21,14,12)*P(13,15,14)</t>
  </si>
  <si>
    <t>L(18,12,10)*P(11,9,10)</t>
  </si>
  <si>
    <t>L(18,12,10)*P(11,12,10)</t>
  </si>
  <si>
    <t>L(19,12,11)*P(11,12,11)</t>
  </si>
  <si>
    <t>L(19,12,11)*P(12,11,13)</t>
  </si>
  <si>
    <t>L(20,13,10)*P(12,11,13)</t>
  </si>
  <si>
    <t>L(20,13,10)*P(13,12,14)</t>
  </si>
  <si>
    <t>L(21,14,12)*P(14,14,13)</t>
  </si>
  <si>
    <t>L(21,14,12)*P(14,13,15)</t>
  </si>
  <si>
    <t>L(18,12,10)*P(11,8,11)</t>
  </si>
  <si>
    <t>L(18,12,10)*P(11,10,12)</t>
  </si>
  <si>
    <t>L(19,12,11)*P(11,11,12)</t>
  </si>
  <si>
    <t>L(19,12,11)*P(12,13,11)</t>
  </si>
  <si>
    <t>L(20,13,10)*P(12,13,11)</t>
  </si>
  <si>
    <t>L(20,13,10)*P(13,14,12)</t>
  </si>
  <si>
    <t>L(21,14,12)*P(14,12,15)</t>
  </si>
  <si>
    <t>L(21,14,12)*P(14,15,13)</t>
  </si>
  <si>
    <t>L(18,12,10)*P(11,11,8)</t>
  </si>
  <si>
    <t>L(18,12,10)*P(12,10,11)</t>
  </si>
  <si>
    <t>L(19,12,11)*P(12,11,11)</t>
  </si>
  <si>
    <t>L(19,12,11)*P(13,12,11)</t>
  </si>
  <si>
    <t>L(20,13,10)*P(13,12,11)</t>
  </si>
  <si>
    <t>L(20,13,10)*P(14,13,12)</t>
  </si>
  <si>
    <t>L(21,14,12)*P(14,15,12)</t>
  </si>
  <si>
    <t>L(21,14,12)*P(15,14,13)</t>
  </si>
  <si>
    <t>工件ID</t>
  </si>
  <si>
    <t>工件类型</t>
  </si>
  <si>
    <t>绕线</t>
  </si>
  <si>
    <t>点UV胶</t>
  </si>
  <si>
    <t>挂锡</t>
  </si>
  <si>
    <t>RCL测试</t>
  </si>
  <si>
    <t>焊接</t>
  </si>
  <si>
    <t>铆压</t>
  </si>
  <si>
    <t>二次挂锡</t>
  </si>
  <si>
    <t>二次点胶</t>
  </si>
  <si>
    <t>FTM测试</t>
  </si>
  <si>
    <t>包装</t>
  </si>
  <si>
    <t>左右侧板铆压</t>
  </si>
  <si>
    <t>马达铆压</t>
  </si>
  <si>
    <t>机构零件铆压</t>
  </si>
  <si>
    <t>主半轴组装</t>
  </si>
  <si>
    <t>主半轴稳定测试</t>
  </si>
  <si>
    <t>机构主轴组装</t>
  </si>
  <si>
    <t>机构装配</t>
  </si>
  <si>
    <t>灭弧室上盖组装</t>
  </si>
  <si>
    <t>引弧片放置</t>
  </si>
  <si>
    <t>灭弧室装配</t>
  </si>
  <si>
    <t>剩余能量检测</t>
  </si>
  <si>
    <t>成品类型</t>
  </si>
  <si>
    <t>成品总装配</t>
  </si>
  <si>
    <t>HRB73339L</t>
  </si>
  <si>
    <t>互感器A</t>
  </si>
  <si>
    <t>QGH61208</t>
  </si>
  <si>
    <t>机构D</t>
  </si>
  <si>
    <t>04442948AAP</t>
  </si>
  <si>
    <t>灭弧室F</t>
  </si>
  <si>
    <t>MFR613070</t>
  </si>
  <si>
    <t>MTZ1</t>
  </si>
  <si>
    <t>HRB73341L</t>
  </si>
  <si>
    <t>互感器B</t>
  </si>
  <si>
    <t>QGH61210</t>
  </si>
  <si>
    <t>机构E</t>
  </si>
  <si>
    <t>04443952AAP</t>
  </si>
  <si>
    <t>灭弧室G</t>
  </si>
  <si>
    <t>MFR613080</t>
  </si>
  <si>
    <t>MTZ2</t>
  </si>
  <si>
    <t>HRB73452L</t>
  </si>
  <si>
    <t>互感器C</t>
  </si>
  <si>
    <t>MFR613090</t>
  </si>
  <si>
    <t>MTZ3</t>
  </si>
  <si>
    <t>产线编号</t>
  </si>
  <si>
    <t>工序</t>
  </si>
  <si>
    <t>机器个数</t>
  </si>
  <si>
    <t>L1</t>
  </si>
  <si>
    <t>点uv胶/二次点胶</t>
  </si>
  <si>
    <t>挂锡/二次挂锡</t>
  </si>
  <si>
    <t>互感器包装</t>
  </si>
  <si>
    <t>L2</t>
  </si>
  <si>
    <t>主半轴装配</t>
  </si>
  <si>
    <t>主半轴稳定性测试</t>
  </si>
  <si>
    <t>机构主轴装配</t>
  </si>
  <si>
    <t>L3</t>
  </si>
  <si>
    <t>灭弧室上盖装配</t>
  </si>
  <si>
    <t>L4</t>
  </si>
  <si>
    <t>订单编号</t>
  </si>
  <si>
    <t>产品类型</t>
  </si>
  <si>
    <t>交货期</t>
  </si>
  <si>
    <t>L(L1,L2,L3)*P(MTZ1,MTZ2,MTZ3)*np</t>
  </si>
  <si>
    <t>机器个数分配数据</t>
  </si>
  <si>
    <t>产品数据</t>
  </si>
  <si>
    <t>工序加工时间数据</t>
  </si>
  <si>
    <t>L(10,7,4)*P(1,2,1)*40</t>
  </si>
  <si>
    <t>L(10,7,4)*P(2,2,1)*50</t>
  </si>
  <si>
    <t>L(12,7,5)*P(2,1,2)*50</t>
  </si>
  <si>
    <t>L(12,7,5)*P(3,2,2)*70</t>
  </si>
  <si>
    <t>L(14,7,4)*P(3,3,2)*80</t>
  </si>
  <si>
    <t>L(14,7,4)*P(4,2,3)*90</t>
  </si>
  <si>
    <t>L(14,8,5)*P(4,2,3)*90</t>
  </si>
  <si>
    <t>L(14,8,5)*P(4,3,3)*100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</si>
</sst>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sz val="9"/>
      <name val="等线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sz val="72"/>
      <color theme="1"/>
      <name val="等线"/>
      <family val="2"/>
      <scheme val="minor"/>
    </font>
    <font>
      <sz val="12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theme="4" tint="-0.249977111117893"/>
      </top>
      <bottom/>
      <diagonal/>
    </border>
    <border>
      <left style="thick">
        <color theme="4" tint="-0.249977111117893"/>
      </left>
      <right/>
      <top style="thick">
        <color theme="4" tint="-0.249977111117893"/>
      </top>
      <bottom/>
      <diagonal/>
    </border>
    <border>
      <left/>
      <right style="thick">
        <color theme="4" tint="-0.249977111117893"/>
      </right>
      <top style="thick">
        <color theme="4" tint="-0.249977111117893"/>
      </top>
      <bottom/>
      <diagonal/>
    </border>
    <border>
      <left style="thick">
        <color theme="4" tint="-0.249977111117893"/>
      </left>
      <right/>
      <top/>
      <bottom/>
      <diagonal/>
    </border>
    <border>
      <left/>
      <right style="thick">
        <color theme="4" tint="-0.249977111117893"/>
      </right>
      <top/>
      <bottom/>
      <diagonal/>
    </border>
    <border>
      <left style="thick">
        <color theme="4" tint="-0.249977111117893"/>
      </left>
      <right/>
      <top/>
      <bottom style="thick">
        <color theme="4" tint="-0.249977111117893"/>
      </bottom>
      <diagonal/>
    </border>
    <border>
      <left/>
      <right/>
      <top/>
      <bottom style="thick">
        <color theme="4" tint="-0.249977111117893"/>
      </bottom>
      <diagonal/>
    </border>
    <border>
      <left/>
      <right style="thick">
        <color theme="4" tint="-0.249977111117893"/>
      </right>
      <top/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theme="4" tint="-0.249977111117893"/>
      </right>
      <top/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/>
      <diagonal/>
    </border>
    <border>
      <left style="thick">
        <color theme="4" tint="-0.249977111117893"/>
      </left>
      <right style="thick">
        <color theme="4" tint="-0.249977111117893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 style="thick">
        <color theme="4" tint="-0.249977111117893"/>
      </bottom>
      <diagonal/>
    </border>
    <border>
      <left/>
      <right/>
      <top/>
      <bottom style="thick">
        <color rgb="FFEE0000"/>
      </bottom>
      <diagonal/>
    </border>
    <border>
      <left/>
      <right/>
      <top style="thick">
        <color rgb="FFEE0000"/>
      </top>
      <bottom/>
      <diagonal/>
    </border>
    <border>
      <left/>
      <right style="thick">
        <color rgb="FFEE0000"/>
      </right>
      <top style="thick">
        <color rgb="FFEE0000"/>
      </top>
      <bottom/>
      <diagonal/>
    </border>
    <border>
      <left style="thick">
        <color rgb="FFEE0000"/>
      </left>
      <right/>
      <top/>
      <bottom style="thick">
        <color theme="4" tint="-0.249977111117893"/>
      </bottom>
      <diagonal/>
    </border>
    <border>
      <left style="thick">
        <color rgb="FFEE0000"/>
      </left>
      <right/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rgb="FFEE0000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rgb="FFEE0000"/>
      </left>
      <right/>
      <top/>
      <bottom/>
      <diagonal/>
    </border>
    <border>
      <left style="thick">
        <color rgb="FFEE0000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rgb="FFEE0000"/>
      </left>
      <right style="thick">
        <color theme="4" tint="-0.249977111117893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rgb="FFEE0000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rgb="FFEE0000"/>
      </right>
      <top/>
      <bottom style="thick">
        <color theme="4" tint="-0.249977111117893"/>
      </bottom>
      <diagonal/>
    </border>
    <border>
      <left style="thick">
        <color rgb="FFEE0000"/>
      </left>
      <right/>
      <top/>
      <bottom style="thick">
        <color rgb="FFEE0000"/>
      </bottom>
      <diagonal/>
    </border>
    <border>
      <left/>
      <right style="thick">
        <color rgb="FFEE0000"/>
      </right>
      <top/>
      <bottom style="thick">
        <color rgb="FFEE0000"/>
      </bottom>
      <diagonal/>
    </border>
    <border>
      <left style="thick">
        <color rgb="FFEE0000"/>
      </left>
      <right style="thick">
        <color rgb="FFEE0000"/>
      </right>
      <top style="thick">
        <color rgb="FFEE0000"/>
      </top>
      <bottom style="thick">
        <color rgb="FFEE0000"/>
      </bottom>
      <diagonal/>
    </border>
    <border>
      <left/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/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rgb="FFEE0000"/>
      </right>
      <top/>
      <bottom/>
      <diagonal/>
    </border>
    <border>
      <left/>
      <right/>
      <top style="thick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/>
    <xf numFmtId="14" fontId="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0" fillId="0" borderId="4" xfId="0" applyBorder="1"/>
    <xf numFmtId="0" fontId="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6" xfId="0" applyBorder="1"/>
    <xf numFmtId="0" fontId="0" fillId="0" borderId="19" xfId="0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/>
    </xf>
    <xf numFmtId="0" fontId="0" fillId="0" borderId="10" xfId="0" applyBorder="1"/>
    <xf numFmtId="0" fontId="0" fillId="0" borderId="13" xfId="0" applyBorder="1"/>
    <xf numFmtId="0" fontId="14" fillId="0" borderId="38" xfId="0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14" fillId="0" borderId="36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34" xfId="0" applyBorder="1"/>
    <xf numFmtId="0" fontId="0" fillId="0" borderId="22" xfId="0" applyBorder="1"/>
    <xf numFmtId="0" fontId="0" fillId="0" borderId="35" xfId="0" applyBorder="1"/>
    <xf numFmtId="0" fontId="14" fillId="0" borderId="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0" fillId="0" borderId="16" xfId="0" applyBorder="1"/>
    <xf numFmtId="0" fontId="14" fillId="0" borderId="27" xfId="0" applyFont="1" applyBorder="1" applyAlignment="1">
      <alignment horizontal="center" vertical="center"/>
    </xf>
    <xf numFmtId="0" fontId="0" fillId="0" borderId="39" xfId="0" applyBorder="1"/>
    <xf numFmtId="0" fontId="0" fillId="0" borderId="33" xfId="0" applyBorder="1"/>
    <xf numFmtId="0" fontId="14" fillId="0" borderId="20" xfId="0" applyFont="1" applyBorder="1" applyAlignment="1">
      <alignment horizontal="center" vertical="center"/>
    </xf>
    <xf numFmtId="0" fontId="0" fillId="0" borderId="14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" fillId="0" borderId="18" xfId="0" applyFont="1" applyBorder="1" applyAlignment="1">
      <alignment horizontal="center" vertical="center" wrapText="1"/>
    </xf>
    <xf numFmtId="0" fontId="0" fillId="0" borderId="0" xfId="0"/>
    <xf numFmtId="0" fontId="0" fillId="0" borderId="18" xfId="0" applyBorder="1"/>
    <xf numFmtId="0" fontId="1" fillId="0" borderId="4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9" fillId="0" borderId="2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P78"/>
  <sheetViews>
    <sheetView tabSelected="1" zoomScale="85" zoomScaleNormal="85" workbookViewId="0">
      <selection activeCell="G12" sqref="G12"/>
    </sheetView>
  </sheetViews>
  <sheetFormatPr defaultRowHeight="14" x14ac:dyDescent="0.3"/>
  <cols>
    <col min="1" max="1" width="6.4140625" style="42" bestFit="1" customWidth="1"/>
    <col min="2" max="2" width="37" style="42" customWidth="1"/>
    <col min="3" max="3" width="15.75" style="42" customWidth="1"/>
    <col min="4" max="4" width="16" style="42" bestFit="1" customWidth="1"/>
    <col min="5" max="5" width="18.08203125" style="42" customWidth="1"/>
    <col min="6" max="6" width="35.4140625" style="42" bestFit="1" customWidth="1"/>
    <col min="7" max="7" width="17.58203125" style="42" bestFit="1" customWidth="1"/>
    <col min="8" max="8" width="17.58203125" style="42" customWidth="1"/>
    <col min="9" max="9" width="18.08203125" style="42" customWidth="1"/>
    <col min="10" max="10" width="6.83203125" style="42" customWidth="1"/>
    <col min="11" max="12" width="16.08203125" style="42" customWidth="1"/>
    <col min="13" max="13" width="18.08203125" style="42" customWidth="1"/>
    <col min="14" max="14" width="35.4140625" style="42" bestFit="1" customWidth="1"/>
    <col min="15" max="16" width="17.58203125" style="42" bestFit="1" customWidth="1"/>
    <col min="17" max="17" width="18.08203125" style="42" bestFit="1" customWidth="1"/>
    <col min="18" max="18" width="6.83203125" style="42" bestFit="1" customWidth="1"/>
    <col min="19" max="20" width="16.08203125" style="42" bestFit="1" customWidth="1"/>
    <col min="21" max="21" width="18.08203125" style="42" bestFit="1" customWidth="1"/>
    <col min="22" max="22" width="35.4140625" style="42" bestFit="1" customWidth="1"/>
    <col min="23" max="24" width="17.58203125" style="42" bestFit="1" customWidth="1"/>
    <col min="25" max="25" width="18.08203125" style="42" bestFit="1" customWidth="1"/>
    <col min="26" max="26" width="6.83203125" style="42" bestFit="1" customWidth="1"/>
    <col min="27" max="28" width="16.08203125" style="42" bestFit="1" customWidth="1"/>
    <col min="29" max="29" width="18.08203125" style="42" bestFit="1" customWidth="1"/>
    <col min="30" max="30" width="35.4140625" style="42" bestFit="1" customWidth="1"/>
    <col min="31" max="32" width="17.58203125" style="42" bestFit="1" customWidth="1"/>
    <col min="33" max="33" width="18.08203125" style="42" bestFit="1" customWidth="1"/>
    <col min="34" max="34" width="6.83203125" style="42" bestFit="1" customWidth="1"/>
    <col min="35" max="36" width="16.08203125" style="42" bestFit="1" customWidth="1"/>
    <col min="37" max="37" width="18.08203125" style="42" bestFit="1" customWidth="1"/>
    <col min="38" max="38" width="8.58203125" style="42" customWidth="1"/>
    <col min="39" max="39" width="18.75" style="42" customWidth="1"/>
    <col min="40" max="40" width="16.4140625" style="42" customWidth="1"/>
    <col min="41" max="41" width="17.25" style="42" customWidth="1"/>
    <col min="42" max="43" width="8.6640625" style="42" customWidth="1"/>
    <col min="44" max="16384" width="8.6640625" style="42"/>
  </cols>
  <sheetData>
    <row r="1" spans="1:42" ht="14.5" customHeight="1" thickTop="1" x14ac:dyDescent="0.3">
      <c r="A1" s="75" t="s">
        <v>0</v>
      </c>
      <c r="B1" s="74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4.5" customHeight="1" thickBot="1" x14ac:dyDescent="0.35">
      <c r="A2" s="76"/>
      <c r="B2" s="66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65" t="s">
        <v>7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66"/>
      <c r="C4" s="52">
        <v>1</v>
      </c>
      <c r="D4" s="44">
        <v>60.2</v>
      </c>
      <c r="E4" s="44"/>
      <c r="F4" s="44"/>
      <c r="G4" s="44"/>
      <c r="H4" s="44"/>
      <c r="I4" s="44"/>
      <c r="J4" s="51"/>
      <c r="K4" s="52">
        <v>1</v>
      </c>
      <c r="L4" s="44">
        <v>60.2</v>
      </c>
      <c r="M4" s="44"/>
      <c r="N4" s="44"/>
      <c r="O4" s="44"/>
      <c r="P4" s="44"/>
      <c r="Q4" s="44"/>
      <c r="R4" s="51"/>
      <c r="S4" s="52">
        <v>1</v>
      </c>
      <c r="T4" s="44">
        <v>62.8</v>
      </c>
      <c r="U4" s="44"/>
      <c r="V4" s="44"/>
      <c r="W4" s="44"/>
      <c r="X4" s="44"/>
      <c r="Y4" s="44"/>
      <c r="Z4" s="51"/>
      <c r="AA4" s="52">
        <v>1</v>
      </c>
      <c r="AB4" s="44">
        <v>63.599999999999987</v>
      </c>
      <c r="AC4" s="44"/>
      <c r="AD4" s="44"/>
      <c r="AE4" s="44"/>
      <c r="AF4" s="44"/>
      <c r="AG4" s="44"/>
      <c r="AH4" s="51"/>
      <c r="AI4" s="52">
        <v>1</v>
      </c>
      <c r="AJ4" s="44">
        <v>61.7</v>
      </c>
      <c r="AK4" s="44"/>
      <c r="AL4" s="44"/>
      <c r="AM4" s="44"/>
      <c r="AN4" s="44"/>
      <c r="AO4" s="44"/>
      <c r="AP4" s="51"/>
    </row>
    <row r="5" spans="1:42" ht="22" customHeight="1" thickTop="1" thickBot="1" x14ac:dyDescent="0.35">
      <c r="A5" s="63"/>
      <c r="B5" s="66"/>
      <c r="C5" s="53">
        <v>2</v>
      </c>
      <c r="D5" s="45">
        <v>60.849999999999987</v>
      </c>
      <c r="E5" s="45"/>
      <c r="F5" s="45"/>
      <c r="G5" s="45"/>
      <c r="H5" s="45"/>
      <c r="I5" s="45"/>
      <c r="J5" s="51"/>
      <c r="K5" s="53">
        <v>2</v>
      </c>
      <c r="L5" s="45">
        <v>62.2</v>
      </c>
      <c r="M5" s="45"/>
      <c r="N5" s="45"/>
      <c r="O5" s="45"/>
      <c r="P5" s="45"/>
      <c r="Q5" s="45"/>
      <c r="R5" s="51"/>
      <c r="S5" s="53">
        <v>2</v>
      </c>
      <c r="T5" s="45">
        <v>62.2</v>
      </c>
      <c r="U5" s="45"/>
      <c r="V5" s="45"/>
      <c r="W5" s="45"/>
      <c r="X5" s="45"/>
      <c r="Y5" s="45"/>
      <c r="Z5" s="51"/>
      <c r="AA5" s="53">
        <v>2</v>
      </c>
      <c r="AB5" s="45">
        <v>63.599999999999987</v>
      </c>
      <c r="AC5" s="45"/>
      <c r="AD5" s="45"/>
      <c r="AE5" s="45"/>
      <c r="AF5" s="45"/>
      <c r="AG5" s="45"/>
      <c r="AH5" s="51"/>
      <c r="AI5" s="53">
        <v>2</v>
      </c>
      <c r="AJ5" s="45">
        <v>61.75</v>
      </c>
      <c r="AK5" s="45"/>
      <c r="AL5" s="45"/>
      <c r="AM5" s="45"/>
      <c r="AN5" s="45"/>
      <c r="AO5" s="45"/>
      <c r="AP5" s="51"/>
    </row>
    <row r="6" spans="1:42" ht="21" customHeight="1" thickTop="1" thickBot="1" x14ac:dyDescent="0.35">
      <c r="A6" s="63"/>
      <c r="B6" s="66"/>
      <c r="C6" s="53">
        <v>3</v>
      </c>
      <c r="D6" s="45">
        <v>61.099999999999987</v>
      </c>
      <c r="E6" s="45"/>
      <c r="F6" s="45"/>
      <c r="G6" s="44"/>
      <c r="H6" s="44"/>
      <c r="I6" s="44"/>
      <c r="J6" s="51"/>
      <c r="K6" s="53">
        <v>3</v>
      </c>
      <c r="L6" s="45">
        <v>60.2</v>
      </c>
      <c r="M6" s="45"/>
      <c r="N6" s="45"/>
      <c r="O6" s="44"/>
      <c r="P6" s="44"/>
      <c r="Q6" s="44"/>
      <c r="R6" s="51"/>
      <c r="S6" s="53">
        <v>3</v>
      </c>
      <c r="T6" s="45">
        <v>61.900000000000013</v>
      </c>
      <c r="U6" s="45"/>
      <c r="V6" s="45"/>
      <c r="W6" s="44"/>
      <c r="X6" s="44"/>
      <c r="Y6" s="44"/>
      <c r="Z6" s="51"/>
      <c r="AA6" s="53">
        <v>3</v>
      </c>
      <c r="AB6" s="45">
        <v>64.45</v>
      </c>
      <c r="AC6" s="45"/>
      <c r="AD6" s="45"/>
      <c r="AE6" s="44"/>
      <c r="AF6" s="44"/>
      <c r="AG6" s="44"/>
      <c r="AH6" s="51"/>
      <c r="AI6" s="53">
        <v>3</v>
      </c>
      <c r="AJ6" s="45">
        <v>61.55</v>
      </c>
      <c r="AK6" s="45"/>
      <c r="AL6" s="45"/>
      <c r="AM6" s="44"/>
      <c r="AN6" s="44"/>
      <c r="AO6" s="44"/>
      <c r="AP6" s="51"/>
    </row>
    <row r="7" spans="1:42" ht="21" customHeight="1" thickTop="1" thickBot="1" x14ac:dyDescent="0.35">
      <c r="A7" s="63"/>
      <c r="B7" s="66"/>
      <c r="C7" s="53">
        <v>4</v>
      </c>
      <c r="D7" s="45">
        <v>60.2</v>
      </c>
      <c r="E7" s="45"/>
      <c r="F7" s="45"/>
      <c r="G7" s="45"/>
      <c r="H7" s="45"/>
      <c r="I7" s="45"/>
      <c r="J7" s="51"/>
      <c r="K7" s="53">
        <v>4</v>
      </c>
      <c r="L7" s="45">
        <v>62.2</v>
      </c>
      <c r="M7" s="45"/>
      <c r="N7" s="45"/>
      <c r="O7" s="45"/>
      <c r="P7" s="45"/>
      <c r="Q7" s="45"/>
      <c r="R7" s="51"/>
      <c r="S7" s="53">
        <v>4</v>
      </c>
      <c r="T7" s="45">
        <v>64.2</v>
      </c>
      <c r="U7" s="45"/>
      <c r="V7" s="45"/>
      <c r="W7" s="45"/>
      <c r="X7" s="45"/>
      <c r="Y7" s="45"/>
      <c r="Z7" s="51"/>
      <c r="AA7" s="53">
        <v>4</v>
      </c>
      <c r="AB7" s="45">
        <v>63.099999999999987</v>
      </c>
      <c r="AC7" s="45"/>
      <c r="AD7" s="45"/>
      <c r="AE7" s="45"/>
      <c r="AF7" s="45"/>
      <c r="AG7" s="45"/>
      <c r="AH7" s="51"/>
      <c r="AI7" s="53">
        <v>4</v>
      </c>
      <c r="AJ7" s="45">
        <v>61.25</v>
      </c>
      <c r="AK7" s="45"/>
      <c r="AL7" s="45"/>
      <c r="AM7" s="45"/>
      <c r="AN7" s="45"/>
      <c r="AO7" s="45"/>
      <c r="AP7" s="51"/>
    </row>
    <row r="8" spans="1:42" ht="21" customHeight="1" thickTop="1" thickBot="1" x14ac:dyDescent="0.35">
      <c r="A8" s="63"/>
      <c r="B8" s="66"/>
      <c r="C8" s="53">
        <v>5</v>
      </c>
      <c r="D8" s="45">
        <v>60.2</v>
      </c>
      <c r="E8" s="45"/>
      <c r="F8" s="45"/>
      <c r="G8" s="45"/>
      <c r="H8" s="45"/>
      <c r="I8" s="45"/>
      <c r="J8" s="51"/>
      <c r="K8" s="53">
        <v>5</v>
      </c>
      <c r="L8" s="45">
        <v>62.2</v>
      </c>
      <c r="M8" s="45"/>
      <c r="N8" s="45"/>
      <c r="O8" s="45"/>
      <c r="P8" s="45"/>
      <c r="Q8" s="45"/>
      <c r="R8" s="51"/>
      <c r="S8" s="53">
        <v>5</v>
      </c>
      <c r="T8" s="45">
        <v>63.099999999999987</v>
      </c>
      <c r="U8" s="45"/>
      <c r="V8" s="45"/>
      <c r="W8" s="45"/>
      <c r="X8" s="45"/>
      <c r="Y8" s="45"/>
      <c r="Z8" s="51"/>
      <c r="AA8" s="53">
        <v>5</v>
      </c>
      <c r="AB8" s="45">
        <v>64.150000000000006</v>
      </c>
      <c r="AC8" s="45"/>
      <c r="AD8" s="45"/>
      <c r="AE8" s="45"/>
      <c r="AF8" s="45"/>
      <c r="AG8" s="45"/>
      <c r="AH8" s="51"/>
      <c r="AI8" s="53">
        <v>5</v>
      </c>
      <c r="AJ8" s="45">
        <v>60.849999999999987</v>
      </c>
      <c r="AK8" s="45"/>
      <c r="AL8" s="45"/>
      <c r="AM8" s="45"/>
      <c r="AN8" s="45"/>
      <c r="AO8" s="45"/>
      <c r="AP8" s="51"/>
    </row>
    <row r="9" spans="1:42" ht="21" customHeight="1" thickTop="1" thickBot="1" x14ac:dyDescent="0.35">
      <c r="A9" s="63"/>
      <c r="B9" s="66"/>
      <c r="C9" s="53">
        <v>6</v>
      </c>
      <c r="D9" s="45">
        <v>61.349999999999987</v>
      </c>
      <c r="E9" s="45"/>
      <c r="F9" s="45"/>
      <c r="G9" s="45"/>
      <c r="H9" s="45"/>
      <c r="I9" s="45"/>
      <c r="J9" s="51"/>
      <c r="K9" s="53">
        <v>6</v>
      </c>
      <c r="L9" s="45">
        <v>62.2</v>
      </c>
      <c r="M9" s="45"/>
      <c r="N9" s="45"/>
      <c r="O9" s="45"/>
      <c r="P9" s="45"/>
      <c r="Q9" s="45"/>
      <c r="R9" s="51"/>
      <c r="S9" s="53">
        <v>6</v>
      </c>
      <c r="T9" s="45">
        <v>63.95</v>
      </c>
      <c r="U9" s="45"/>
      <c r="V9" s="45"/>
      <c r="W9" s="45"/>
      <c r="X9" s="45"/>
      <c r="Y9" s="45"/>
      <c r="Z9" s="51"/>
      <c r="AA9" s="53">
        <v>6</v>
      </c>
      <c r="AB9" s="45">
        <v>64.099999999999994</v>
      </c>
      <c r="AC9" s="45"/>
      <c r="AD9" s="45"/>
      <c r="AE9" s="45"/>
      <c r="AF9" s="45"/>
      <c r="AG9" s="45"/>
      <c r="AH9" s="51"/>
      <c r="AI9" s="53">
        <v>6</v>
      </c>
      <c r="AJ9" s="45">
        <v>60.7</v>
      </c>
      <c r="AK9" s="45"/>
      <c r="AL9" s="45"/>
      <c r="AM9" s="45"/>
      <c r="AN9" s="45"/>
      <c r="AO9" s="45"/>
      <c r="AP9" s="51"/>
    </row>
    <row r="10" spans="1:42" ht="21" customHeight="1" thickTop="1" thickBot="1" x14ac:dyDescent="0.35">
      <c r="A10" s="63"/>
      <c r="B10" s="66"/>
      <c r="C10" s="53">
        <v>7</v>
      </c>
      <c r="D10" s="45">
        <v>60.2</v>
      </c>
      <c r="E10" s="45"/>
      <c r="F10" s="45"/>
      <c r="G10" s="45"/>
      <c r="H10" s="45"/>
      <c r="I10" s="45"/>
      <c r="J10" s="51"/>
      <c r="K10" s="53">
        <v>7</v>
      </c>
      <c r="L10" s="45">
        <v>60.2</v>
      </c>
      <c r="M10" s="45"/>
      <c r="N10" s="45"/>
      <c r="O10" s="45"/>
      <c r="P10" s="45"/>
      <c r="Q10" s="45"/>
      <c r="R10" s="51"/>
      <c r="S10" s="53">
        <v>7</v>
      </c>
      <c r="T10" s="45">
        <v>63.099999999999987</v>
      </c>
      <c r="U10" s="45"/>
      <c r="V10" s="45"/>
      <c r="W10" s="45"/>
      <c r="X10" s="45"/>
      <c r="Y10" s="45"/>
      <c r="Z10" s="51"/>
      <c r="AA10" s="53">
        <v>7</v>
      </c>
      <c r="AB10" s="45">
        <v>64.95</v>
      </c>
      <c r="AC10" s="45"/>
      <c r="AD10" s="45"/>
      <c r="AE10" s="45"/>
      <c r="AF10" s="45"/>
      <c r="AG10" s="45"/>
      <c r="AH10" s="51"/>
      <c r="AI10" s="53">
        <v>7</v>
      </c>
      <c r="AJ10" s="45">
        <v>61.349999999999987</v>
      </c>
      <c r="AK10" s="45"/>
      <c r="AL10" s="45"/>
      <c r="AM10" s="45"/>
      <c r="AN10" s="45"/>
      <c r="AO10" s="45"/>
      <c r="AP10" s="51"/>
    </row>
    <row r="11" spans="1:42" ht="21" customHeight="1" thickTop="1" thickBot="1" x14ac:dyDescent="0.35">
      <c r="A11" s="63"/>
      <c r="B11" s="66"/>
      <c r="C11" s="53">
        <v>8</v>
      </c>
      <c r="D11" s="45">
        <v>60.2</v>
      </c>
      <c r="E11" s="45"/>
      <c r="F11" s="45"/>
      <c r="G11" s="45"/>
      <c r="H11" s="45"/>
      <c r="I11" s="45"/>
      <c r="J11" s="51"/>
      <c r="K11" s="53">
        <v>8</v>
      </c>
      <c r="L11" s="45">
        <v>61.2</v>
      </c>
      <c r="M11" s="45"/>
      <c r="N11" s="45"/>
      <c r="O11" s="45"/>
      <c r="P11" s="45"/>
      <c r="Q11" s="45"/>
      <c r="R11" s="51"/>
      <c r="S11" s="53">
        <v>8</v>
      </c>
      <c r="T11" s="45">
        <v>61.900000000000013</v>
      </c>
      <c r="U11" s="45"/>
      <c r="V11" s="45"/>
      <c r="W11" s="45"/>
      <c r="X11" s="45"/>
      <c r="Y11" s="45"/>
      <c r="Z11" s="51"/>
      <c r="AA11" s="53">
        <v>8</v>
      </c>
      <c r="AB11" s="45">
        <v>64.599999999999994</v>
      </c>
      <c r="AC11" s="45"/>
      <c r="AD11" s="45"/>
      <c r="AE11" s="45"/>
      <c r="AF11" s="45"/>
      <c r="AG11" s="45"/>
      <c r="AH11" s="51"/>
      <c r="AI11" s="53">
        <v>8</v>
      </c>
      <c r="AJ11" s="45">
        <v>61.2</v>
      </c>
      <c r="AK11" s="45"/>
      <c r="AL11" s="45"/>
      <c r="AM11" s="45"/>
      <c r="AN11" s="45"/>
      <c r="AO11" s="45"/>
      <c r="AP11" s="51"/>
    </row>
    <row r="12" spans="1:42" ht="21" customHeight="1" thickTop="1" thickBot="1" x14ac:dyDescent="0.35">
      <c r="A12" s="63"/>
      <c r="B12" s="66"/>
      <c r="C12" s="53">
        <v>9</v>
      </c>
      <c r="D12" s="45">
        <v>62.2</v>
      </c>
      <c r="E12" s="45"/>
      <c r="F12" s="45"/>
      <c r="G12" s="45"/>
      <c r="H12" s="45"/>
      <c r="I12" s="45"/>
      <c r="J12" s="51"/>
      <c r="K12" s="53">
        <v>9</v>
      </c>
      <c r="L12" s="45">
        <v>62.2</v>
      </c>
      <c r="M12" s="45"/>
      <c r="N12" s="45"/>
      <c r="O12" s="45"/>
      <c r="P12" s="45"/>
      <c r="Q12" s="45"/>
      <c r="R12" s="51"/>
      <c r="S12" s="53">
        <v>9</v>
      </c>
      <c r="T12" s="45">
        <v>64.2</v>
      </c>
      <c r="U12" s="45"/>
      <c r="V12" s="45"/>
      <c r="W12" s="45"/>
      <c r="X12" s="45"/>
      <c r="Y12" s="45"/>
      <c r="Z12" s="51"/>
      <c r="AA12" s="53">
        <v>9</v>
      </c>
      <c r="AB12" s="45">
        <v>63.099999999999987</v>
      </c>
      <c r="AC12" s="45"/>
      <c r="AD12" s="45"/>
      <c r="AE12" s="45"/>
      <c r="AF12" s="45"/>
      <c r="AG12" s="45"/>
      <c r="AH12" s="51"/>
      <c r="AI12" s="53">
        <v>9</v>
      </c>
      <c r="AJ12" s="45">
        <v>61</v>
      </c>
      <c r="AK12" s="45"/>
      <c r="AL12" s="45"/>
      <c r="AM12" s="45"/>
      <c r="AN12" s="45"/>
      <c r="AO12" s="45"/>
      <c r="AP12" s="51"/>
    </row>
    <row r="13" spans="1:42" ht="21" customHeight="1" thickTop="1" thickBot="1" x14ac:dyDescent="0.35">
      <c r="A13" s="63"/>
      <c r="B13" s="66"/>
      <c r="C13" s="53">
        <v>10</v>
      </c>
      <c r="D13" s="45">
        <v>62.2</v>
      </c>
      <c r="E13" s="45"/>
      <c r="F13" s="45"/>
      <c r="G13" s="45"/>
      <c r="H13" s="45"/>
      <c r="I13" s="45"/>
      <c r="J13" s="51"/>
      <c r="K13" s="53">
        <v>10</v>
      </c>
      <c r="L13" s="45">
        <v>60.2</v>
      </c>
      <c r="M13" s="45"/>
      <c r="N13" s="45"/>
      <c r="O13" s="45"/>
      <c r="P13" s="45"/>
      <c r="Q13" s="45"/>
      <c r="R13" s="51"/>
      <c r="S13" s="53">
        <v>10</v>
      </c>
      <c r="T13" s="45">
        <v>65.2</v>
      </c>
      <c r="U13" s="45"/>
      <c r="V13" s="45"/>
      <c r="W13" s="45"/>
      <c r="X13" s="45"/>
      <c r="Y13" s="45"/>
      <c r="Z13" s="51"/>
      <c r="AA13" s="53">
        <v>10</v>
      </c>
      <c r="AB13" s="45">
        <v>64.099999999999994</v>
      </c>
      <c r="AC13" s="45"/>
      <c r="AD13" s="45"/>
      <c r="AE13" s="45"/>
      <c r="AF13" s="45"/>
      <c r="AG13" s="45"/>
      <c r="AH13" s="51"/>
      <c r="AI13" s="53">
        <v>10</v>
      </c>
      <c r="AJ13" s="45">
        <v>60.2</v>
      </c>
      <c r="AK13" s="45"/>
      <c r="AL13" s="45"/>
      <c r="AM13" s="45"/>
      <c r="AN13" s="45"/>
      <c r="AO13" s="45"/>
      <c r="AP13" s="51"/>
    </row>
    <row r="14" spans="1:42" ht="21" customHeight="1" thickTop="1" thickBot="1" x14ac:dyDescent="0.35">
      <c r="A14" s="63"/>
      <c r="B14" s="66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66"/>
      <c r="C15" s="54" t="s">
        <v>16</v>
      </c>
      <c r="D15" s="49">
        <f>MIN(D4:D13)</f>
        <v>60.2</v>
      </c>
      <c r="E15" s="45"/>
      <c r="F15" s="55" t="s">
        <v>17</v>
      </c>
      <c r="G15" s="49" t="s">
        <v>18</v>
      </c>
      <c r="H15" s="49" t="s">
        <v>19</v>
      </c>
      <c r="I15" s="45"/>
      <c r="J15" s="51"/>
      <c r="K15" s="54" t="s">
        <v>16</v>
      </c>
      <c r="L15" s="49">
        <f>MIN(L4:L13)</f>
        <v>60.2</v>
      </c>
      <c r="M15" s="45"/>
      <c r="N15" s="55" t="s">
        <v>17</v>
      </c>
      <c r="O15" s="49" t="s">
        <v>18</v>
      </c>
      <c r="P15" s="49" t="s">
        <v>19</v>
      </c>
      <c r="Q15" s="45"/>
      <c r="R15" s="51"/>
      <c r="S15" s="54" t="s">
        <v>16</v>
      </c>
      <c r="T15" s="49">
        <f>MIN(T4:T13)</f>
        <v>61.900000000000013</v>
      </c>
      <c r="U15" s="45"/>
      <c r="V15" s="55" t="s">
        <v>17</v>
      </c>
      <c r="W15" s="49" t="s">
        <v>18</v>
      </c>
      <c r="X15" s="49" t="s">
        <v>19</v>
      </c>
      <c r="Y15" s="45"/>
      <c r="Z15" s="51"/>
      <c r="AA15" s="54" t="s">
        <v>16</v>
      </c>
      <c r="AB15" s="49">
        <f>MIN(AB4:AB13)</f>
        <v>63.099999999999987</v>
      </c>
      <c r="AC15" s="45"/>
      <c r="AD15" s="55" t="s">
        <v>17</v>
      </c>
      <c r="AE15" s="49" t="s">
        <v>18</v>
      </c>
      <c r="AF15" s="49" t="s">
        <v>19</v>
      </c>
      <c r="AG15" s="45"/>
      <c r="AH15" s="51"/>
      <c r="AI15" s="54" t="s">
        <v>16</v>
      </c>
      <c r="AJ15" s="49">
        <f>MIN(AJ4:AJ13)</f>
        <v>60.2</v>
      </c>
      <c r="AK15" s="45"/>
      <c r="AL15" s="55" t="s">
        <v>17</v>
      </c>
      <c r="AM15" s="49" t="s">
        <v>18</v>
      </c>
      <c r="AN15" s="49" t="s">
        <v>19</v>
      </c>
      <c r="AO15" s="45"/>
      <c r="AP15" s="51"/>
    </row>
    <row r="16" spans="1:42" ht="21" customHeight="1" thickTop="1" thickBot="1" x14ac:dyDescent="0.35">
      <c r="A16" s="63"/>
      <c r="B16" s="66"/>
      <c r="C16" s="54" t="s">
        <v>20</v>
      </c>
      <c r="D16" s="48">
        <f>AVERAGE(D4:D13)</f>
        <v>60.86999999999999</v>
      </c>
      <c r="E16" s="47"/>
      <c r="F16" s="48">
        <f>_xlfn.STDEV.S(D4:D13) / AVERAGE(D4:D13) * 100%</f>
        <v>1.3487350584375724E-2</v>
      </c>
      <c r="G16" s="48">
        <f t="array" ref="G16">MIN((D4:D13 - MIN(D4:D13,L4:L13,T4:T13,AB4:AB13,AJ4:AJ13))/MIN(D4:D13,L4:L13,T4:T13,AB4:AB13,AJ4:AJ13)*100%)</f>
        <v>0</v>
      </c>
      <c r="H16" s="48">
        <f t="array" ref="H16">AVERAGE((D4:D13 - MIN(D4:D13,L4:L13,T4:T13,AB4:AB13,AJ4:AJ13))/MIN(D4:D13,L4:L13,T4:T13,AB4:AB13,AJ4:AJ13)*100%)</f>
        <v>1.1129568106312212E-2</v>
      </c>
      <c r="I16" s="45"/>
      <c r="J16" s="51"/>
      <c r="K16" s="54" t="s">
        <v>20</v>
      </c>
      <c r="L16" s="48">
        <f>AVERAGE(L4:L13)</f>
        <v>61.3</v>
      </c>
      <c r="M16" s="47"/>
      <c r="N16" s="48">
        <f>_xlfn.STDEV.S(L4:L13) / AVERAGE(L4:L13) * 100%</f>
        <v>1.6222331582573465E-2</v>
      </c>
      <c r="O16" s="48">
        <f t="array" ref="O16">MIN((L4:L13 - MIN(D4:D13,L4:L13,T4:T13,AB4:AB13,AJ4:AJ13))/MIN(D4:D13,L4:L13,T4:T13,AB4:AB13,AJ4:AJ13)*100%)</f>
        <v>0</v>
      </c>
      <c r="P16" s="48">
        <f t="array" ref="P16">AVERAGE((L4:L13 - MIN(D4:D13,L4:L13,T4:T13,AB4:AB13,AJ4:AJ13))/MIN(D4:D13,L4:L13,T4:T13,AB4:AB13,AJ4:AJ13)*100%)</f>
        <v>1.8272425249169433E-2</v>
      </c>
      <c r="Q16" s="44"/>
      <c r="R16" s="51"/>
      <c r="S16" s="54" t="s">
        <v>20</v>
      </c>
      <c r="T16" s="48">
        <f>AVERAGE(T4:T13)</f>
        <v>63.25500000000001</v>
      </c>
      <c r="U16" s="47"/>
      <c r="V16" s="48">
        <f>_xlfn.STDEV.S(T4:T13) / AVERAGE(T4:T13) * 100%</f>
        <v>1.7550670381887817E-2</v>
      </c>
      <c r="W16" s="48">
        <f t="array" ref="W16">MIN((T4:T13 - MIN(D4:D13,L4:L13,T4:T13,AB4:AB13,AJ4:AJ13))/MIN(D4:D13,L4:L13,T4:T13,AB4:AB13,AJ4:AJ13)*100%)</f>
        <v>2.8239202657807473E-2</v>
      </c>
      <c r="X16" s="48">
        <f t="array" ref="X16">AVERAGE((T4:T13 - MIN(D4:D13,L4:L13,T4:T13,AB4:AB13,AJ4:AJ13))/MIN(D4:D13,L4:L13,T4:T13,AB4:AB13,AJ4:AJ13)*100%)</f>
        <v>5.0747508305647816E-2</v>
      </c>
      <c r="Y16" s="44"/>
      <c r="Z16" s="51"/>
      <c r="AA16" s="54" t="s">
        <v>20</v>
      </c>
      <c r="AB16" s="48">
        <f>AVERAGE(AB4:AB13)</f>
        <v>63.975000000000001</v>
      </c>
      <c r="AC16" s="47"/>
      <c r="AD16" s="48">
        <f>_xlfn.STDEV.S(AB4:AB13) / AVERAGE(AB4:AB13) * 100%</f>
        <v>9.6655498028340864E-3</v>
      </c>
      <c r="AE16" s="48">
        <f t="array" ref="AE16">MIN((AB4:AB13 - MIN(D4:D13,L4:L13,T4:T13,AB4:AB13,AJ4:AJ13))/MIN(D4:D13,L4:L13,T4:T13,AB4:AB13,AJ4:AJ13)*100%)</f>
        <v>4.8172757475082796E-2</v>
      </c>
      <c r="AF16" s="48">
        <f t="array" ref="AF16">AVERAGE((AB4:AB13 - MIN(D4:D13,L4:L13,T4:T13,AB4:AB13,AJ4:AJ13))/MIN(D4:D13,L4:L13,T4:T13,AB4:AB13,AJ4:AJ13)*100%)</f>
        <v>6.2707641196013131E-2</v>
      </c>
      <c r="AG16" s="44"/>
      <c r="AH16" s="51"/>
      <c r="AI16" s="54" t="s">
        <v>20</v>
      </c>
      <c r="AJ16" s="48">
        <f>AVERAGE(AJ4:AJ13)</f>
        <v>61.154999999999994</v>
      </c>
      <c r="AK16" s="47"/>
      <c r="AL16" s="48">
        <f>_xlfn.STDEV.S(AJ4:AJ13) / AVERAGE(AJ4:AJ13) * 100%</f>
        <v>7.8841261217482209E-3</v>
      </c>
      <c r="AM16" s="48">
        <f t="array" ref="AM16">MIN((AJ4:AJ13 - MIN(D4:D13,L4:L13,T4:T13,AB4:AB13,AJ4:AJ13))/MIN(D4:D13,L4:L13,T4:T13,AB4:AB13,AJ4:AJ13)*100%)</f>
        <v>0</v>
      </c>
      <c r="AN16" s="48">
        <f t="array" ref="AN16">AVERAGE((AJ4:AJ13 - MIN(D4:D13,L4:L13,T4:T13,AB4:AB13,AJ4:AJ13))/MIN(D4:D13,L4:L13,T4:T13,AB4:AB13,AJ4:AJ13)*100%)</f>
        <v>1.5863787375415207E-2</v>
      </c>
      <c r="AO16" s="44"/>
      <c r="AP16" s="51"/>
    </row>
    <row r="17" spans="1:42" ht="21" customHeight="1" thickTop="1" thickBot="1" x14ac:dyDescent="0.35">
      <c r="A17" s="64"/>
      <c r="B17" s="67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2">
        <v>2</v>
      </c>
      <c r="B18" s="65" t="s">
        <v>21</v>
      </c>
      <c r="C18" s="50" t="s">
        <v>8</v>
      </c>
      <c r="D18" s="44" t="s">
        <v>9</v>
      </c>
      <c r="E18" s="44" t="s">
        <v>10</v>
      </c>
      <c r="F18" s="44" t="s">
        <v>11</v>
      </c>
      <c r="G18" s="44" t="s">
        <v>12</v>
      </c>
      <c r="H18" s="44" t="s">
        <v>13</v>
      </c>
      <c r="I18" s="44" t="s">
        <v>14</v>
      </c>
      <c r="J18" s="51" t="s">
        <v>15</v>
      </c>
      <c r="K18" s="50" t="s">
        <v>8</v>
      </c>
      <c r="L18" s="44" t="s">
        <v>9</v>
      </c>
      <c r="M18" s="44" t="s">
        <v>10</v>
      </c>
      <c r="N18" s="44" t="s">
        <v>11</v>
      </c>
      <c r="O18" s="44" t="s">
        <v>12</v>
      </c>
      <c r="P18" s="44" t="s">
        <v>13</v>
      </c>
      <c r="Q18" s="44" t="s">
        <v>14</v>
      </c>
      <c r="R18" s="51" t="s">
        <v>15</v>
      </c>
      <c r="S18" s="50" t="s">
        <v>8</v>
      </c>
      <c r="T18" s="44" t="s">
        <v>9</v>
      </c>
      <c r="U18" s="44" t="s">
        <v>10</v>
      </c>
      <c r="V18" s="44" t="s">
        <v>11</v>
      </c>
      <c r="W18" s="44" t="s">
        <v>12</v>
      </c>
      <c r="X18" s="44" t="s">
        <v>13</v>
      </c>
      <c r="Y18" s="44" t="s">
        <v>14</v>
      </c>
      <c r="Z18" s="51" t="s">
        <v>15</v>
      </c>
      <c r="AA18" s="50" t="s">
        <v>8</v>
      </c>
      <c r="AB18" s="44" t="s">
        <v>9</v>
      </c>
      <c r="AC18" s="44" t="s">
        <v>10</v>
      </c>
      <c r="AD18" s="44" t="s">
        <v>11</v>
      </c>
      <c r="AE18" s="44" t="s">
        <v>12</v>
      </c>
      <c r="AF18" s="44" t="s">
        <v>13</v>
      </c>
      <c r="AG18" s="44" t="s">
        <v>14</v>
      </c>
      <c r="AH18" s="51" t="s">
        <v>15</v>
      </c>
      <c r="AI18" s="50" t="s">
        <v>8</v>
      </c>
      <c r="AJ18" s="44" t="s">
        <v>9</v>
      </c>
      <c r="AK18" s="44" t="s">
        <v>10</v>
      </c>
      <c r="AL18" s="44" t="s">
        <v>11</v>
      </c>
      <c r="AM18" s="44" t="s">
        <v>12</v>
      </c>
      <c r="AN18" s="44" t="s">
        <v>13</v>
      </c>
      <c r="AO18" s="44" t="s">
        <v>14</v>
      </c>
      <c r="AP18" s="51" t="s">
        <v>15</v>
      </c>
    </row>
    <row r="19" spans="1:42" ht="21" customHeight="1" thickTop="1" thickBot="1" x14ac:dyDescent="0.35">
      <c r="A19" s="63"/>
      <c r="B19" s="66"/>
      <c r="C19" s="52">
        <v>1</v>
      </c>
      <c r="D19" s="44">
        <v>100.8</v>
      </c>
      <c r="E19" s="44"/>
      <c r="F19" s="44"/>
      <c r="G19" s="44"/>
      <c r="H19" s="44"/>
      <c r="I19" s="44"/>
      <c r="J19" s="51"/>
      <c r="K19" s="52">
        <v>1</v>
      </c>
      <c r="L19" s="44">
        <v>100.6</v>
      </c>
      <c r="M19" s="44"/>
      <c r="N19" s="44"/>
      <c r="O19" s="44"/>
      <c r="P19" s="44"/>
      <c r="Q19" s="44"/>
      <c r="R19" s="51"/>
      <c r="S19" s="52">
        <v>1</v>
      </c>
      <c r="T19" s="44">
        <v>101.35</v>
      </c>
      <c r="U19" s="44"/>
      <c r="V19" s="44"/>
      <c r="W19" s="44"/>
      <c r="X19" s="44"/>
      <c r="Y19" s="44"/>
      <c r="Z19" s="51"/>
      <c r="AA19" s="52">
        <v>1</v>
      </c>
      <c r="AB19" s="44">
        <v>103.3</v>
      </c>
      <c r="AC19" s="44"/>
      <c r="AD19" s="44"/>
      <c r="AE19" s="44"/>
      <c r="AF19" s="44"/>
      <c r="AG19" s="44"/>
      <c r="AH19" s="51"/>
      <c r="AI19" s="52">
        <v>1</v>
      </c>
      <c r="AJ19" s="44">
        <v>101.3</v>
      </c>
      <c r="AK19" s="44"/>
      <c r="AL19" s="44"/>
      <c r="AM19" s="44"/>
      <c r="AN19" s="44"/>
      <c r="AO19" s="44"/>
      <c r="AP19" s="51"/>
    </row>
    <row r="20" spans="1:42" ht="21" customHeight="1" thickTop="1" thickBot="1" x14ac:dyDescent="0.35">
      <c r="A20" s="63"/>
      <c r="B20" s="66"/>
      <c r="C20" s="53">
        <v>2</v>
      </c>
      <c r="D20" s="45">
        <v>100.8</v>
      </c>
      <c r="E20" s="45"/>
      <c r="F20" s="45"/>
      <c r="G20" s="45"/>
      <c r="H20" s="45"/>
      <c r="I20" s="45"/>
      <c r="J20" s="51"/>
      <c r="K20" s="53">
        <v>2</v>
      </c>
      <c r="L20" s="45">
        <v>102.05</v>
      </c>
      <c r="M20" s="45"/>
      <c r="N20" s="45"/>
      <c r="O20" s="45"/>
      <c r="P20" s="45"/>
      <c r="Q20" s="45"/>
      <c r="R20" s="51"/>
      <c r="S20" s="53">
        <v>2</v>
      </c>
      <c r="T20" s="45">
        <v>105.2</v>
      </c>
      <c r="U20" s="45"/>
      <c r="V20" s="45"/>
      <c r="W20" s="45"/>
      <c r="X20" s="45"/>
      <c r="Y20" s="45"/>
      <c r="Z20" s="51"/>
      <c r="AA20" s="53">
        <v>2</v>
      </c>
      <c r="AB20" s="45">
        <v>105.25</v>
      </c>
      <c r="AC20" s="45"/>
      <c r="AD20" s="45"/>
      <c r="AE20" s="45"/>
      <c r="AF20" s="45"/>
      <c r="AG20" s="45"/>
      <c r="AH20" s="51"/>
      <c r="AI20" s="53">
        <v>2</v>
      </c>
      <c r="AJ20" s="45">
        <v>99.800000000000011</v>
      </c>
      <c r="AK20" s="45"/>
      <c r="AL20" s="45"/>
      <c r="AM20" s="45"/>
      <c r="AN20" s="45"/>
      <c r="AO20" s="45"/>
      <c r="AP20" s="51"/>
    </row>
    <row r="21" spans="1:42" ht="21" customHeight="1" thickTop="1" thickBot="1" x14ac:dyDescent="0.35">
      <c r="A21" s="63"/>
      <c r="B21" s="66"/>
      <c r="C21" s="53">
        <v>3</v>
      </c>
      <c r="D21" s="45">
        <v>101</v>
      </c>
      <c r="E21" s="45"/>
      <c r="F21" s="45"/>
      <c r="G21" s="44"/>
      <c r="H21" s="44"/>
      <c r="I21" s="44"/>
      <c r="J21" s="51"/>
      <c r="K21" s="53">
        <v>3</v>
      </c>
      <c r="L21" s="45">
        <v>100.9</v>
      </c>
      <c r="M21" s="45"/>
      <c r="N21" s="45"/>
      <c r="O21" s="44"/>
      <c r="P21" s="44"/>
      <c r="Q21" s="44"/>
      <c r="R21" s="51"/>
      <c r="S21" s="53">
        <v>3</v>
      </c>
      <c r="T21" s="45">
        <v>102.75</v>
      </c>
      <c r="U21" s="45"/>
      <c r="V21" s="45"/>
      <c r="W21" s="44"/>
      <c r="X21" s="44"/>
      <c r="Y21" s="44"/>
      <c r="Z21" s="51"/>
      <c r="AA21" s="53">
        <v>3</v>
      </c>
      <c r="AB21" s="45">
        <v>105</v>
      </c>
      <c r="AC21" s="45"/>
      <c r="AD21" s="45"/>
      <c r="AE21" s="44"/>
      <c r="AF21" s="44"/>
      <c r="AG21" s="44"/>
      <c r="AH21" s="51"/>
      <c r="AI21" s="53">
        <v>3</v>
      </c>
      <c r="AJ21" s="45">
        <v>101</v>
      </c>
      <c r="AK21" s="45"/>
      <c r="AL21" s="45"/>
      <c r="AM21" s="44"/>
      <c r="AN21" s="44"/>
      <c r="AO21" s="44"/>
      <c r="AP21" s="51"/>
    </row>
    <row r="22" spans="1:42" ht="21" customHeight="1" thickTop="1" thickBot="1" x14ac:dyDescent="0.35">
      <c r="A22" s="63"/>
      <c r="B22" s="66"/>
      <c r="C22" s="53">
        <v>4</v>
      </c>
      <c r="D22" s="45">
        <v>100.3</v>
      </c>
      <c r="E22" s="45"/>
      <c r="F22" s="45"/>
      <c r="G22" s="45"/>
      <c r="H22" s="45"/>
      <c r="I22" s="45"/>
      <c r="J22" s="51"/>
      <c r="K22" s="53">
        <v>4</v>
      </c>
      <c r="L22" s="45">
        <v>100.9</v>
      </c>
      <c r="M22" s="45"/>
      <c r="N22" s="45"/>
      <c r="O22" s="45"/>
      <c r="P22" s="45"/>
      <c r="Q22" s="45"/>
      <c r="R22" s="51"/>
      <c r="S22" s="53">
        <v>4</v>
      </c>
      <c r="T22" s="45">
        <v>101.6</v>
      </c>
      <c r="U22" s="45"/>
      <c r="V22" s="45"/>
      <c r="W22" s="45"/>
      <c r="X22" s="45"/>
      <c r="Y22" s="45"/>
      <c r="Z22" s="51"/>
      <c r="AA22" s="53">
        <v>4</v>
      </c>
      <c r="AB22" s="45">
        <v>104</v>
      </c>
      <c r="AC22" s="45"/>
      <c r="AD22" s="45"/>
      <c r="AE22" s="45"/>
      <c r="AF22" s="45"/>
      <c r="AG22" s="45"/>
      <c r="AH22" s="51"/>
      <c r="AI22" s="53">
        <v>4</v>
      </c>
      <c r="AJ22" s="45">
        <v>100</v>
      </c>
      <c r="AK22" s="45"/>
      <c r="AL22" s="45"/>
      <c r="AM22" s="45"/>
      <c r="AN22" s="45"/>
      <c r="AO22" s="45"/>
      <c r="AP22" s="51"/>
    </row>
    <row r="23" spans="1:42" ht="21" customHeight="1" thickTop="1" thickBot="1" x14ac:dyDescent="0.35">
      <c r="A23" s="63"/>
      <c r="B23" s="66"/>
      <c r="C23" s="53">
        <v>5</v>
      </c>
      <c r="D23" s="45">
        <v>100.3</v>
      </c>
      <c r="E23" s="45"/>
      <c r="F23" s="45"/>
      <c r="G23" s="45"/>
      <c r="H23" s="45"/>
      <c r="I23" s="45"/>
      <c r="J23" s="51"/>
      <c r="K23" s="53">
        <v>5</v>
      </c>
      <c r="L23" s="45">
        <v>100.85</v>
      </c>
      <c r="M23" s="45"/>
      <c r="N23" s="45"/>
      <c r="O23" s="45"/>
      <c r="P23" s="45"/>
      <c r="Q23" s="45"/>
      <c r="R23" s="51"/>
      <c r="S23" s="53">
        <v>5</v>
      </c>
      <c r="T23" s="45">
        <v>101.8</v>
      </c>
      <c r="U23" s="45"/>
      <c r="V23" s="45"/>
      <c r="W23" s="45"/>
      <c r="X23" s="45"/>
      <c r="Y23" s="45"/>
      <c r="Z23" s="51"/>
      <c r="AA23" s="53">
        <v>5</v>
      </c>
      <c r="AB23" s="45">
        <v>102.7</v>
      </c>
      <c r="AC23" s="45"/>
      <c r="AD23" s="45"/>
      <c r="AE23" s="45"/>
      <c r="AF23" s="45"/>
      <c r="AG23" s="45"/>
      <c r="AH23" s="51"/>
      <c r="AI23" s="53">
        <v>5</v>
      </c>
      <c r="AJ23" s="45">
        <v>99.600000000000009</v>
      </c>
      <c r="AK23" s="45"/>
      <c r="AL23" s="45"/>
      <c r="AM23" s="45"/>
      <c r="AN23" s="45"/>
      <c r="AO23" s="45"/>
      <c r="AP23" s="51"/>
    </row>
    <row r="24" spans="1:42" ht="21" customHeight="1" thickTop="1" thickBot="1" x14ac:dyDescent="0.35">
      <c r="A24" s="63"/>
      <c r="B24" s="66"/>
      <c r="C24" s="53">
        <v>6</v>
      </c>
      <c r="D24" s="45">
        <v>100.3</v>
      </c>
      <c r="E24" s="45"/>
      <c r="F24" s="45"/>
      <c r="G24" s="45"/>
      <c r="H24" s="45"/>
      <c r="I24" s="45"/>
      <c r="J24" s="51"/>
      <c r="K24" s="53">
        <v>6</v>
      </c>
      <c r="L24" s="45">
        <v>100.45</v>
      </c>
      <c r="M24" s="45"/>
      <c r="N24" s="45"/>
      <c r="O24" s="45"/>
      <c r="P24" s="43"/>
      <c r="Q24" s="45"/>
      <c r="R24" s="51"/>
      <c r="S24" s="53">
        <v>6</v>
      </c>
      <c r="T24" s="45">
        <v>101.7</v>
      </c>
      <c r="U24" s="45"/>
      <c r="V24" s="45"/>
      <c r="W24" s="45"/>
      <c r="X24" s="45"/>
      <c r="Y24" s="45"/>
      <c r="Z24" s="51"/>
      <c r="AA24" s="53">
        <v>6</v>
      </c>
      <c r="AB24" s="45">
        <v>105.15</v>
      </c>
      <c r="AC24" s="45"/>
      <c r="AD24" s="45"/>
      <c r="AE24" s="45"/>
      <c r="AF24" s="45"/>
      <c r="AG24" s="45"/>
      <c r="AH24" s="51"/>
      <c r="AI24" s="53">
        <v>6</v>
      </c>
      <c r="AJ24" s="45">
        <v>101</v>
      </c>
      <c r="AK24" s="45"/>
      <c r="AL24" s="45"/>
      <c r="AM24" s="45"/>
      <c r="AN24" s="45"/>
      <c r="AO24" s="45"/>
      <c r="AP24" s="51"/>
    </row>
    <row r="25" spans="1:42" ht="21" customHeight="1" thickTop="1" thickBot="1" x14ac:dyDescent="0.35">
      <c r="A25" s="63"/>
      <c r="B25" s="66"/>
      <c r="C25" s="53">
        <v>7</v>
      </c>
      <c r="D25" s="45">
        <v>100.3</v>
      </c>
      <c r="E25" s="45"/>
      <c r="F25" s="45"/>
      <c r="G25" s="45"/>
      <c r="H25" s="45"/>
      <c r="I25" s="45"/>
      <c r="J25" s="51"/>
      <c r="K25" s="53">
        <v>7</v>
      </c>
      <c r="L25" s="45">
        <v>100.3</v>
      </c>
      <c r="M25" s="45"/>
      <c r="N25" s="45"/>
      <c r="O25" s="45"/>
      <c r="P25" s="45"/>
      <c r="Q25" s="45"/>
      <c r="R25" s="51"/>
      <c r="S25" s="53">
        <v>7</v>
      </c>
      <c r="T25" s="45">
        <v>103.9</v>
      </c>
      <c r="U25" s="45"/>
      <c r="V25" s="45"/>
      <c r="W25" s="45"/>
      <c r="X25" s="45"/>
      <c r="Y25" s="45"/>
      <c r="Z25" s="51"/>
      <c r="AA25" s="53">
        <v>7</v>
      </c>
      <c r="AB25" s="45">
        <v>102.6</v>
      </c>
      <c r="AC25" s="45"/>
      <c r="AD25" s="45"/>
      <c r="AE25" s="45"/>
      <c r="AF25" s="45"/>
      <c r="AG25" s="45"/>
      <c r="AH25" s="51"/>
      <c r="AI25" s="53">
        <v>7</v>
      </c>
      <c r="AJ25" s="45">
        <v>99.600000000000009</v>
      </c>
      <c r="AK25" s="45"/>
      <c r="AL25" s="45"/>
      <c r="AM25" s="45"/>
      <c r="AN25" s="45"/>
      <c r="AO25" s="45"/>
      <c r="AP25" s="51"/>
    </row>
    <row r="26" spans="1:42" ht="21" customHeight="1" thickTop="1" thickBot="1" x14ac:dyDescent="0.35">
      <c r="A26" s="63"/>
      <c r="B26" s="66"/>
      <c r="C26" s="53">
        <v>8</v>
      </c>
      <c r="D26" s="45">
        <v>100.3</v>
      </c>
      <c r="E26" s="45"/>
      <c r="F26" s="45"/>
      <c r="G26" s="45"/>
      <c r="H26" s="45"/>
      <c r="I26" s="45"/>
      <c r="J26" s="51"/>
      <c r="K26" s="53">
        <v>8</v>
      </c>
      <c r="L26" s="45">
        <v>101.65</v>
      </c>
      <c r="M26" s="45"/>
      <c r="N26" s="45"/>
      <c r="O26" s="45"/>
      <c r="P26" s="43"/>
      <c r="Q26" s="45"/>
      <c r="R26" s="51"/>
      <c r="S26" s="53">
        <v>8</v>
      </c>
      <c r="T26" s="45">
        <v>101.55</v>
      </c>
      <c r="U26" s="45"/>
      <c r="V26" s="45"/>
      <c r="W26" s="45"/>
      <c r="X26" s="45"/>
      <c r="Y26" s="45"/>
      <c r="Z26" s="51"/>
      <c r="AA26" s="53">
        <v>8</v>
      </c>
      <c r="AB26" s="45">
        <v>103.95</v>
      </c>
      <c r="AC26" s="45"/>
      <c r="AD26" s="45"/>
      <c r="AE26" s="45"/>
      <c r="AF26" s="45"/>
      <c r="AG26" s="45"/>
      <c r="AH26" s="51"/>
      <c r="AI26" s="53">
        <v>8</v>
      </c>
      <c r="AJ26" s="45">
        <v>100.65</v>
      </c>
      <c r="AK26" s="45"/>
      <c r="AL26" s="45"/>
      <c r="AM26" s="45"/>
      <c r="AN26" s="45"/>
      <c r="AO26" s="45"/>
      <c r="AP26" s="51"/>
    </row>
    <row r="27" spans="1:42" ht="21" customHeight="1" thickTop="1" thickBot="1" x14ac:dyDescent="0.35">
      <c r="A27" s="63"/>
      <c r="B27" s="66"/>
      <c r="C27" s="53">
        <v>9</v>
      </c>
      <c r="D27" s="45">
        <v>101.2</v>
      </c>
      <c r="E27" s="45"/>
      <c r="F27" s="45"/>
      <c r="G27" s="45"/>
      <c r="H27" s="45"/>
      <c r="I27" s="45"/>
      <c r="J27" s="51"/>
      <c r="K27" s="53">
        <v>9</v>
      </c>
      <c r="L27" s="45">
        <v>101.55</v>
      </c>
      <c r="M27" s="45"/>
      <c r="N27" s="45"/>
      <c r="O27" s="45"/>
      <c r="P27" s="45"/>
      <c r="Q27" s="45"/>
      <c r="R27" s="51"/>
      <c r="S27" s="53">
        <v>9</v>
      </c>
      <c r="T27" s="45">
        <v>101.6</v>
      </c>
      <c r="U27" s="45"/>
      <c r="V27" s="45"/>
      <c r="W27" s="45"/>
      <c r="X27" s="45"/>
      <c r="Y27" s="45"/>
      <c r="Z27" s="51"/>
      <c r="AA27" s="53">
        <v>9</v>
      </c>
      <c r="AB27" s="45">
        <v>103.85</v>
      </c>
      <c r="AC27" s="45"/>
      <c r="AD27" s="45"/>
      <c r="AE27" s="45"/>
      <c r="AF27" s="45"/>
      <c r="AG27" s="45"/>
      <c r="AH27" s="51"/>
      <c r="AI27" s="53">
        <v>9</v>
      </c>
      <c r="AJ27" s="45">
        <v>100.9</v>
      </c>
      <c r="AK27" s="45"/>
      <c r="AL27" s="45"/>
      <c r="AM27" s="45"/>
      <c r="AN27" s="45"/>
      <c r="AO27" s="45"/>
      <c r="AP27" s="51"/>
    </row>
    <row r="28" spans="1:42" ht="21" customHeight="1" thickTop="1" thickBot="1" x14ac:dyDescent="0.35">
      <c r="A28" s="63"/>
      <c r="B28" s="66"/>
      <c r="C28" s="53">
        <v>10</v>
      </c>
      <c r="D28" s="45">
        <v>100.3</v>
      </c>
      <c r="E28" s="45"/>
      <c r="F28" s="45"/>
      <c r="G28" s="45"/>
      <c r="H28" s="45"/>
      <c r="I28" s="45"/>
      <c r="J28" s="51"/>
      <c r="K28" s="53">
        <v>10</v>
      </c>
      <c r="L28" s="45">
        <v>100.3</v>
      </c>
      <c r="M28" s="45"/>
      <c r="N28" s="45"/>
      <c r="O28" s="45"/>
      <c r="P28" s="45"/>
      <c r="Q28" s="45"/>
      <c r="R28" s="51"/>
      <c r="S28" s="53">
        <v>10</v>
      </c>
      <c r="T28" s="45">
        <v>100.8</v>
      </c>
      <c r="U28" s="45"/>
      <c r="V28" s="45"/>
      <c r="W28" s="45"/>
      <c r="X28" s="45"/>
      <c r="Y28" s="45"/>
      <c r="Z28" s="51"/>
      <c r="AA28" s="53">
        <v>10</v>
      </c>
      <c r="AB28" s="45">
        <v>104.2</v>
      </c>
      <c r="AC28" s="45"/>
      <c r="AD28" s="45"/>
      <c r="AE28" s="45"/>
      <c r="AF28" s="45"/>
      <c r="AG28" s="45"/>
      <c r="AH28" s="51"/>
      <c r="AI28" s="53">
        <v>10</v>
      </c>
      <c r="AJ28" s="45">
        <v>99.100000000000009</v>
      </c>
      <c r="AK28" s="45"/>
      <c r="AL28" s="45"/>
      <c r="AM28" s="45"/>
      <c r="AN28" s="45"/>
      <c r="AO28" s="45"/>
      <c r="AP28" s="51"/>
    </row>
    <row r="29" spans="1:42" ht="21" customHeight="1" thickTop="1" thickBot="1" x14ac:dyDescent="0.35">
      <c r="A29" s="63"/>
      <c r="B29" s="66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66"/>
      <c r="C30" s="54" t="s">
        <v>16</v>
      </c>
      <c r="D30" s="49">
        <f>MIN(D19:D28)</f>
        <v>100.3</v>
      </c>
      <c r="E30" s="45"/>
      <c r="F30" s="55" t="s">
        <v>17</v>
      </c>
      <c r="G30" s="49" t="s">
        <v>18</v>
      </c>
      <c r="H30" s="49" t="s">
        <v>19</v>
      </c>
      <c r="I30" s="45"/>
      <c r="J30" s="51"/>
      <c r="K30" s="54" t="s">
        <v>16</v>
      </c>
      <c r="L30" s="49">
        <f>MIN(L19:L28)</f>
        <v>100.3</v>
      </c>
      <c r="M30" s="45"/>
      <c r="N30" s="55" t="s">
        <v>17</v>
      </c>
      <c r="O30" s="49" t="s">
        <v>18</v>
      </c>
      <c r="P30" s="49" t="s">
        <v>19</v>
      </c>
      <c r="Q30" s="45"/>
      <c r="R30" s="51"/>
      <c r="S30" s="54" t="s">
        <v>16</v>
      </c>
      <c r="T30" s="49">
        <f>MIN(T19:T28)</f>
        <v>100.8</v>
      </c>
      <c r="U30" s="45"/>
      <c r="V30" s="55" t="s">
        <v>17</v>
      </c>
      <c r="W30" s="49" t="s">
        <v>18</v>
      </c>
      <c r="X30" s="49" t="s">
        <v>19</v>
      </c>
      <c r="Y30" s="45"/>
      <c r="Z30" s="51"/>
      <c r="AA30" s="54" t="s">
        <v>16</v>
      </c>
      <c r="AB30" s="49">
        <f>MIN(AB19:AB28)</f>
        <v>102.6</v>
      </c>
      <c r="AC30" s="45"/>
      <c r="AD30" s="55" t="s">
        <v>17</v>
      </c>
      <c r="AE30" s="49" t="s">
        <v>18</v>
      </c>
      <c r="AF30" s="49" t="s">
        <v>19</v>
      </c>
      <c r="AG30" s="45"/>
      <c r="AH30" s="51"/>
      <c r="AI30" s="54" t="s">
        <v>16</v>
      </c>
      <c r="AJ30" s="49">
        <f>MIN(AJ19:AJ28)</f>
        <v>99.100000000000009</v>
      </c>
      <c r="AK30" s="45"/>
      <c r="AL30" s="55" t="s">
        <v>17</v>
      </c>
      <c r="AM30" s="49" t="s">
        <v>18</v>
      </c>
      <c r="AN30" s="49" t="s">
        <v>19</v>
      </c>
      <c r="AO30" s="45"/>
      <c r="AP30" s="51"/>
    </row>
    <row r="31" spans="1:42" ht="21" customHeight="1" thickTop="1" thickBot="1" x14ac:dyDescent="0.35">
      <c r="A31" s="63"/>
      <c r="B31" s="66"/>
      <c r="C31" s="54" t="s">
        <v>20</v>
      </c>
      <c r="D31" s="48">
        <f>AVERAGE(D19:D28)</f>
        <v>100.55999999999999</v>
      </c>
      <c r="E31" s="47"/>
      <c r="F31" s="48">
        <f>_xlfn.STDEV.S(D19:D28) / AVERAGE(D19:D28) * 100%</f>
        <v>3.5142822277111191E-3</v>
      </c>
      <c r="G31" s="48">
        <f t="array" ref="G31">MIN((D19:D28 - MIN(D19:D28,L19:L28,T19:T28,AB19:AB28,AJ19:AJ28))/MIN(D19:D28,L19:L28,T19:T28,AB19:AB28,AJ19:AJ28)*100%)</f>
        <v>1.2108980827446908E-2</v>
      </c>
      <c r="H31" s="48">
        <f t="array" ref="H31">AVERAGE((D19:D28 - MIN(D19:D28,L19:L28,T19:T28,AB19:AB28,AJ19:AJ28))/MIN(D19:D28,L19:L28,T19:T28,AB19:AB28,AJ19:AJ28)*100%)</f>
        <v>1.4732593340060437E-2</v>
      </c>
      <c r="I31" s="44"/>
      <c r="J31" s="51"/>
      <c r="K31" s="54" t="s">
        <v>20</v>
      </c>
      <c r="L31" s="48">
        <f>AVERAGE(L19:L28)</f>
        <v>100.95499999999998</v>
      </c>
      <c r="M31" s="47"/>
      <c r="N31" s="48">
        <f>_xlfn.STDEV.S(L19:L28) / AVERAGE(L19:L28) * 100%</f>
        <v>5.9909723516826698E-3</v>
      </c>
      <c r="O31" s="48">
        <f t="array" ref="O31">MIN((L19:L28 - MIN(D19:D28,L19:L28,T19:T28,AB19:AB28,AJ19:AJ28))/MIN(D19:D28,L19:L28,T19:T28,AB19:AB28,AJ19:AJ28)*100%)</f>
        <v>1.2108980827446908E-2</v>
      </c>
      <c r="P31" s="48">
        <f t="array" ref="P31">AVERAGE((L19:L28 - MIN(D19:D28,L19:L28,T19:T28,AB19:AB28,AJ19:AJ28))/MIN(D19:D28,L19:L28,T19:T28,AB19:AB28,AJ19:AJ28)*100%)</f>
        <v>1.8718466195761764E-2</v>
      </c>
      <c r="Q31" s="44"/>
      <c r="R31" s="51"/>
      <c r="S31" s="54" t="s">
        <v>20</v>
      </c>
      <c r="T31" s="48">
        <f>AVERAGE(T19:T28)</f>
        <v>102.22499999999999</v>
      </c>
      <c r="U31" s="47"/>
      <c r="V31" s="48">
        <f>_xlfn.STDEV.S(T19:T28) / AVERAGE(T19:T28) * 100%</f>
        <v>1.3213708824213868E-2</v>
      </c>
      <c r="W31" s="48">
        <f t="array" ref="W31">MIN((T19:T28 - MIN(D19:D28,L19:L28,T19:T28,AB19:AB28,AJ19:AJ28))/MIN(D19:D28,L19:L28,T19:T28,AB19:AB28,AJ19:AJ28)*100%)</f>
        <v>1.7154389505549834E-2</v>
      </c>
      <c r="X31" s="48">
        <f t="array" ref="X31">AVERAGE((T19:T28 - MIN(D19:D28,L19:L28,T19:T28,AB19:AB28,AJ19:AJ28))/MIN(D19:D28,L19:L28,T19:T28,AB19:AB28,AJ19:AJ28)*100%)</f>
        <v>3.1533804238143191E-2</v>
      </c>
      <c r="Y31" s="44"/>
      <c r="Z31" s="51"/>
      <c r="AA31" s="54" t="s">
        <v>20</v>
      </c>
      <c r="AB31" s="48">
        <f>AVERAGE(AB19:AB28)</f>
        <v>104</v>
      </c>
      <c r="AC31" s="47"/>
      <c r="AD31" s="48">
        <f>_xlfn.STDEV.S(AB19:AB28) / AVERAGE(AB19:AB28) * 100%</f>
        <v>9.1163222136717414E-3</v>
      </c>
      <c r="AE31" s="48">
        <f t="array" ref="AE31">MIN((AB19:AB28 - MIN(D19:D28,L19:L28,T19:T28,AB19:AB28,AJ19:AJ28))/MIN(D19:D28,L19:L28,T19:T28,AB19:AB28,AJ19:AJ28)*100%)</f>
        <v>3.5317860746720338E-2</v>
      </c>
      <c r="AF31" s="48">
        <f t="array" ref="AF31">AVERAGE((AB19:AB28 - MIN(D19:D28,L19:L28,T19:T28,AB19:AB28,AJ19:AJ28))/MIN(D19:D28,L19:L28,T19:T28,AB19:AB28,AJ19:AJ28)*100%)</f>
        <v>4.9445005045408587E-2</v>
      </c>
      <c r="AG31" s="44"/>
      <c r="AH31" s="51"/>
      <c r="AI31" s="54" t="s">
        <v>20</v>
      </c>
      <c r="AJ31" s="48">
        <f>AVERAGE(AJ19:AJ28)</f>
        <v>100.295</v>
      </c>
      <c r="AK31" s="47"/>
      <c r="AL31" s="48">
        <f>_xlfn.STDEV.S(AJ19:AJ28) / AVERAGE(AJ19:AJ28) * 100%</f>
        <v>7.595008982945536E-3</v>
      </c>
      <c r="AM31" s="48">
        <f t="array" ref="AM31">MIN((AJ19:AJ28 - MIN(D19:D28,L19:L28,T19:T28,AB19:AB28,AJ19:AJ28))/MIN(D19:D28,L19:L28,T19:T28,AB19:AB28,AJ19:AJ28)*100%)</f>
        <v>0</v>
      </c>
      <c r="AN31" s="48">
        <f t="array" ref="AN31">AVERAGE((AJ19:AJ28 - MIN(D19:D28,L19:L28,T19:T28,AB19:AB28,AJ19:AJ28))/MIN(D19:D28,L19:L28,T19:T28,AB19:AB28,AJ19:AJ28)*100%)</f>
        <v>1.2058526740665952E-2</v>
      </c>
      <c r="AO31" s="44"/>
      <c r="AP31" s="51"/>
    </row>
    <row r="32" spans="1:42" ht="21" customHeight="1" thickTop="1" thickBot="1" x14ac:dyDescent="0.35">
      <c r="A32" s="64"/>
      <c r="B32" s="67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2">
        <v>3</v>
      </c>
      <c r="B33" s="65" t="s">
        <v>22</v>
      </c>
      <c r="C33" s="50" t="s">
        <v>8</v>
      </c>
      <c r="D33" s="44" t="s">
        <v>9</v>
      </c>
      <c r="E33" s="44" t="s">
        <v>10</v>
      </c>
      <c r="F33" s="44" t="s">
        <v>11</v>
      </c>
      <c r="G33" s="44" t="s">
        <v>12</v>
      </c>
      <c r="H33" s="44" t="s">
        <v>13</v>
      </c>
      <c r="I33" s="44" t="s">
        <v>14</v>
      </c>
      <c r="J33" s="51" t="s">
        <v>15</v>
      </c>
      <c r="K33" s="50" t="s">
        <v>8</v>
      </c>
      <c r="L33" s="44" t="s">
        <v>9</v>
      </c>
      <c r="M33" s="44" t="s">
        <v>10</v>
      </c>
      <c r="N33" s="44" t="s">
        <v>11</v>
      </c>
      <c r="O33" s="44" t="s">
        <v>12</v>
      </c>
      <c r="P33" s="44" t="s">
        <v>13</v>
      </c>
      <c r="Q33" s="44" t="s">
        <v>14</v>
      </c>
      <c r="R33" s="51" t="s">
        <v>15</v>
      </c>
      <c r="S33" s="50" t="s">
        <v>8</v>
      </c>
      <c r="T33" s="44" t="s">
        <v>9</v>
      </c>
      <c r="U33" s="44" t="s">
        <v>10</v>
      </c>
      <c r="V33" s="44" t="s">
        <v>11</v>
      </c>
      <c r="W33" s="44" t="s">
        <v>12</v>
      </c>
      <c r="X33" s="44" t="s">
        <v>13</v>
      </c>
      <c r="Y33" s="44" t="s">
        <v>14</v>
      </c>
      <c r="Z33" s="51" t="s">
        <v>15</v>
      </c>
      <c r="AA33" s="50" t="s">
        <v>8</v>
      </c>
      <c r="AB33" s="44" t="s">
        <v>9</v>
      </c>
      <c r="AC33" s="44" t="s">
        <v>10</v>
      </c>
      <c r="AD33" s="44" t="s">
        <v>11</v>
      </c>
      <c r="AE33" s="44" t="s">
        <v>12</v>
      </c>
      <c r="AF33" s="44" t="s">
        <v>13</v>
      </c>
      <c r="AG33" s="44" t="s">
        <v>14</v>
      </c>
      <c r="AH33" s="51" t="s">
        <v>15</v>
      </c>
      <c r="AI33" s="50" t="s">
        <v>8</v>
      </c>
      <c r="AJ33" s="44" t="s">
        <v>9</v>
      </c>
      <c r="AK33" s="44" t="s">
        <v>10</v>
      </c>
      <c r="AL33" s="44" t="s">
        <v>11</v>
      </c>
      <c r="AM33" s="44" t="s">
        <v>12</v>
      </c>
      <c r="AN33" s="44" t="s">
        <v>13</v>
      </c>
      <c r="AO33" s="44" t="s">
        <v>14</v>
      </c>
      <c r="AP33" s="51" t="s">
        <v>15</v>
      </c>
    </row>
    <row r="34" spans="1:42" ht="21" customHeight="1" thickTop="1" thickBot="1" x14ac:dyDescent="0.35">
      <c r="A34" s="63"/>
      <c r="B34" s="66"/>
      <c r="C34" s="52">
        <v>1</v>
      </c>
      <c r="D34" s="44">
        <v>135.69999999999999</v>
      </c>
      <c r="E34" s="44"/>
      <c r="F34" s="44"/>
      <c r="G34" s="44"/>
      <c r="H34" s="44"/>
      <c r="I34" s="44"/>
      <c r="J34" s="51"/>
      <c r="K34" s="52">
        <v>1</v>
      </c>
      <c r="L34" s="44">
        <v>135.80000000000001</v>
      </c>
      <c r="M34" s="44"/>
      <c r="N34" s="44"/>
      <c r="O34" s="44"/>
      <c r="P34" s="44"/>
      <c r="Q34" s="44"/>
      <c r="R34" s="51"/>
      <c r="S34" s="52">
        <v>1</v>
      </c>
      <c r="T34" s="44">
        <v>138.30000000000001</v>
      </c>
      <c r="U34" s="44"/>
      <c r="V34" s="44"/>
      <c r="W34" s="44"/>
      <c r="X34" s="44"/>
      <c r="Y34" s="44"/>
      <c r="Z34" s="51"/>
      <c r="AA34" s="52">
        <v>1</v>
      </c>
      <c r="AB34" s="44">
        <v>138.35</v>
      </c>
      <c r="AC34" s="44"/>
      <c r="AD34" s="44"/>
      <c r="AE34" s="44"/>
      <c r="AF34" s="44"/>
      <c r="AG34" s="44"/>
      <c r="AH34" s="51"/>
      <c r="AI34" s="52">
        <v>1</v>
      </c>
      <c r="AJ34" s="44">
        <v>135.5</v>
      </c>
      <c r="AK34" s="44"/>
      <c r="AL34" s="44"/>
      <c r="AM34" s="44"/>
      <c r="AN34" s="44"/>
      <c r="AO34" s="44"/>
      <c r="AP34" s="51"/>
    </row>
    <row r="35" spans="1:42" ht="21" customHeight="1" thickTop="1" thickBot="1" x14ac:dyDescent="0.35">
      <c r="A35" s="63"/>
      <c r="B35" s="66"/>
      <c r="C35" s="53">
        <v>2</v>
      </c>
      <c r="D35" s="45">
        <v>135.85</v>
      </c>
      <c r="E35" s="45"/>
      <c r="F35" s="45"/>
      <c r="G35" s="45"/>
      <c r="H35" s="45"/>
      <c r="I35" s="45"/>
      <c r="J35" s="51"/>
      <c r="K35" s="53">
        <v>2</v>
      </c>
      <c r="L35" s="45">
        <v>135.75</v>
      </c>
      <c r="M35" s="45"/>
      <c r="N35" s="45"/>
      <c r="O35" s="45"/>
      <c r="P35" s="45"/>
      <c r="Q35" s="45"/>
      <c r="R35" s="51"/>
      <c r="S35" s="53">
        <v>2</v>
      </c>
      <c r="T35" s="45">
        <v>137.1</v>
      </c>
      <c r="U35" s="45"/>
      <c r="V35" s="45"/>
      <c r="W35" s="45"/>
      <c r="X35" s="45"/>
      <c r="Y35" s="45"/>
      <c r="Z35" s="51"/>
      <c r="AA35" s="53">
        <v>2</v>
      </c>
      <c r="AB35" s="45">
        <v>138.15</v>
      </c>
      <c r="AC35" s="45"/>
      <c r="AD35" s="45"/>
      <c r="AE35" s="45"/>
      <c r="AF35" s="45"/>
      <c r="AG35" s="45"/>
      <c r="AH35" s="51"/>
      <c r="AI35" s="53">
        <v>2</v>
      </c>
      <c r="AJ35" s="45">
        <v>135.1</v>
      </c>
      <c r="AK35" s="45"/>
      <c r="AL35" s="45"/>
      <c r="AM35" s="45"/>
      <c r="AN35" s="45"/>
      <c r="AO35" s="45"/>
      <c r="AP35" s="51"/>
    </row>
    <row r="36" spans="1:42" ht="21" customHeight="1" thickTop="1" thickBot="1" x14ac:dyDescent="0.35">
      <c r="A36" s="63"/>
      <c r="B36" s="66"/>
      <c r="C36" s="53">
        <v>3</v>
      </c>
      <c r="D36" s="45">
        <v>135.69999999999999</v>
      </c>
      <c r="E36" s="45"/>
      <c r="F36" s="45"/>
      <c r="G36" s="44"/>
      <c r="H36" s="44"/>
      <c r="I36" s="44"/>
      <c r="J36" s="51"/>
      <c r="K36" s="53">
        <v>3</v>
      </c>
      <c r="L36" s="45">
        <v>135.85</v>
      </c>
      <c r="M36" s="45"/>
      <c r="N36" s="45"/>
      <c r="O36" s="44"/>
      <c r="P36" s="44"/>
      <c r="Q36" s="44"/>
      <c r="R36" s="51"/>
      <c r="S36" s="53">
        <v>3</v>
      </c>
      <c r="T36" s="45">
        <v>135.4</v>
      </c>
      <c r="U36" s="45"/>
      <c r="V36" s="45"/>
      <c r="W36" s="44"/>
      <c r="X36" s="44"/>
      <c r="Y36" s="44"/>
      <c r="Z36" s="51"/>
      <c r="AA36" s="53">
        <v>3</v>
      </c>
      <c r="AB36" s="45">
        <v>137.19999999999999</v>
      </c>
      <c r="AC36" s="45"/>
      <c r="AD36" s="45"/>
      <c r="AE36" s="44"/>
      <c r="AF36" s="44"/>
      <c r="AG36" s="44"/>
      <c r="AH36" s="51"/>
      <c r="AI36" s="53">
        <v>3</v>
      </c>
      <c r="AJ36" s="45">
        <v>135.69999999999999</v>
      </c>
      <c r="AK36" s="45"/>
      <c r="AL36" s="45"/>
      <c r="AM36" s="44"/>
      <c r="AN36" s="44"/>
      <c r="AO36" s="44"/>
      <c r="AP36" s="51"/>
    </row>
    <row r="37" spans="1:42" ht="21" customHeight="1" thickTop="1" thickBot="1" x14ac:dyDescent="0.35">
      <c r="A37" s="63"/>
      <c r="B37" s="66"/>
      <c r="C37" s="53">
        <v>4</v>
      </c>
      <c r="D37" s="45">
        <v>135.9</v>
      </c>
      <c r="E37" s="45"/>
      <c r="F37" s="45"/>
      <c r="G37" s="45"/>
      <c r="H37" s="45"/>
      <c r="I37" s="45"/>
      <c r="J37" s="51"/>
      <c r="K37" s="53">
        <v>4</v>
      </c>
      <c r="L37" s="45">
        <v>135.65</v>
      </c>
      <c r="M37" s="45"/>
      <c r="N37" s="45"/>
      <c r="O37" s="45"/>
      <c r="P37" s="45"/>
      <c r="Q37" s="45"/>
      <c r="R37" s="51"/>
      <c r="S37" s="53">
        <v>4</v>
      </c>
      <c r="T37" s="45">
        <v>137.69999999999999</v>
      </c>
      <c r="U37" s="45"/>
      <c r="V37" s="45"/>
      <c r="W37" s="45"/>
      <c r="X37" s="45"/>
      <c r="Y37" s="45"/>
      <c r="Z37" s="51"/>
      <c r="AA37" s="53">
        <v>4</v>
      </c>
      <c r="AB37" s="45">
        <v>138.15</v>
      </c>
      <c r="AC37" s="45"/>
      <c r="AD37" s="45"/>
      <c r="AE37" s="45"/>
      <c r="AF37" s="45"/>
      <c r="AG37" s="45"/>
      <c r="AH37" s="51"/>
      <c r="AI37" s="53">
        <v>4</v>
      </c>
      <c r="AJ37" s="45">
        <v>135.75</v>
      </c>
      <c r="AK37" s="45"/>
      <c r="AL37" s="45"/>
      <c r="AM37" s="45"/>
      <c r="AN37" s="45"/>
      <c r="AO37" s="45"/>
      <c r="AP37" s="51"/>
    </row>
    <row r="38" spans="1:42" ht="21" customHeight="1" thickTop="1" thickBot="1" x14ac:dyDescent="0.35">
      <c r="A38" s="63"/>
      <c r="B38" s="66"/>
      <c r="C38" s="53">
        <v>5</v>
      </c>
      <c r="D38" s="45">
        <v>135.69999999999999</v>
      </c>
      <c r="E38" s="45"/>
      <c r="F38" s="45"/>
      <c r="G38" s="45"/>
      <c r="H38" s="45"/>
      <c r="I38" s="45"/>
      <c r="J38" s="51"/>
      <c r="K38" s="53">
        <v>5</v>
      </c>
      <c r="L38" s="45">
        <v>135.69999999999999</v>
      </c>
      <c r="M38" s="45"/>
      <c r="N38" s="45"/>
      <c r="O38" s="45"/>
      <c r="P38" s="45"/>
      <c r="Q38" s="45"/>
      <c r="R38" s="51"/>
      <c r="S38" s="53">
        <v>5</v>
      </c>
      <c r="T38" s="45">
        <v>137.19999999999999</v>
      </c>
      <c r="U38" s="45"/>
      <c r="V38" s="45"/>
      <c r="W38" s="45"/>
      <c r="X38" s="45"/>
      <c r="Y38" s="45"/>
      <c r="Z38" s="51"/>
      <c r="AA38" s="53">
        <v>5</v>
      </c>
      <c r="AB38" s="45">
        <v>137.44999999999999</v>
      </c>
      <c r="AC38" s="45"/>
      <c r="AD38" s="45"/>
      <c r="AE38" s="45"/>
      <c r="AF38" s="45"/>
      <c r="AG38" s="45"/>
      <c r="AH38" s="51"/>
      <c r="AI38" s="53">
        <v>5</v>
      </c>
      <c r="AJ38" s="45">
        <v>133.85</v>
      </c>
      <c r="AK38" s="45"/>
      <c r="AL38" s="45"/>
      <c r="AM38" s="45"/>
      <c r="AN38" s="45"/>
      <c r="AO38" s="45"/>
      <c r="AP38" s="51"/>
    </row>
    <row r="39" spans="1:42" ht="21" customHeight="1" thickTop="1" thickBot="1" x14ac:dyDescent="0.35">
      <c r="A39" s="63"/>
      <c r="B39" s="66"/>
      <c r="C39" s="53">
        <v>6</v>
      </c>
      <c r="D39" s="45">
        <v>136.19999999999999</v>
      </c>
      <c r="E39" s="45"/>
      <c r="F39" s="45"/>
      <c r="G39" s="45"/>
      <c r="H39" s="45"/>
      <c r="I39" s="45"/>
      <c r="J39" s="51"/>
      <c r="K39" s="53">
        <v>6</v>
      </c>
      <c r="L39" s="45">
        <v>136.1</v>
      </c>
      <c r="M39" s="45"/>
      <c r="N39" s="45"/>
      <c r="O39" s="45"/>
      <c r="P39" s="45"/>
      <c r="Q39" s="45"/>
      <c r="R39" s="51"/>
      <c r="S39" s="53">
        <v>6</v>
      </c>
      <c r="T39" s="45">
        <v>135.69999999999999</v>
      </c>
      <c r="U39" s="45"/>
      <c r="V39" s="45"/>
      <c r="W39" s="45"/>
      <c r="X39" s="45"/>
      <c r="Y39" s="45"/>
      <c r="Z39" s="51"/>
      <c r="AA39" s="53">
        <v>6</v>
      </c>
      <c r="AB39" s="45">
        <v>138.80000000000001</v>
      </c>
      <c r="AC39" s="45"/>
      <c r="AD39" s="45"/>
      <c r="AE39" s="45"/>
      <c r="AF39" s="45"/>
      <c r="AG39" s="45"/>
      <c r="AH39" s="51"/>
      <c r="AI39" s="53">
        <v>6</v>
      </c>
      <c r="AJ39" s="45">
        <v>134.65</v>
      </c>
      <c r="AK39" s="45"/>
      <c r="AL39" s="45"/>
      <c r="AM39" s="45"/>
      <c r="AN39" s="45"/>
      <c r="AO39" s="45"/>
      <c r="AP39" s="51"/>
    </row>
    <row r="40" spans="1:42" ht="21" customHeight="1" thickTop="1" thickBot="1" x14ac:dyDescent="0.35">
      <c r="A40" s="63"/>
      <c r="B40" s="66"/>
      <c r="C40" s="53">
        <v>7</v>
      </c>
      <c r="D40" s="45">
        <v>136.6</v>
      </c>
      <c r="E40" s="45"/>
      <c r="F40" s="45"/>
      <c r="G40" s="45"/>
      <c r="H40" s="45"/>
      <c r="I40" s="45"/>
      <c r="J40" s="51"/>
      <c r="K40" s="53">
        <v>7</v>
      </c>
      <c r="L40" s="45">
        <v>135.69999999999999</v>
      </c>
      <c r="M40" s="45"/>
      <c r="N40" s="45"/>
      <c r="O40" s="45"/>
      <c r="P40" s="45"/>
      <c r="Q40" s="45"/>
      <c r="R40" s="51"/>
      <c r="S40" s="53">
        <v>7</v>
      </c>
      <c r="T40" s="45">
        <v>135.4</v>
      </c>
      <c r="U40" s="45"/>
      <c r="V40" s="45"/>
      <c r="W40" s="45"/>
      <c r="X40" s="45"/>
      <c r="Y40" s="45"/>
      <c r="Z40" s="51"/>
      <c r="AA40" s="53">
        <v>7</v>
      </c>
      <c r="AB40" s="45">
        <v>138.30000000000001</v>
      </c>
      <c r="AC40" s="45"/>
      <c r="AD40" s="45"/>
      <c r="AE40" s="45"/>
      <c r="AF40" s="45"/>
      <c r="AG40" s="45"/>
      <c r="AH40" s="51"/>
      <c r="AI40" s="53">
        <v>7</v>
      </c>
      <c r="AJ40" s="45">
        <v>134.69999999999999</v>
      </c>
      <c r="AK40" s="45"/>
      <c r="AL40" s="45"/>
      <c r="AM40" s="45"/>
      <c r="AN40" s="45"/>
      <c r="AO40" s="45"/>
      <c r="AP40" s="51"/>
    </row>
    <row r="41" spans="1:42" ht="21" customHeight="1" thickTop="1" thickBot="1" x14ac:dyDescent="0.35">
      <c r="A41" s="63"/>
      <c r="B41" s="66"/>
      <c r="C41" s="53">
        <v>8</v>
      </c>
      <c r="D41" s="45">
        <v>135.69999999999999</v>
      </c>
      <c r="E41" s="45"/>
      <c r="F41" s="45"/>
      <c r="G41" s="45"/>
      <c r="H41" s="45"/>
      <c r="I41" s="45"/>
      <c r="J41" s="51"/>
      <c r="K41" s="53">
        <v>8</v>
      </c>
      <c r="L41" s="45">
        <v>135.69999999999999</v>
      </c>
      <c r="M41" s="45"/>
      <c r="N41" s="45"/>
      <c r="O41" s="45"/>
      <c r="P41" s="45"/>
      <c r="Q41" s="45"/>
      <c r="R41" s="51"/>
      <c r="S41" s="53">
        <v>8</v>
      </c>
      <c r="T41" s="45">
        <v>135.69999999999999</v>
      </c>
      <c r="U41" s="45"/>
      <c r="V41" s="45"/>
      <c r="W41" s="45"/>
      <c r="X41" s="45"/>
      <c r="Y41" s="45"/>
      <c r="Z41" s="51"/>
      <c r="AA41" s="53">
        <v>8</v>
      </c>
      <c r="AB41" s="45">
        <v>138.35</v>
      </c>
      <c r="AC41" s="45"/>
      <c r="AD41" s="45"/>
      <c r="AE41" s="45"/>
      <c r="AF41" s="45"/>
      <c r="AG41" s="45"/>
      <c r="AH41" s="51"/>
      <c r="AI41" s="53">
        <v>8</v>
      </c>
      <c r="AJ41" s="45">
        <v>135.4</v>
      </c>
      <c r="AK41" s="45"/>
      <c r="AL41" s="45"/>
      <c r="AM41" s="45"/>
      <c r="AN41" s="45"/>
      <c r="AO41" s="45"/>
      <c r="AP41" s="51"/>
    </row>
    <row r="42" spans="1:42" ht="21" customHeight="1" thickTop="1" thickBot="1" x14ac:dyDescent="0.35">
      <c r="A42" s="63"/>
      <c r="B42" s="66"/>
      <c r="C42" s="53">
        <v>9</v>
      </c>
      <c r="D42" s="45">
        <v>135.75</v>
      </c>
      <c r="E42" s="45"/>
      <c r="F42" s="45"/>
      <c r="G42" s="45"/>
      <c r="H42" s="45"/>
      <c r="I42" s="45"/>
      <c r="J42" s="51"/>
      <c r="K42" s="53">
        <v>9</v>
      </c>
      <c r="L42" s="45">
        <v>135.69999999999999</v>
      </c>
      <c r="M42" s="45"/>
      <c r="N42" s="45"/>
      <c r="O42" s="45"/>
      <c r="P42" s="45"/>
      <c r="Q42" s="45"/>
      <c r="R42" s="51"/>
      <c r="S42" s="53">
        <v>9</v>
      </c>
      <c r="T42" s="45">
        <v>135.1</v>
      </c>
      <c r="U42" s="45"/>
      <c r="V42" s="45"/>
      <c r="W42" s="45"/>
      <c r="X42" s="45"/>
      <c r="Y42" s="45"/>
      <c r="Z42" s="51"/>
      <c r="AA42" s="53">
        <v>9</v>
      </c>
      <c r="AB42" s="45">
        <v>138.85</v>
      </c>
      <c r="AC42" s="45"/>
      <c r="AD42" s="45"/>
      <c r="AE42" s="45"/>
      <c r="AF42" s="45"/>
      <c r="AG42" s="45"/>
      <c r="AH42" s="51"/>
      <c r="AI42" s="53">
        <v>9</v>
      </c>
      <c r="AJ42" s="45">
        <v>135.9</v>
      </c>
      <c r="AK42" s="45"/>
      <c r="AL42" s="45"/>
      <c r="AM42" s="45"/>
      <c r="AN42" s="45"/>
      <c r="AO42" s="45"/>
      <c r="AP42" s="51"/>
    </row>
    <row r="43" spans="1:42" ht="21" customHeight="1" thickTop="1" thickBot="1" x14ac:dyDescent="0.35">
      <c r="A43" s="63"/>
      <c r="B43" s="66"/>
      <c r="C43" s="53">
        <v>10</v>
      </c>
      <c r="D43" s="45">
        <v>135.69999999999999</v>
      </c>
      <c r="E43" s="45"/>
      <c r="F43" s="45"/>
      <c r="G43" s="45"/>
      <c r="H43" s="45"/>
      <c r="I43" s="45"/>
      <c r="J43" s="51"/>
      <c r="K43" s="53">
        <v>10</v>
      </c>
      <c r="L43" s="45">
        <v>135.69999999999999</v>
      </c>
      <c r="M43" s="45"/>
      <c r="N43" s="45"/>
      <c r="O43" s="45"/>
      <c r="P43" s="45"/>
      <c r="Q43" s="45"/>
      <c r="R43" s="51"/>
      <c r="S43" s="53">
        <v>10</v>
      </c>
      <c r="T43" s="45">
        <v>137.15</v>
      </c>
      <c r="U43" s="45"/>
      <c r="V43" s="45"/>
      <c r="W43" s="45"/>
      <c r="X43" s="45"/>
      <c r="Y43" s="45"/>
      <c r="Z43" s="51"/>
      <c r="AA43" s="53">
        <v>10</v>
      </c>
      <c r="AB43" s="45">
        <v>137.6</v>
      </c>
      <c r="AC43" s="45"/>
      <c r="AD43" s="45"/>
      <c r="AE43" s="45"/>
      <c r="AF43" s="45"/>
      <c r="AG43" s="45"/>
      <c r="AH43" s="51"/>
      <c r="AI43" s="53">
        <v>10</v>
      </c>
      <c r="AJ43" s="45">
        <v>135.4</v>
      </c>
      <c r="AK43" s="45"/>
      <c r="AL43" s="45"/>
      <c r="AM43" s="45"/>
      <c r="AN43" s="45"/>
      <c r="AO43" s="45"/>
      <c r="AP43" s="51"/>
    </row>
    <row r="44" spans="1:42" ht="21" customHeight="1" thickTop="1" thickBot="1" x14ac:dyDescent="0.35">
      <c r="A44" s="63"/>
      <c r="B44" s="66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66"/>
      <c r="C45" s="54" t="s">
        <v>16</v>
      </c>
      <c r="D45" s="49">
        <f>MIN(D34:D43)</f>
        <v>135.69999999999999</v>
      </c>
      <c r="E45" s="45"/>
      <c r="F45" s="55" t="s">
        <v>17</v>
      </c>
      <c r="G45" s="49" t="s">
        <v>18</v>
      </c>
      <c r="H45" s="49" t="s">
        <v>19</v>
      </c>
      <c r="I45" s="45"/>
      <c r="J45" s="51"/>
      <c r="K45" s="54" t="s">
        <v>16</v>
      </c>
      <c r="L45" s="49">
        <f>MIN(L34:L43)</f>
        <v>135.65</v>
      </c>
      <c r="M45" s="45"/>
      <c r="N45" s="55" t="s">
        <v>17</v>
      </c>
      <c r="O45" s="49" t="s">
        <v>18</v>
      </c>
      <c r="P45" s="49" t="s">
        <v>19</v>
      </c>
      <c r="Q45" s="45"/>
      <c r="R45" s="51"/>
      <c r="S45" s="54" t="s">
        <v>16</v>
      </c>
      <c r="T45" s="49">
        <f>MIN(T34:T43)</f>
        <v>135.1</v>
      </c>
      <c r="U45" s="45"/>
      <c r="V45" s="55" t="s">
        <v>17</v>
      </c>
      <c r="W45" s="49" t="s">
        <v>18</v>
      </c>
      <c r="X45" s="49" t="s">
        <v>19</v>
      </c>
      <c r="Y45" s="45"/>
      <c r="Z45" s="51"/>
      <c r="AA45" s="54" t="s">
        <v>16</v>
      </c>
      <c r="AB45" s="49">
        <f>MIN(AB34:AB43)</f>
        <v>137.19999999999999</v>
      </c>
      <c r="AC45" s="45"/>
      <c r="AD45" s="55" t="s">
        <v>17</v>
      </c>
      <c r="AE45" s="49" t="s">
        <v>18</v>
      </c>
      <c r="AF45" s="49" t="s">
        <v>19</v>
      </c>
      <c r="AG45" s="45"/>
      <c r="AH45" s="51"/>
      <c r="AI45" s="54" t="s">
        <v>16</v>
      </c>
      <c r="AJ45" s="49">
        <f>MIN(AJ34:AJ43)</f>
        <v>133.85</v>
      </c>
      <c r="AK45" s="45"/>
      <c r="AL45" s="55" t="s">
        <v>17</v>
      </c>
      <c r="AM45" s="49" t="s">
        <v>18</v>
      </c>
      <c r="AN45" s="49" t="s">
        <v>19</v>
      </c>
      <c r="AO45" s="45"/>
      <c r="AP45" s="51"/>
    </row>
    <row r="46" spans="1:42" ht="21" customHeight="1" thickTop="1" thickBot="1" x14ac:dyDescent="0.35">
      <c r="A46" s="63"/>
      <c r="B46" s="66"/>
      <c r="C46" s="54" t="s">
        <v>20</v>
      </c>
      <c r="D46" s="48">
        <f>AVERAGE(D34:D43)</f>
        <v>135.88</v>
      </c>
      <c r="E46" s="47"/>
      <c r="F46" s="48">
        <f>_xlfn.STDEV.S(D34:D43) / AVERAGE(D34:D43) * 100%</f>
        <v>2.1955304518952528E-3</v>
      </c>
      <c r="G46" s="48">
        <f t="array" ref="G46">MIN((D34:D43 - MIN(D34:D43,L34:L43,T34:T43,AB34:AB43,AJ34:AJ43))/MIN(D34:D43,L34:L43,T34:T43,AB34:AB43,AJ34:AJ43)*100%)</f>
        <v>1.3821441912588677E-2</v>
      </c>
      <c r="H46" s="48">
        <f t="array" ref="H46">AVERAGE((D34:D43 - MIN(D34:D43,L34:L43,T34:T43,AB34:AB43,AJ34:AJ43))/MIN(D34:D43,L34:L43,T34:T43,AB34:AB43,AJ34:AJ43)*100%)</f>
        <v>1.5166230855435175E-2</v>
      </c>
      <c r="I46" s="44"/>
      <c r="J46" s="51"/>
      <c r="K46" s="54" t="s">
        <v>20</v>
      </c>
      <c r="L46" s="48">
        <f>AVERAGE(L34:L43)</f>
        <v>135.76500000000001</v>
      </c>
      <c r="M46" s="47"/>
      <c r="N46" s="48">
        <f>_xlfn.STDEV.S(L34:L43) / AVERAGE(L34:L43) * 100%</f>
        <v>9.6740143163287907E-4</v>
      </c>
      <c r="O46" s="48">
        <f t="array" ref="O46">MIN((L34:L43 - MIN(D34:D43,L34:L43,T34:T43,AB34:AB43,AJ34:AJ43))/MIN(D34:D43,L34:L43,T34:T43,AB34:AB43,AJ34:AJ43)*100%)</f>
        <v>1.3447889428464786E-2</v>
      </c>
      <c r="P46" s="48">
        <f t="array" ref="P46">AVERAGE((L34:L43 - MIN(D34:D43,L34:L43,T34:T43,AB34:AB43,AJ34:AJ43))/MIN(D34:D43,L34:L43,T34:T43,AB34:AB43,AJ34:AJ43)*100%)</f>
        <v>1.4307060141949952E-2</v>
      </c>
      <c r="Q46" s="44"/>
      <c r="R46" s="51"/>
      <c r="S46" s="54" t="s">
        <v>20</v>
      </c>
      <c r="T46" s="48">
        <f>AVERAGE(T34:T43)</f>
        <v>136.47499999999999</v>
      </c>
      <c r="U46" s="47"/>
      <c r="V46" s="48">
        <f>_xlfn.STDEV.S(T34:T43) / AVERAGE(T34:T43) * 100%</f>
        <v>8.3209249098653865E-3</v>
      </c>
      <c r="W46" s="48">
        <f t="array" ref="W46">MIN((T34:T43 - MIN(D34:D43,L34:L43,T34:T43,AB34:AB43,AJ34:AJ43))/MIN(D34:D43,L34:L43,T34:T43,AB34:AB43,AJ34:AJ43)*100%)</f>
        <v>9.3388121031004866E-3</v>
      </c>
      <c r="X46" s="48">
        <f t="array" ref="X46">AVERAGE((T34:T43 - MIN(D34:D43,L34:L43,T34:T43,AB34:AB43,AJ34:AJ43))/MIN(D34:D43,L34:L43,T34:T43,AB34:AB43,AJ34:AJ43)*100%)</f>
        <v>1.9611505416511046E-2</v>
      </c>
      <c r="Y46" s="44"/>
      <c r="Z46" s="51"/>
      <c r="AA46" s="54" t="s">
        <v>20</v>
      </c>
      <c r="AB46" s="48">
        <f>AVERAGE(AB34:AB43)</f>
        <v>138.11999999999995</v>
      </c>
      <c r="AC46" s="47"/>
      <c r="AD46" s="48">
        <f>_xlfn.STDEV.S(AB34:AB43) / AVERAGE(AB34:AB43) * 100%</f>
        <v>3.9662900247500396E-3</v>
      </c>
      <c r="AE46" s="48">
        <f t="array" ref="AE46">MIN((AB34:AB43 - MIN(D34:D43,L34:L43,T34:T43,AB34:AB43,AJ34:AJ43))/MIN(D34:D43,L34:L43,T34:T43,AB34:AB43,AJ34:AJ43)*100%)</f>
        <v>2.502801643630926E-2</v>
      </c>
      <c r="AF46" s="48">
        <f t="array" ref="AF46">AVERAGE((AB34:AB43 - MIN(D34:D43,L34:L43,T34:T43,AB34:AB43,AJ34:AJ43))/MIN(D34:D43,L34:L43,T34:T43,AB34:AB43,AJ34:AJ43)*100%)</f>
        <v>3.190138214419129E-2</v>
      </c>
      <c r="AG46" s="44"/>
      <c r="AH46" s="51"/>
      <c r="AI46" s="54" t="s">
        <v>20</v>
      </c>
      <c r="AJ46" s="48">
        <f>AVERAGE(AJ34:AJ43)</f>
        <v>135.19500000000002</v>
      </c>
      <c r="AK46" s="47"/>
      <c r="AL46" s="48">
        <f>_xlfn.STDEV.S(AJ34:AJ43) / AVERAGE(AJ34:AJ43) * 100%</f>
        <v>4.6763114242940329E-3</v>
      </c>
      <c r="AM46" s="48">
        <f t="array" ref="AM46">MIN((AJ34:AJ43 - MIN(D34:D43,L34:L43,T34:T43,AB34:AB43,AJ34:AJ43))/MIN(D34:D43,L34:L43,T34:T43,AB34:AB43,AJ34:AJ43)*100%)</f>
        <v>0</v>
      </c>
      <c r="AN46" s="48">
        <f t="array" ref="AN46">AVERAGE((AJ34:AJ43 - MIN(D34:D43,L34:L43,T34:T43,AB34:AB43,AJ34:AJ43))/MIN(D34:D43,L34:L43,T34:T43,AB34:AB43,AJ34:AJ43)*100%)</f>
        <v>1.0048561822936158E-2</v>
      </c>
      <c r="AO46" s="44"/>
      <c r="AP46" s="51"/>
    </row>
    <row r="47" spans="1:42" ht="21" customHeight="1" thickTop="1" thickBot="1" x14ac:dyDescent="0.35">
      <c r="A47" s="64"/>
      <c r="B47" s="67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2">
        <v>4</v>
      </c>
      <c r="B48" s="65" t="s">
        <v>23</v>
      </c>
      <c r="C48" s="50" t="s">
        <v>8</v>
      </c>
      <c r="D48" s="44" t="s">
        <v>9</v>
      </c>
      <c r="E48" s="44" t="s">
        <v>10</v>
      </c>
      <c r="F48" s="44" t="s">
        <v>11</v>
      </c>
      <c r="G48" s="44" t="s">
        <v>12</v>
      </c>
      <c r="H48" s="44" t="s">
        <v>13</v>
      </c>
      <c r="I48" s="44" t="s">
        <v>14</v>
      </c>
      <c r="J48" s="51" t="s">
        <v>15</v>
      </c>
      <c r="K48" s="50" t="s">
        <v>8</v>
      </c>
      <c r="L48" s="44" t="s">
        <v>9</v>
      </c>
      <c r="M48" s="44" t="s">
        <v>10</v>
      </c>
      <c r="N48" s="44" t="s">
        <v>11</v>
      </c>
      <c r="O48" s="44" t="s">
        <v>12</v>
      </c>
      <c r="P48" s="44" t="s">
        <v>13</v>
      </c>
      <c r="Q48" s="44" t="s">
        <v>14</v>
      </c>
      <c r="R48" s="51" t="s">
        <v>15</v>
      </c>
      <c r="S48" s="50" t="s">
        <v>8</v>
      </c>
      <c r="T48" s="44" t="s">
        <v>9</v>
      </c>
      <c r="U48" s="44" t="s">
        <v>10</v>
      </c>
      <c r="V48" s="44" t="s">
        <v>11</v>
      </c>
      <c r="W48" s="44" t="s">
        <v>12</v>
      </c>
      <c r="X48" s="44" t="s">
        <v>13</v>
      </c>
      <c r="Y48" s="44" t="s">
        <v>14</v>
      </c>
      <c r="Z48" s="51" t="s">
        <v>15</v>
      </c>
      <c r="AA48" s="50" t="s">
        <v>8</v>
      </c>
      <c r="AB48" s="44" t="s">
        <v>9</v>
      </c>
      <c r="AC48" s="44" t="s">
        <v>10</v>
      </c>
      <c r="AD48" s="44" t="s">
        <v>11</v>
      </c>
      <c r="AE48" s="44" t="s">
        <v>12</v>
      </c>
      <c r="AF48" s="44" t="s">
        <v>13</v>
      </c>
      <c r="AG48" s="44" t="s">
        <v>14</v>
      </c>
      <c r="AH48" s="51" t="s">
        <v>15</v>
      </c>
      <c r="AI48" s="50" t="s">
        <v>8</v>
      </c>
      <c r="AJ48" s="44" t="s">
        <v>9</v>
      </c>
      <c r="AK48" s="44" t="s">
        <v>10</v>
      </c>
      <c r="AL48" s="44" t="s">
        <v>11</v>
      </c>
      <c r="AM48" s="44" t="s">
        <v>12</v>
      </c>
      <c r="AN48" s="44" t="s">
        <v>13</v>
      </c>
      <c r="AO48" s="44" t="s">
        <v>14</v>
      </c>
      <c r="AP48" s="51" t="s">
        <v>15</v>
      </c>
    </row>
    <row r="49" spans="1:42" ht="21" customHeight="1" thickTop="1" thickBot="1" x14ac:dyDescent="0.35">
      <c r="A49" s="63"/>
      <c r="B49" s="66"/>
      <c r="C49" s="52">
        <v>1</v>
      </c>
      <c r="D49" s="44">
        <v>209.2</v>
      </c>
      <c r="E49" s="44"/>
      <c r="F49" s="44"/>
      <c r="G49" s="44"/>
      <c r="H49" s="44"/>
      <c r="I49" s="44"/>
      <c r="J49" s="51"/>
      <c r="K49" s="52">
        <v>1</v>
      </c>
      <c r="L49" s="44">
        <v>208.8</v>
      </c>
      <c r="M49" s="44"/>
      <c r="N49" s="44"/>
      <c r="O49" s="44"/>
      <c r="P49" s="44"/>
      <c r="Q49" s="44"/>
      <c r="R49" s="51"/>
      <c r="S49" s="52">
        <v>1</v>
      </c>
      <c r="T49" s="44">
        <v>212.2</v>
      </c>
      <c r="U49" s="44"/>
      <c r="V49" s="44"/>
      <c r="W49" s="44"/>
      <c r="X49" s="44"/>
      <c r="Y49" s="44"/>
      <c r="Z49" s="51"/>
      <c r="AA49" s="52">
        <v>1</v>
      </c>
      <c r="AB49" s="44">
        <v>211.6</v>
      </c>
      <c r="AC49" s="44"/>
      <c r="AD49" s="44"/>
      <c r="AE49" s="44"/>
      <c r="AF49" s="44"/>
      <c r="AG49" s="44"/>
      <c r="AH49" s="51"/>
      <c r="AI49" s="52">
        <v>1</v>
      </c>
      <c r="AJ49" s="44">
        <v>207.2</v>
      </c>
      <c r="AK49" s="44"/>
      <c r="AL49" s="44"/>
      <c r="AM49" s="44"/>
      <c r="AN49" s="44"/>
      <c r="AO49" s="44"/>
      <c r="AP49" s="51"/>
    </row>
    <row r="50" spans="1:42" ht="21" customHeight="1" thickTop="1" thickBot="1" x14ac:dyDescent="0.35">
      <c r="A50" s="63"/>
      <c r="B50" s="66"/>
      <c r="C50" s="53">
        <v>2</v>
      </c>
      <c r="D50" s="45">
        <v>209.2</v>
      </c>
      <c r="E50" s="45"/>
      <c r="F50" s="45"/>
      <c r="G50" s="45"/>
      <c r="H50" s="45"/>
      <c r="I50" s="45"/>
      <c r="J50" s="51"/>
      <c r="K50" s="53">
        <v>2</v>
      </c>
      <c r="L50" s="45">
        <v>209.45</v>
      </c>
      <c r="M50" s="45"/>
      <c r="N50" s="45"/>
      <c r="O50" s="45"/>
      <c r="P50" s="45"/>
      <c r="Q50" s="45"/>
      <c r="R50" s="51"/>
      <c r="S50" s="53">
        <v>2</v>
      </c>
      <c r="T50" s="45">
        <v>209.2</v>
      </c>
      <c r="U50" s="45"/>
      <c r="V50" s="45"/>
      <c r="W50" s="45"/>
      <c r="X50" s="45"/>
      <c r="Y50" s="45"/>
      <c r="Z50" s="51"/>
      <c r="AA50" s="53">
        <v>2</v>
      </c>
      <c r="AB50" s="45">
        <v>211.6</v>
      </c>
      <c r="AC50" s="45"/>
      <c r="AD50" s="45"/>
      <c r="AE50" s="45"/>
      <c r="AF50" s="45"/>
      <c r="AG50" s="45"/>
      <c r="AH50" s="51"/>
      <c r="AI50" s="53">
        <v>2</v>
      </c>
      <c r="AJ50" s="45">
        <v>208.7</v>
      </c>
      <c r="AK50" s="45"/>
      <c r="AL50" s="45"/>
      <c r="AM50" s="45"/>
      <c r="AN50" s="45"/>
      <c r="AO50" s="45"/>
      <c r="AP50" s="51"/>
    </row>
    <row r="51" spans="1:42" ht="21" customHeight="1" thickTop="1" thickBot="1" x14ac:dyDescent="0.35">
      <c r="A51" s="63"/>
      <c r="B51" s="66"/>
      <c r="C51" s="53">
        <v>3</v>
      </c>
      <c r="D51" s="45">
        <v>208.65</v>
      </c>
      <c r="E51" s="45"/>
      <c r="F51" s="45"/>
      <c r="G51" s="44"/>
      <c r="H51" s="44"/>
      <c r="I51" s="44"/>
      <c r="J51" s="51"/>
      <c r="K51" s="53">
        <v>3</v>
      </c>
      <c r="L51" s="45">
        <v>209.2</v>
      </c>
      <c r="M51" s="45"/>
      <c r="N51" s="45"/>
      <c r="O51" s="44"/>
      <c r="P51" s="44"/>
      <c r="Q51" s="44"/>
      <c r="R51" s="51"/>
      <c r="S51" s="53">
        <v>3</v>
      </c>
      <c r="T51" s="45">
        <v>211.2</v>
      </c>
      <c r="U51" s="45"/>
      <c r="V51" s="45"/>
      <c r="W51" s="44"/>
      <c r="X51" s="44"/>
      <c r="Y51" s="44"/>
      <c r="Z51" s="51"/>
      <c r="AA51" s="53">
        <v>3</v>
      </c>
      <c r="AB51" s="45">
        <v>211.8</v>
      </c>
      <c r="AC51" s="45"/>
      <c r="AD51" s="45"/>
      <c r="AE51" s="44"/>
      <c r="AF51" s="44"/>
      <c r="AG51" s="44"/>
      <c r="AH51" s="51"/>
      <c r="AI51" s="53">
        <v>3</v>
      </c>
      <c r="AJ51" s="45">
        <v>208.7</v>
      </c>
      <c r="AK51" s="45"/>
      <c r="AL51" s="45"/>
      <c r="AM51" s="44"/>
      <c r="AN51" s="44"/>
      <c r="AO51" s="44"/>
      <c r="AP51" s="51"/>
    </row>
    <row r="52" spans="1:42" ht="21" customHeight="1" thickTop="1" thickBot="1" x14ac:dyDescent="0.35">
      <c r="A52" s="63"/>
      <c r="B52" s="66"/>
      <c r="C52" s="53">
        <v>4</v>
      </c>
      <c r="D52" s="45">
        <v>208.8</v>
      </c>
      <c r="E52" s="45"/>
      <c r="F52" s="45"/>
      <c r="G52" s="45"/>
      <c r="H52" s="45"/>
      <c r="I52" s="45"/>
      <c r="J52" s="51"/>
      <c r="K52" s="53">
        <v>4</v>
      </c>
      <c r="L52" s="45">
        <v>209.2</v>
      </c>
      <c r="M52" s="45"/>
      <c r="N52" s="45"/>
      <c r="O52" s="45"/>
      <c r="P52" s="45"/>
      <c r="Q52" s="45"/>
      <c r="R52" s="51"/>
      <c r="S52" s="53">
        <v>4</v>
      </c>
      <c r="T52" s="45">
        <v>210.15</v>
      </c>
      <c r="U52" s="45"/>
      <c r="V52" s="45"/>
      <c r="W52" s="45"/>
      <c r="X52" s="45"/>
      <c r="Y52" s="45"/>
      <c r="Z52" s="51"/>
      <c r="AA52" s="53">
        <v>4</v>
      </c>
      <c r="AB52" s="45">
        <v>211.6</v>
      </c>
      <c r="AC52" s="45"/>
      <c r="AD52" s="45"/>
      <c r="AE52" s="45"/>
      <c r="AF52" s="45"/>
      <c r="AG52" s="45"/>
      <c r="AH52" s="51"/>
      <c r="AI52" s="53">
        <v>4</v>
      </c>
      <c r="AJ52" s="45">
        <v>208.1</v>
      </c>
      <c r="AK52" s="45"/>
      <c r="AL52" s="45"/>
      <c r="AM52" s="45"/>
      <c r="AN52" s="45"/>
      <c r="AO52" s="45"/>
      <c r="AP52" s="51"/>
    </row>
    <row r="53" spans="1:42" ht="21" customHeight="1" thickTop="1" thickBot="1" x14ac:dyDescent="0.35">
      <c r="A53" s="63"/>
      <c r="B53" s="66"/>
      <c r="C53" s="53">
        <v>5</v>
      </c>
      <c r="D53" s="45">
        <v>209.35</v>
      </c>
      <c r="E53" s="45"/>
      <c r="F53" s="45"/>
      <c r="G53" s="45"/>
      <c r="H53" s="45"/>
      <c r="I53" s="45"/>
      <c r="J53" s="51"/>
      <c r="K53" s="53">
        <v>5</v>
      </c>
      <c r="L53" s="45">
        <v>208.9</v>
      </c>
      <c r="M53" s="45"/>
      <c r="N53" s="45"/>
      <c r="O53" s="45"/>
      <c r="P53" s="45"/>
      <c r="Q53" s="45"/>
      <c r="R53" s="51"/>
      <c r="S53" s="53">
        <v>5</v>
      </c>
      <c r="T53" s="45">
        <v>208.6</v>
      </c>
      <c r="U53" s="45"/>
      <c r="V53" s="45"/>
      <c r="W53" s="45"/>
      <c r="X53" s="45"/>
      <c r="Y53" s="45"/>
      <c r="Z53" s="51"/>
      <c r="AA53" s="53">
        <v>5</v>
      </c>
      <c r="AB53" s="45">
        <v>211.4</v>
      </c>
      <c r="AC53" s="45"/>
      <c r="AD53" s="45"/>
      <c r="AE53" s="45"/>
      <c r="AF53" s="45"/>
      <c r="AG53" s="45"/>
      <c r="AH53" s="51"/>
      <c r="AI53" s="53">
        <v>5</v>
      </c>
      <c r="AJ53" s="45">
        <v>207.9</v>
      </c>
      <c r="AK53" s="45"/>
      <c r="AL53" s="45"/>
      <c r="AM53" s="45"/>
      <c r="AN53" s="45"/>
      <c r="AO53" s="45"/>
      <c r="AP53" s="51"/>
    </row>
    <row r="54" spans="1:42" ht="21" customHeight="1" thickTop="1" thickBot="1" x14ac:dyDescent="0.35">
      <c r="A54" s="63"/>
      <c r="B54" s="66"/>
      <c r="C54" s="53">
        <v>6</v>
      </c>
      <c r="D54" s="45">
        <v>208.55</v>
      </c>
      <c r="E54" s="45"/>
      <c r="F54" s="45"/>
      <c r="G54" s="45"/>
      <c r="H54" s="45"/>
      <c r="I54" s="45"/>
      <c r="J54" s="51"/>
      <c r="K54" s="53">
        <v>6</v>
      </c>
      <c r="L54" s="45">
        <v>209.7</v>
      </c>
      <c r="M54" s="45"/>
      <c r="N54" s="45"/>
      <c r="O54" s="45"/>
      <c r="P54" s="45"/>
      <c r="Q54" s="45"/>
      <c r="R54" s="51"/>
      <c r="S54" s="53">
        <v>6</v>
      </c>
      <c r="T54" s="45">
        <v>210.6</v>
      </c>
      <c r="U54" s="45"/>
      <c r="V54" s="45"/>
      <c r="W54" s="45"/>
      <c r="X54" s="45"/>
      <c r="Y54" s="45"/>
      <c r="Z54" s="51"/>
      <c r="AA54" s="53">
        <v>6</v>
      </c>
      <c r="AB54" s="45">
        <v>212.25</v>
      </c>
      <c r="AC54" s="45"/>
      <c r="AD54" s="45"/>
      <c r="AE54" s="45"/>
      <c r="AF54" s="45"/>
      <c r="AG54" s="45"/>
      <c r="AH54" s="51"/>
      <c r="AI54" s="53">
        <v>6</v>
      </c>
      <c r="AJ54" s="45">
        <v>208.9</v>
      </c>
      <c r="AK54" s="45"/>
      <c r="AL54" s="45"/>
      <c r="AM54" s="45"/>
      <c r="AN54" s="45"/>
      <c r="AO54" s="45"/>
      <c r="AP54" s="51"/>
    </row>
    <row r="55" spans="1:42" ht="21" customHeight="1" thickTop="1" thickBot="1" x14ac:dyDescent="0.35">
      <c r="A55" s="63"/>
      <c r="B55" s="66"/>
      <c r="C55" s="53">
        <v>7</v>
      </c>
      <c r="D55" s="45">
        <v>210.4</v>
      </c>
      <c r="E55" s="45"/>
      <c r="F55" s="45"/>
      <c r="G55" s="45"/>
      <c r="H55" s="45"/>
      <c r="I55" s="45"/>
      <c r="J55" s="51"/>
      <c r="K55" s="53">
        <v>7</v>
      </c>
      <c r="L55" s="45">
        <v>209.2</v>
      </c>
      <c r="M55" s="45"/>
      <c r="N55" s="45"/>
      <c r="O55" s="45"/>
      <c r="P55" s="45"/>
      <c r="Q55" s="45"/>
      <c r="R55" s="51"/>
      <c r="S55" s="53">
        <v>7</v>
      </c>
      <c r="T55" s="45">
        <v>210.6</v>
      </c>
      <c r="U55" s="45"/>
      <c r="V55" s="45"/>
      <c r="W55" s="45"/>
      <c r="X55" s="45"/>
      <c r="Y55" s="45"/>
      <c r="Z55" s="51"/>
      <c r="AA55" s="53">
        <v>7</v>
      </c>
      <c r="AB55" s="45">
        <v>212.95</v>
      </c>
      <c r="AC55" s="45"/>
      <c r="AD55" s="45"/>
      <c r="AE55" s="45"/>
      <c r="AF55" s="45"/>
      <c r="AG55" s="45"/>
      <c r="AH55" s="51"/>
      <c r="AI55" s="53">
        <v>7</v>
      </c>
      <c r="AJ55" s="45">
        <v>209.2</v>
      </c>
      <c r="AK55" s="45"/>
      <c r="AL55" s="45"/>
      <c r="AM55" s="45"/>
      <c r="AN55" s="45"/>
      <c r="AO55" s="45"/>
      <c r="AP55" s="51"/>
    </row>
    <row r="56" spans="1:42" ht="21" customHeight="1" thickTop="1" thickBot="1" x14ac:dyDescent="0.35">
      <c r="A56" s="63"/>
      <c r="B56" s="66"/>
      <c r="C56" s="53">
        <v>8</v>
      </c>
      <c r="D56" s="45">
        <v>208.7</v>
      </c>
      <c r="E56" s="45"/>
      <c r="F56" s="45"/>
      <c r="G56" s="45"/>
      <c r="H56" s="45"/>
      <c r="I56" s="45"/>
      <c r="J56" s="51"/>
      <c r="K56" s="53">
        <v>8</v>
      </c>
      <c r="L56" s="45">
        <v>208.25</v>
      </c>
      <c r="M56" s="45"/>
      <c r="N56" s="45"/>
      <c r="O56" s="45"/>
      <c r="P56" s="45"/>
      <c r="Q56" s="45"/>
      <c r="R56" s="51"/>
      <c r="S56" s="53">
        <v>8</v>
      </c>
      <c r="T56" s="45">
        <v>209.8</v>
      </c>
      <c r="U56" s="45"/>
      <c r="V56" s="45"/>
      <c r="W56" s="45"/>
      <c r="X56" s="45"/>
      <c r="Y56" s="45"/>
      <c r="Z56" s="51"/>
      <c r="AA56" s="53">
        <v>8</v>
      </c>
      <c r="AB56" s="45">
        <v>211.6</v>
      </c>
      <c r="AC56" s="45"/>
      <c r="AD56" s="45"/>
      <c r="AE56" s="45"/>
      <c r="AF56" s="45"/>
      <c r="AG56" s="45"/>
      <c r="AH56" s="51"/>
      <c r="AI56" s="53">
        <v>8</v>
      </c>
      <c r="AJ56" s="45">
        <v>208.9</v>
      </c>
      <c r="AK56" s="45"/>
      <c r="AL56" s="45"/>
      <c r="AM56" s="45"/>
      <c r="AN56" s="45"/>
      <c r="AO56" s="45"/>
      <c r="AP56" s="51"/>
    </row>
    <row r="57" spans="1:42" ht="21" customHeight="1" thickTop="1" thickBot="1" x14ac:dyDescent="0.35">
      <c r="A57" s="63"/>
      <c r="B57" s="66"/>
      <c r="C57" s="53">
        <v>9</v>
      </c>
      <c r="D57" s="45">
        <v>209.6</v>
      </c>
      <c r="E57" s="45"/>
      <c r="F57" s="45"/>
      <c r="G57" s="45"/>
      <c r="H57" s="45"/>
      <c r="I57" s="45"/>
      <c r="J57" s="51"/>
      <c r="K57" s="53">
        <v>9</v>
      </c>
      <c r="L57" s="45">
        <v>208.2</v>
      </c>
      <c r="M57" s="45"/>
      <c r="N57" s="45"/>
      <c r="O57" s="45"/>
      <c r="P57" s="45"/>
      <c r="Q57" s="45"/>
      <c r="R57" s="51"/>
      <c r="S57" s="53">
        <v>9</v>
      </c>
      <c r="T57" s="45">
        <v>211.7</v>
      </c>
      <c r="U57" s="45"/>
      <c r="V57" s="45"/>
      <c r="W57" s="45"/>
      <c r="X57" s="45"/>
      <c r="Y57" s="45"/>
      <c r="Z57" s="51"/>
      <c r="AA57" s="53">
        <v>9</v>
      </c>
      <c r="AB57" s="45">
        <v>211.6</v>
      </c>
      <c r="AC57" s="45"/>
      <c r="AD57" s="45"/>
      <c r="AE57" s="45"/>
      <c r="AF57" s="45"/>
      <c r="AG57" s="45"/>
      <c r="AH57" s="51"/>
      <c r="AI57" s="53">
        <v>9</v>
      </c>
      <c r="AJ57" s="45">
        <v>207.35</v>
      </c>
      <c r="AK57" s="45"/>
      <c r="AL57" s="45"/>
      <c r="AM57" s="45"/>
      <c r="AN57" s="45"/>
      <c r="AO57" s="45"/>
      <c r="AP57" s="51"/>
    </row>
    <row r="58" spans="1:42" ht="21" customHeight="1" thickTop="1" thickBot="1" x14ac:dyDescent="0.35">
      <c r="A58" s="63"/>
      <c r="B58" s="66"/>
      <c r="C58" s="53">
        <v>10</v>
      </c>
      <c r="D58" s="45">
        <v>210.15</v>
      </c>
      <c r="E58" s="45"/>
      <c r="F58" s="45"/>
      <c r="G58" s="45"/>
      <c r="H58" s="45"/>
      <c r="I58" s="45"/>
      <c r="J58" s="51"/>
      <c r="K58" s="53">
        <v>10</v>
      </c>
      <c r="L58" s="45">
        <v>209.85</v>
      </c>
      <c r="M58" s="45"/>
      <c r="N58" s="45"/>
      <c r="O58" s="45"/>
      <c r="P58" s="45"/>
      <c r="Q58" s="45"/>
      <c r="R58" s="51"/>
      <c r="S58" s="53">
        <v>10</v>
      </c>
      <c r="T58" s="45">
        <v>208.7</v>
      </c>
      <c r="U58" s="45"/>
      <c r="V58" s="45"/>
      <c r="W58" s="45"/>
      <c r="X58" s="45"/>
      <c r="Y58" s="45"/>
      <c r="Z58" s="51"/>
      <c r="AA58" s="53">
        <v>10</v>
      </c>
      <c r="AB58" s="45">
        <v>210.7</v>
      </c>
      <c r="AC58" s="45"/>
      <c r="AD58" s="45"/>
      <c r="AE58" s="45"/>
      <c r="AF58" s="45"/>
      <c r="AG58" s="45"/>
      <c r="AH58" s="51"/>
      <c r="AI58" s="53">
        <v>10</v>
      </c>
      <c r="AJ58" s="45">
        <v>207.95</v>
      </c>
      <c r="AK58" s="45"/>
      <c r="AL58" s="45"/>
      <c r="AM58" s="45"/>
      <c r="AN58" s="45"/>
      <c r="AO58" s="45"/>
      <c r="AP58" s="51"/>
    </row>
    <row r="59" spans="1:42" ht="21" customHeight="1" thickTop="1" thickBot="1" x14ac:dyDescent="0.35">
      <c r="A59" s="63"/>
      <c r="B59" s="66"/>
      <c r="C59" s="53"/>
      <c r="D59" s="61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66"/>
      <c r="C60" s="54" t="s">
        <v>16</v>
      </c>
      <c r="D60" s="49">
        <f>MIN(D49:D58)</f>
        <v>208.55</v>
      </c>
      <c r="E60" s="45"/>
      <c r="F60" s="55" t="s">
        <v>17</v>
      </c>
      <c r="G60" s="49" t="s">
        <v>18</v>
      </c>
      <c r="H60" s="49" t="s">
        <v>19</v>
      </c>
      <c r="I60" s="45"/>
      <c r="J60" s="51"/>
      <c r="K60" s="54" t="s">
        <v>16</v>
      </c>
      <c r="L60" s="49">
        <f>MIN(L49:L58)</f>
        <v>208.2</v>
      </c>
      <c r="M60" s="45"/>
      <c r="N60" s="55" t="s">
        <v>17</v>
      </c>
      <c r="O60" s="49" t="s">
        <v>18</v>
      </c>
      <c r="P60" s="49" t="s">
        <v>19</v>
      </c>
      <c r="Q60" s="45"/>
      <c r="R60" s="51"/>
      <c r="S60" s="54" t="s">
        <v>16</v>
      </c>
      <c r="T60" s="49">
        <f>MIN(T49:T58)</f>
        <v>208.6</v>
      </c>
      <c r="U60" s="45"/>
      <c r="V60" s="55" t="s">
        <v>17</v>
      </c>
      <c r="W60" s="49" t="s">
        <v>18</v>
      </c>
      <c r="X60" s="49" t="s">
        <v>19</v>
      </c>
      <c r="Y60" s="45"/>
      <c r="Z60" s="51"/>
      <c r="AA60" s="54" t="s">
        <v>16</v>
      </c>
      <c r="AB60" s="49">
        <f>MIN(AB49:AB58)</f>
        <v>210.7</v>
      </c>
      <c r="AC60" s="45"/>
      <c r="AD60" s="55" t="s">
        <v>17</v>
      </c>
      <c r="AE60" s="49" t="s">
        <v>18</v>
      </c>
      <c r="AF60" s="49" t="s">
        <v>19</v>
      </c>
      <c r="AG60" s="45"/>
      <c r="AH60" s="51"/>
      <c r="AI60" s="54" t="s">
        <v>16</v>
      </c>
      <c r="AJ60" s="49">
        <f>MIN(AJ49:AJ58)</f>
        <v>207.2</v>
      </c>
      <c r="AK60" s="45"/>
      <c r="AL60" s="55" t="s">
        <v>17</v>
      </c>
      <c r="AM60" s="49" t="s">
        <v>18</v>
      </c>
      <c r="AN60" s="49" t="s">
        <v>19</v>
      </c>
      <c r="AO60" s="45"/>
      <c r="AP60" s="51"/>
    </row>
    <row r="61" spans="1:42" ht="21" customHeight="1" thickTop="1" thickBot="1" x14ac:dyDescent="0.35">
      <c r="A61" s="63"/>
      <c r="B61" s="66"/>
      <c r="C61" s="54" t="s">
        <v>20</v>
      </c>
      <c r="D61" s="48">
        <f>AVERAGE(D49:D58)</f>
        <v>209.26</v>
      </c>
      <c r="E61" s="47"/>
      <c r="F61" s="48">
        <f>_xlfn.STDEV.S(D49:D58) / AVERAGE(D49:D58) * 100%</f>
        <v>3.0324009135151279E-3</v>
      </c>
      <c r="G61" s="48">
        <f t="array" ref="G61">MIN((D49:D58 - MIN(D49:D58,L49:L58,T49:T58,AB49:AB58,AJ49:AJ58))/MIN(D49:D58,L49:L58,T49:T58,AB49:AB58,AJ49:AJ58)*100%)</f>
        <v>6.5154440154441256E-3</v>
      </c>
      <c r="H61" s="48">
        <f t="array" ref="H61">AVERAGE((D49:D58 - MIN(D49:D58,L49:L58,T49:T58,AB49:AB58,AJ49:AJ58))/MIN(D49:D58,L49:L58,T49:T58,AB49:AB58,AJ49:AJ58)*100%)</f>
        <v>9.9420849420849954E-3</v>
      </c>
      <c r="I61" s="44"/>
      <c r="J61" s="51"/>
      <c r="K61" s="54" t="s">
        <v>20</v>
      </c>
      <c r="L61" s="48">
        <f>AVERAGE(L49:L58)</f>
        <v>209.07500000000005</v>
      </c>
      <c r="M61" s="47"/>
      <c r="N61" s="48">
        <f>_xlfn.STDEV.S(L49:L58) / AVERAGE(L49:L58) * 100%</f>
        <v>2.634858923199541E-3</v>
      </c>
      <c r="O61" s="48">
        <f t="array" ref="O61">MIN((L49:L58 - MIN(D49:D58,L49:L58,T49:T58,AB49:AB58,AJ49:AJ58))/MIN(D49:D58,L49:L58,T49:T58,AB49:AB58,AJ49:AJ58)*100%)</f>
        <v>4.8262548262548262E-3</v>
      </c>
      <c r="P61" s="48">
        <f t="array" ref="P61">AVERAGE((L49:L58 - MIN(D49:D58,L49:L58,T49:T58,AB49:AB58,AJ49:AJ58))/MIN(D49:D58,L49:L58,T49:T58,AB49:AB58,AJ49:AJ58)*100%)</f>
        <v>9.0492277992278262E-3</v>
      </c>
      <c r="Q61" s="44"/>
      <c r="R61" s="51"/>
      <c r="S61" s="54" t="s">
        <v>20</v>
      </c>
      <c r="T61" s="48">
        <f>AVERAGE(T49:T58)</f>
        <v>210.27499999999995</v>
      </c>
      <c r="U61" s="47"/>
      <c r="V61" s="48">
        <f>_xlfn.STDEV.S(T49:T58) / AVERAGE(T49:T58) * 100%</f>
        <v>5.8215241936937154E-3</v>
      </c>
      <c r="W61" s="48">
        <f t="array" ref="W61">MIN((T49:T58 - MIN(D49:D58,L49:L58,T49:T58,AB49:AB58,AJ49:AJ58))/MIN(D49:D58,L49:L58,T49:T58,AB49:AB58,AJ49:AJ58)*100%)</f>
        <v>6.7567567567567849E-3</v>
      </c>
      <c r="X61" s="48">
        <f t="array" ref="X61">AVERAGE((T49:T58 - MIN(D49:D58,L49:L58,T49:T58,AB49:AB58,AJ49:AJ58))/MIN(D49:D58,L49:L58,T49:T58,AB49:AB58,AJ49:AJ58)*100%)</f>
        <v>1.484073359073362E-2</v>
      </c>
      <c r="Y61" s="44"/>
      <c r="Z61" s="51"/>
      <c r="AA61" s="54" t="s">
        <v>20</v>
      </c>
      <c r="AB61" s="48">
        <f>AVERAGE(AB49:AB58)</f>
        <v>211.70999999999998</v>
      </c>
      <c r="AC61" s="47"/>
      <c r="AD61" s="48">
        <f>_xlfn.STDEV.S(AB49:AB58) / AVERAGE(AB49:AB58) * 100%</f>
        <v>2.7334365490462621E-3</v>
      </c>
      <c r="AE61" s="48">
        <f t="array" ref="AE61">MIN((AB49:AB58 - MIN(D49:D58,L49:L58,T49:T58,AB49:AB58,AJ49:AJ58))/MIN(D49:D58,L49:L58,T49:T58,AB49:AB58,AJ49:AJ58)*100%)</f>
        <v>1.6891891891891893E-2</v>
      </c>
      <c r="AF61" s="48">
        <f t="array" ref="AF61">AVERAGE((AB49:AB58 - MIN(D49:D58,L49:L58,T49:T58,AB49:AB58,AJ49:AJ58))/MIN(D49:D58,L49:L58,T49:T58,AB49:AB58,AJ49:AJ58)*100%)</f>
        <v>2.1766409266409305E-2</v>
      </c>
      <c r="AG61" s="44"/>
      <c r="AH61" s="51"/>
      <c r="AI61" s="54" t="s">
        <v>20</v>
      </c>
      <c r="AJ61" s="48">
        <f>AVERAGE(AJ49:AJ58)</f>
        <v>208.29000000000002</v>
      </c>
      <c r="AK61" s="47"/>
      <c r="AL61" s="48">
        <f>_xlfn.STDEV.S(AJ49:AJ58) / AVERAGE(AJ49:AJ58) * 100%</f>
        <v>3.3123411226002922E-3</v>
      </c>
      <c r="AM61" s="48">
        <f t="array" ref="AM61">MIN((AJ49:AJ58 - MIN(D49:D58,L49:L58,T49:T58,AB49:AB58,AJ49:AJ58))/MIN(D49:D58,L49:L58,T49:T58,AB49:AB58,AJ49:AJ58)*100%)</f>
        <v>0</v>
      </c>
      <c r="AN61" s="48">
        <f t="array" ref="AN61">AVERAGE((AJ49:AJ58 - MIN(D49:D58,L49:L58,T49:T58,AB49:AB58,AJ49:AJ58))/MIN(D49:D58,L49:L58,T49:T58,AB49:AB58,AJ49:AJ58)*100%)</f>
        <v>5.2606177606177914E-3</v>
      </c>
      <c r="AO61" s="44"/>
      <c r="AP61" s="51"/>
    </row>
    <row r="62" spans="1:42" ht="21" customHeight="1" thickTop="1" thickBot="1" x14ac:dyDescent="0.35">
      <c r="A62" s="64"/>
      <c r="B62" s="67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2">
        <v>5</v>
      </c>
      <c r="B63" s="65" t="s">
        <v>24</v>
      </c>
      <c r="C63" s="50" t="s">
        <v>8</v>
      </c>
      <c r="D63" s="44" t="s">
        <v>9</v>
      </c>
      <c r="E63" s="44" t="s">
        <v>10</v>
      </c>
      <c r="F63" s="44" t="s">
        <v>11</v>
      </c>
      <c r="G63" s="44" t="s">
        <v>12</v>
      </c>
      <c r="H63" s="44" t="s">
        <v>13</v>
      </c>
      <c r="I63" s="44" t="s">
        <v>14</v>
      </c>
      <c r="J63" s="51" t="s">
        <v>15</v>
      </c>
      <c r="K63" s="50" t="s">
        <v>8</v>
      </c>
      <c r="L63" s="44" t="s">
        <v>9</v>
      </c>
      <c r="M63" s="44" t="s">
        <v>10</v>
      </c>
      <c r="N63" s="44" t="s">
        <v>11</v>
      </c>
      <c r="O63" s="44" t="s">
        <v>12</v>
      </c>
      <c r="P63" s="44" t="s">
        <v>13</v>
      </c>
      <c r="Q63" s="44" t="s">
        <v>14</v>
      </c>
      <c r="R63" s="51" t="s">
        <v>15</v>
      </c>
      <c r="S63" s="50" t="s">
        <v>8</v>
      </c>
      <c r="T63" s="44" t="s">
        <v>9</v>
      </c>
      <c r="U63" s="44" t="s">
        <v>10</v>
      </c>
      <c r="V63" s="44" t="s">
        <v>11</v>
      </c>
      <c r="W63" s="44" t="s">
        <v>12</v>
      </c>
      <c r="X63" s="44" t="s">
        <v>13</v>
      </c>
      <c r="Y63" s="44" t="s">
        <v>14</v>
      </c>
      <c r="Z63" s="51" t="s">
        <v>15</v>
      </c>
      <c r="AA63" s="50" t="s">
        <v>8</v>
      </c>
      <c r="AB63" s="44" t="s">
        <v>9</v>
      </c>
      <c r="AC63" s="44" t="s">
        <v>10</v>
      </c>
      <c r="AD63" s="44" t="s">
        <v>11</v>
      </c>
      <c r="AE63" s="44" t="s">
        <v>12</v>
      </c>
      <c r="AF63" s="44" t="s">
        <v>13</v>
      </c>
      <c r="AG63" s="44" t="s">
        <v>14</v>
      </c>
      <c r="AH63" s="51" t="s">
        <v>15</v>
      </c>
      <c r="AI63" s="50" t="s">
        <v>8</v>
      </c>
      <c r="AJ63" s="44" t="s">
        <v>9</v>
      </c>
      <c r="AK63" s="44" t="s">
        <v>10</v>
      </c>
      <c r="AL63" s="44" t="s">
        <v>11</v>
      </c>
      <c r="AM63" s="44" t="s">
        <v>12</v>
      </c>
      <c r="AN63" s="44" t="s">
        <v>13</v>
      </c>
      <c r="AO63" s="44" t="s">
        <v>14</v>
      </c>
      <c r="AP63" s="51" t="s">
        <v>15</v>
      </c>
    </row>
    <row r="64" spans="1:42" ht="21" customHeight="1" thickTop="1" thickBot="1" x14ac:dyDescent="0.35">
      <c r="A64" s="63"/>
      <c r="B64" s="66"/>
      <c r="C64" s="52">
        <v>1</v>
      </c>
      <c r="D64" s="44">
        <v>286.24999999999989</v>
      </c>
      <c r="E64" s="44"/>
      <c r="F64" s="44"/>
      <c r="G64" s="44"/>
      <c r="H64" s="44"/>
      <c r="I64" s="44"/>
      <c r="J64" s="51"/>
      <c r="K64" s="52">
        <v>1</v>
      </c>
      <c r="L64" s="44">
        <v>284.60000000000002</v>
      </c>
      <c r="M64" s="44"/>
      <c r="N64" s="44"/>
      <c r="O64" s="44"/>
      <c r="P64" s="44"/>
      <c r="Q64" s="44"/>
      <c r="R64" s="51"/>
      <c r="S64" s="52">
        <v>1</v>
      </c>
      <c r="T64" s="44">
        <v>285.64999999999992</v>
      </c>
      <c r="U64" s="44"/>
      <c r="V64" s="44"/>
      <c r="W64" s="44"/>
      <c r="X64" s="44"/>
      <c r="Y64" s="44"/>
      <c r="Z64" s="51"/>
      <c r="AA64" s="52">
        <v>1</v>
      </c>
      <c r="AB64" s="44">
        <v>287.8</v>
      </c>
      <c r="AC64" s="44"/>
      <c r="AD64" s="44"/>
      <c r="AE64" s="44"/>
      <c r="AF64" s="44"/>
      <c r="AG64" s="44"/>
      <c r="AH64" s="51"/>
      <c r="AI64" s="52">
        <v>1</v>
      </c>
      <c r="AJ64" s="44">
        <v>284.39999999999998</v>
      </c>
      <c r="AK64" s="44"/>
      <c r="AL64" s="44"/>
      <c r="AM64" s="44"/>
      <c r="AN64" s="44"/>
      <c r="AO64" s="44"/>
      <c r="AP64" s="51"/>
    </row>
    <row r="65" spans="1:42" ht="21" customHeight="1" thickTop="1" thickBot="1" x14ac:dyDescent="0.35">
      <c r="A65" s="63"/>
      <c r="B65" s="66"/>
      <c r="C65" s="53">
        <v>2</v>
      </c>
      <c r="D65" s="45">
        <v>285.39999999999998</v>
      </c>
      <c r="E65" s="45"/>
      <c r="F65" s="45"/>
      <c r="G65" s="45"/>
      <c r="H65" s="45"/>
      <c r="I65" s="45"/>
      <c r="J65" s="51"/>
      <c r="K65" s="53">
        <v>2</v>
      </c>
      <c r="L65" s="45">
        <v>286</v>
      </c>
      <c r="M65" s="45"/>
      <c r="N65" s="45"/>
      <c r="O65" s="45"/>
      <c r="P65" s="45"/>
      <c r="Q65" s="45"/>
      <c r="R65" s="51"/>
      <c r="S65" s="53">
        <v>2</v>
      </c>
      <c r="T65" s="45">
        <v>287.7999999999999</v>
      </c>
      <c r="U65" s="45"/>
      <c r="V65" s="45"/>
      <c r="W65" s="45"/>
      <c r="X65" s="45"/>
      <c r="Y65" s="45"/>
      <c r="Z65" s="51"/>
      <c r="AA65" s="53">
        <v>2</v>
      </c>
      <c r="AB65" s="45">
        <v>287.8</v>
      </c>
      <c r="AC65" s="45"/>
      <c r="AD65" s="45"/>
      <c r="AE65" s="45"/>
      <c r="AF65" s="45"/>
      <c r="AG65" s="45"/>
      <c r="AH65" s="51"/>
      <c r="AI65" s="53">
        <v>2</v>
      </c>
      <c r="AJ65" s="45">
        <v>284.39999999999992</v>
      </c>
      <c r="AK65" s="45"/>
      <c r="AL65" s="45"/>
      <c r="AM65" s="45"/>
      <c r="AN65" s="45"/>
      <c r="AO65" s="45"/>
      <c r="AP65" s="51"/>
    </row>
    <row r="66" spans="1:42" ht="21" customHeight="1" thickTop="1" thickBot="1" x14ac:dyDescent="0.35">
      <c r="A66" s="63"/>
      <c r="B66" s="66"/>
      <c r="C66" s="53">
        <v>3</v>
      </c>
      <c r="D66" s="45">
        <v>285.45</v>
      </c>
      <c r="E66" s="45"/>
      <c r="F66" s="45"/>
      <c r="G66" s="44"/>
      <c r="H66" s="44"/>
      <c r="I66" s="44"/>
      <c r="J66" s="51"/>
      <c r="K66" s="53">
        <v>3</v>
      </c>
      <c r="L66" s="45">
        <v>286.10000000000002</v>
      </c>
      <c r="M66" s="45"/>
      <c r="N66" s="45"/>
      <c r="O66" s="44"/>
      <c r="P66" s="44"/>
      <c r="Q66" s="44"/>
      <c r="R66" s="51"/>
      <c r="S66" s="53">
        <v>3</v>
      </c>
      <c r="T66" s="45">
        <v>284.2999999999999</v>
      </c>
      <c r="U66" s="45"/>
      <c r="V66" s="45"/>
      <c r="W66" s="44"/>
      <c r="X66" s="44"/>
      <c r="Y66" s="44"/>
      <c r="Z66" s="51"/>
      <c r="AA66" s="53">
        <v>3</v>
      </c>
      <c r="AB66" s="45">
        <v>287.8</v>
      </c>
      <c r="AC66" s="45"/>
      <c r="AD66" s="45"/>
      <c r="AE66" s="44"/>
      <c r="AF66" s="44"/>
      <c r="AG66" s="44"/>
      <c r="AH66" s="51"/>
      <c r="AI66" s="53">
        <v>3</v>
      </c>
      <c r="AJ66" s="45">
        <v>284.89999999999998</v>
      </c>
      <c r="AK66" s="45"/>
      <c r="AL66" s="45"/>
      <c r="AM66" s="44"/>
      <c r="AN66" s="44"/>
      <c r="AO66" s="44"/>
      <c r="AP66" s="51"/>
    </row>
    <row r="67" spans="1:42" ht="21" customHeight="1" thickTop="1" thickBot="1" x14ac:dyDescent="0.35">
      <c r="A67" s="63"/>
      <c r="B67" s="66"/>
      <c r="C67" s="53">
        <v>4</v>
      </c>
      <c r="D67" s="45">
        <v>285.45</v>
      </c>
      <c r="E67" s="45"/>
      <c r="F67" s="45"/>
      <c r="G67" s="45"/>
      <c r="H67" s="45"/>
      <c r="I67" s="45"/>
      <c r="J67" s="51"/>
      <c r="K67" s="53">
        <v>4</v>
      </c>
      <c r="L67" s="45">
        <v>285.60000000000002</v>
      </c>
      <c r="M67" s="45"/>
      <c r="N67" s="45"/>
      <c r="O67" s="45"/>
      <c r="P67" s="45"/>
      <c r="Q67" s="45"/>
      <c r="R67" s="51"/>
      <c r="S67" s="53">
        <v>4</v>
      </c>
      <c r="T67" s="45">
        <v>286.60000000000002</v>
      </c>
      <c r="U67" s="45"/>
      <c r="V67" s="45"/>
      <c r="W67" s="45"/>
      <c r="X67" s="45"/>
      <c r="Y67" s="45"/>
      <c r="Z67" s="51"/>
      <c r="AA67" s="53">
        <v>4</v>
      </c>
      <c r="AB67" s="45">
        <v>288.49999999999989</v>
      </c>
      <c r="AC67" s="45"/>
      <c r="AD67" s="45"/>
      <c r="AE67" s="45"/>
      <c r="AF67" s="45"/>
      <c r="AG67" s="45"/>
      <c r="AH67" s="51"/>
      <c r="AI67" s="53">
        <v>4</v>
      </c>
      <c r="AJ67" s="45">
        <v>284.14999999999992</v>
      </c>
      <c r="AK67" s="45"/>
      <c r="AL67" s="45"/>
      <c r="AM67" s="45"/>
      <c r="AN67" s="45"/>
      <c r="AO67" s="45"/>
      <c r="AP67" s="51"/>
    </row>
    <row r="68" spans="1:42" ht="21" customHeight="1" thickTop="1" thickBot="1" x14ac:dyDescent="0.35">
      <c r="A68" s="63"/>
      <c r="B68" s="66"/>
      <c r="C68" s="53">
        <v>5</v>
      </c>
      <c r="D68" s="45">
        <v>285.39999999999998</v>
      </c>
      <c r="E68" s="45"/>
      <c r="F68" s="45"/>
      <c r="G68" s="45"/>
      <c r="H68" s="45"/>
      <c r="I68" s="45"/>
      <c r="J68" s="51"/>
      <c r="K68" s="53">
        <v>5</v>
      </c>
      <c r="L68" s="45">
        <v>284.45</v>
      </c>
      <c r="M68" s="45"/>
      <c r="N68" s="45"/>
      <c r="O68" s="45"/>
      <c r="P68" s="45"/>
      <c r="Q68" s="45"/>
      <c r="R68" s="51"/>
      <c r="S68" s="53">
        <v>5</v>
      </c>
      <c r="T68" s="45">
        <v>285.60000000000002</v>
      </c>
      <c r="U68" s="45"/>
      <c r="V68" s="45"/>
      <c r="W68" s="45"/>
      <c r="X68" s="45"/>
      <c r="Y68" s="45"/>
      <c r="Z68" s="51"/>
      <c r="AA68" s="53">
        <v>5</v>
      </c>
      <c r="AB68" s="45">
        <v>289.35000000000002</v>
      </c>
      <c r="AC68" s="45"/>
      <c r="AD68" s="45"/>
      <c r="AE68" s="45"/>
      <c r="AF68" s="45"/>
      <c r="AG68" s="45"/>
      <c r="AH68" s="51"/>
      <c r="AI68" s="53">
        <v>5</v>
      </c>
      <c r="AJ68" s="45">
        <v>284.99999999999989</v>
      </c>
      <c r="AK68" s="45"/>
      <c r="AL68" s="45"/>
      <c r="AM68" s="45"/>
      <c r="AN68" s="45"/>
      <c r="AO68" s="45"/>
      <c r="AP68" s="51"/>
    </row>
    <row r="69" spans="1:42" ht="21" customHeight="1" thickTop="1" thickBot="1" x14ac:dyDescent="0.35">
      <c r="A69" s="63"/>
      <c r="B69" s="66"/>
      <c r="C69" s="53">
        <v>6</v>
      </c>
      <c r="D69" s="45">
        <v>286.14999999999992</v>
      </c>
      <c r="E69" s="45"/>
      <c r="F69" s="45"/>
      <c r="G69" s="45"/>
      <c r="H69" s="45"/>
      <c r="I69" s="45"/>
      <c r="J69" s="51"/>
      <c r="K69" s="53">
        <v>6</v>
      </c>
      <c r="L69" s="45">
        <v>284.60000000000002</v>
      </c>
      <c r="M69" s="45"/>
      <c r="N69" s="45"/>
      <c r="O69" s="45"/>
      <c r="P69" s="45"/>
      <c r="Q69" s="45"/>
      <c r="R69" s="51"/>
      <c r="S69" s="53">
        <v>6</v>
      </c>
      <c r="T69" s="45">
        <v>286.2999999999999</v>
      </c>
      <c r="U69" s="45"/>
      <c r="V69" s="45"/>
      <c r="W69" s="45"/>
      <c r="X69" s="45"/>
      <c r="Y69" s="45"/>
      <c r="Z69" s="51"/>
      <c r="AA69" s="53">
        <v>6</v>
      </c>
      <c r="AB69" s="45">
        <v>289.44999999999987</v>
      </c>
      <c r="AC69" s="45"/>
      <c r="AD69" s="45"/>
      <c r="AE69" s="45"/>
      <c r="AF69" s="45"/>
      <c r="AG69" s="45"/>
      <c r="AH69" s="51"/>
      <c r="AI69" s="53">
        <v>6</v>
      </c>
      <c r="AJ69" s="45">
        <v>283.49999999999989</v>
      </c>
      <c r="AK69" s="45"/>
      <c r="AL69" s="45"/>
      <c r="AM69" s="45"/>
      <c r="AN69" s="45"/>
      <c r="AO69" s="45"/>
      <c r="AP69" s="51"/>
    </row>
    <row r="70" spans="1:42" ht="21" customHeight="1" thickTop="1" thickBot="1" x14ac:dyDescent="0.35">
      <c r="A70" s="63"/>
      <c r="B70" s="66"/>
      <c r="C70" s="53">
        <v>7</v>
      </c>
      <c r="D70" s="45">
        <v>286.49999999999989</v>
      </c>
      <c r="E70" s="45"/>
      <c r="F70" s="45"/>
      <c r="G70" s="45"/>
      <c r="H70" s="45"/>
      <c r="I70" s="45"/>
      <c r="J70" s="51"/>
      <c r="K70" s="53">
        <v>7</v>
      </c>
      <c r="L70" s="45">
        <v>285.64999999999998</v>
      </c>
      <c r="M70" s="45"/>
      <c r="N70" s="45"/>
      <c r="O70" s="45"/>
      <c r="P70" s="45"/>
      <c r="Q70" s="45"/>
      <c r="R70" s="51"/>
      <c r="S70" s="53">
        <v>7</v>
      </c>
      <c r="T70" s="45">
        <v>286.8</v>
      </c>
      <c r="U70" s="45"/>
      <c r="V70" s="45"/>
      <c r="W70" s="45"/>
      <c r="X70" s="45"/>
      <c r="Y70" s="45"/>
      <c r="Z70" s="51"/>
      <c r="AA70" s="53">
        <v>7</v>
      </c>
      <c r="AB70" s="45">
        <v>287.2</v>
      </c>
      <c r="AC70" s="45"/>
      <c r="AD70" s="45"/>
      <c r="AE70" s="45"/>
      <c r="AF70" s="45"/>
      <c r="AG70" s="45"/>
      <c r="AH70" s="51"/>
      <c r="AI70" s="53">
        <v>7</v>
      </c>
      <c r="AJ70" s="45">
        <v>284.99999999999989</v>
      </c>
      <c r="AK70" s="45"/>
      <c r="AL70" s="45"/>
      <c r="AM70" s="45"/>
      <c r="AN70" s="45"/>
      <c r="AO70" s="45"/>
      <c r="AP70" s="51"/>
    </row>
    <row r="71" spans="1:42" ht="21" customHeight="1" thickTop="1" thickBot="1" x14ac:dyDescent="0.35">
      <c r="A71" s="63"/>
      <c r="B71" s="66"/>
      <c r="C71" s="53">
        <v>8</v>
      </c>
      <c r="D71" s="45">
        <v>285.45</v>
      </c>
      <c r="E71" s="45"/>
      <c r="F71" s="45"/>
      <c r="G71" s="45"/>
      <c r="H71" s="45"/>
      <c r="I71" s="45"/>
      <c r="J71" s="51"/>
      <c r="K71" s="53">
        <v>8</v>
      </c>
      <c r="L71" s="45">
        <v>286.14999999999998</v>
      </c>
      <c r="M71" s="45"/>
      <c r="N71" s="45"/>
      <c r="O71" s="45"/>
      <c r="P71" s="45"/>
      <c r="Q71" s="45"/>
      <c r="R71" s="51"/>
      <c r="S71" s="53">
        <v>8</v>
      </c>
      <c r="T71" s="45">
        <v>289.39999999999992</v>
      </c>
      <c r="U71" s="45"/>
      <c r="V71" s="45"/>
      <c r="W71" s="45"/>
      <c r="X71" s="45"/>
      <c r="Y71" s="45"/>
      <c r="Z71" s="51"/>
      <c r="AA71" s="53">
        <v>8</v>
      </c>
      <c r="AB71" s="45">
        <v>287.69999999999987</v>
      </c>
      <c r="AC71" s="45"/>
      <c r="AD71" s="45"/>
      <c r="AE71" s="45"/>
      <c r="AF71" s="45"/>
      <c r="AG71" s="45"/>
      <c r="AH71" s="51"/>
      <c r="AI71" s="53">
        <v>8</v>
      </c>
      <c r="AJ71" s="45">
        <v>284.49999999999989</v>
      </c>
      <c r="AK71" s="45"/>
      <c r="AL71" s="45"/>
      <c r="AM71" s="45"/>
      <c r="AN71" s="45"/>
      <c r="AO71" s="45"/>
      <c r="AP71" s="51"/>
    </row>
    <row r="72" spans="1:42" ht="21" customHeight="1" thickTop="1" thickBot="1" x14ac:dyDescent="0.35">
      <c r="A72" s="63"/>
      <c r="B72" s="66"/>
      <c r="C72" s="53">
        <v>9</v>
      </c>
      <c r="D72" s="45">
        <v>286.35000000000002</v>
      </c>
      <c r="E72" s="45"/>
      <c r="F72" s="45"/>
      <c r="G72" s="45"/>
      <c r="H72" s="45"/>
      <c r="I72" s="45"/>
      <c r="J72" s="51"/>
      <c r="K72" s="53">
        <v>9</v>
      </c>
      <c r="L72" s="45">
        <v>285.39999999999992</v>
      </c>
      <c r="M72" s="45"/>
      <c r="N72" s="45"/>
      <c r="O72" s="45"/>
      <c r="P72" s="45"/>
      <c r="Q72" s="45"/>
      <c r="R72" s="51"/>
      <c r="S72" s="53">
        <v>9</v>
      </c>
      <c r="T72" s="45">
        <v>288.8</v>
      </c>
      <c r="U72" s="45"/>
      <c r="V72" s="45"/>
      <c r="W72" s="45"/>
      <c r="X72" s="45"/>
      <c r="Y72" s="45"/>
      <c r="Z72" s="51"/>
      <c r="AA72" s="53">
        <v>9</v>
      </c>
      <c r="AB72" s="45">
        <v>289.05</v>
      </c>
      <c r="AC72" s="45"/>
      <c r="AD72" s="45"/>
      <c r="AE72" s="45"/>
      <c r="AF72" s="45"/>
      <c r="AG72" s="45"/>
      <c r="AH72" s="51"/>
      <c r="AI72" s="53">
        <v>9</v>
      </c>
      <c r="AJ72" s="45">
        <v>284.39999999999998</v>
      </c>
      <c r="AK72" s="45"/>
      <c r="AL72" s="45"/>
      <c r="AM72" s="45"/>
      <c r="AN72" s="45"/>
      <c r="AO72" s="45"/>
      <c r="AP72" s="51"/>
    </row>
    <row r="73" spans="1:42" ht="21" customHeight="1" thickTop="1" thickBot="1" x14ac:dyDescent="0.35">
      <c r="A73" s="63"/>
      <c r="B73" s="66"/>
      <c r="C73" s="53">
        <v>10</v>
      </c>
      <c r="D73" s="45">
        <v>285.95</v>
      </c>
      <c r="E73" s="45"/>
      <c r="F73" s="45"/>
      <c r="G73" s="45"/>
      <c r="H73" s="45"/>
      <c r="I73" s="45"/>
      <c r="J73" s="51"/>
      <c r="K73" s="53">
        <v>10</v>
      </c>
      <c r="L73" s="45">
        <v>285.39999999999998</v>
      </c>
      <c r="M73" s="45"/>
      <c r="N73" s="45"/>
      <c r="O73" s="45"/>
      <c r="P73" s="45"/>
      <c r="Q73" s="45"/>
      <c r="R73" s="51"/>
      <c r="S73" s="53">
        <v>10</v>
      </c>
      <c r="T73" s="45">
        <v>287.10000000000002</v>
      </c>
      <c r="U73" s="45"/>
      <c r="V73" s="45"/>
      <c r="W73" s="45"/>
      <c r="X73" s="45"/>
      <c r="Y73" s="45"/>
      <c r="Z73" s="51"/>
      <c r="AA73" s="53">
        <v>10</v>
      </c>
      <c r="AB73" s="45">
        <v>289.5</v>
      </c>
      <c r="AC73" s="45"/>
      <c r="AD73" s="45"/>
      <c r="AE73" s="45"/>
      <c r="AF73" s="45"/>
      <c r="AG73" s="45"/>
      <c r="AH73" s="51"/>
      <c r="AI73" s="53">
        <v>10</v>
      </c>
      <c r="AJ73" s="45">
        <v>284</v>
      </c>
      <c r="AK73" s="45"/>
      <c r="AL73" s="45"/>
      <c r="AM73" s="45"/>
      <c r="AN73" s="45"/>
      <c r="AO73" s="45"/>
      <c r="AP73" s="51"/>
    </row>
    <row r="74" spans="1:42" ht="21" customHeight="1" thickTop="1" thickBot="1" x14ac:dyDescent="0.35">
      <c r="A74" s="63"/>
      <c r="B74" s="66"/>
      <c r="C74" s="53"/>
      <c r="D74" s="61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66"/>
      <c r="C75" s="54" t="s">
        <v>16</v>
      </c>
      <c r="D75" s="49">
        <f>MIN(D64:D73)</f>
        <v>285.39999999999998</v>
      </c>
      <c r="E75" s="45"/>
      <c r="F75" s="55" t="s">
        <v>17</v>
      </c>
      <c r="G75" s="49" t="s">
        <v>18</v>
      </c>
      <c r="H75" s="49" t="s">
        <v>19</v>
      </c>
      <c r="I75" s="45"/>
      <c r="J75" s="51"/>
      <c r="K75" s="54" t="s">
        <v>16</v>
      </c>
      <c r="L75" s="49">
        <f>MIN(L64:L73)</f>
        <v>284.45</v>
      </c>
      <c r="M75" s="45"/>
      <c r="N75" s="55" t="s">
        <v>17</v>
      </c>
      <c r="O75" s="49" t="s">
        <v>18</v>
      </c>
      <c r="P75" s="49" t="s">
        <v>19</v>
      </c>
      <c r="Q75" s="45"/>
      <c r="R75" s="51"/>
      <c r="S75" s="54" t="s">
        <v>16</v>
      </c>
      <c r="T75" s="49">
        <f>MIN(T64:T73)</f>
        <v>284.2999999999999</v>
      </c>
      <c r="U75" s="45"/>
      <c r="V75" s="55" t="s">
        <v>17</v>
      </c>
      <c r="W75" s="49" t="s">
        <v>18</v>
      </c>
      <c r="X75" s="49" t="s">
        <v>19</v>
      </c>
      <c r="Y75" s="45"/>
      <c r="Z75" s="51"/>
      <c r="AA75" s="54" t="s">
        <v>16</v>
      </c>
      <c r="AB75" s="49">
        <f>MIN(AB64:AB73)</f>
        <v>287.2</v>
      </c>
      <c r="AC75" s="45"/>
      <c r="AD75" s="55" t="s">
        <v>17</v>
      </c>
      <c r="AE75" s="49" t="s">
        <v>18</v>
      </c>
      <c r="AF75" s="49" t="s">
        <v>19</v>
      </c>
      <c r="AG75" s="45"/>
      <c r="AH75" s="51"/>
      <c r="AI75" s="54" t="s">
        <v>16</v>
      </c>
      <c r="AJ75" s="49">
        <f>MIN(AJ64:AJ73)</f>
        <v>283.49999999999989</v>
      </c>
      <c r="AK75" s="45"/>
      <c r="AL75" s="55" t="s">
        <v>17</v>
      </c>
      <c r="AM75" s="49" t="s">
        <v>18</v>
      </c>
      <c r="AN75" s="49" t="s">
        <v>19</v>
      </c>
      <c r="AO75" s="45"/>
      <c r="AP75" s="51"/>
    </row>
    <row r="76" spans="1:42" ht="21" customHeight="1" thickTop="1" thickBot="1" x14ac:dyDescent="0.35">
      <c r="A76" s="63"/>
      <c r="B76" s="66"/>
      <c r="C76" s="54" t="s">
        <v>20</v>
      </c>
      <c r="D76" s="48">
        <f>AVERAGE(D64:D73)</f>
        <v>285.83499999999992</v>
      </c>
      <c r="E76" s="47"/>
      <c r="F76" s="48">
        <f>_xlfn.STDEV.S(D64:D73) / AVERAGE(D64:D73) * 100%</f>
        <v>1.5712003300718221E-3</v>
      </c>
      <c r="G76" s="48">
        <f t="array" ref="G76">MIN((D64:D73 - MIN(D64:D73,L64:L73,T64:T73,AB64:AB73,AJ64:AJ73))/MIN(D64:D73,L64:L73,T64:T73,AB64:AB73,AJ64:AJ73)*100%)</f>
        <v>6.7019400352736919E-3</v>
      </c>
      <c r="H76" s="48">
        <f t="array" ref="H76">AVERAGE((D64:D73 - MIN(D64:D73,L64:L73,T64:T73,AB64:AB73,AJ64:AJ73))/MIN(D64:D73,L64:L73,T64:T73,AB64:AB73,AJ64:AJ73)*100%)</f>
        <v>8.2363315696651739E-3</v>
      </c>
      <c r="I76" s="44"/>
      <c r="J76" s="51"/>
      <c r="K76" s="54" t="s">
        <v>20</v>
      </c>
      <c r="L76" s="48">
        <f>AVERAGE(L64:L73)</f>
        <v>285.3950000000001</v>
      </c>
      <c r="M76" s="47"/>
      <c r="N76" s="48">
        <f>_xlfn.STDEV.S(L64:L73) / AVERAGE(L64:L73) * 100%</f>
        <v>2.2458037046118877E-3</v>
      </c>
      <c r="O76" s="48">
        <f t="array" ref="O76">MIN((L64:L73 - MIN(D64:D73,L64:L73,T64:T73,AB64:AB73,AJ64:AJ73))/MIN(D64:D73,L64:L73,T64:T73,AB64:AB73,AJ64:AJ73)*100%)</f>
        <v>3.3509700176370468E-3</v>
      </c>
      <c r="P76" s="48">
        <f t="array" ref="P76">AVERAGE((L64:L73 - MIN(D64:D73,L64:L73,T64:T73,AB64:AB73,AJ64:AJ73))/MIN(D64:D73,L64:L73,T64:T73,AB64:AB73,AJ64:AJ73)*100%)</f>
        <v>6.6843033509703968E-3</v>
      </c>
      <c r="Q76" s="44"/>
      <c r="R76" s="51"/>
      <c r="S76" s="54" t="s">
        <v>20</v>
      </c>
      <c r="T76" s="48">
        <f>AVERAGE(T64:T73)</f>
        <v>286.83499999999998</v>
      </c>
      <c r="U76" s="47"/>
      <c r="V76" s="48">
        <f>_xlfn.STDEV.S(T64:T73) / AVERAGE(T64:T73) * 100%</f>
        <v>5.3432028398591215E-3</v>
      </c>
      <c r="W76" s="48">
        <f t="array" ref="W76">MIN((T64:T73 - MIN(D64:D73,L64:L73,T64:T73,AB64:AB73,AJ64:AJ73))/MIN(D64:D73,L64:L73,T64:T73,AB64:AB73,AJ64:AJ73)*100%)</f>
        <v>2.8218694885361966E-3</v>
      </c>
      <c r="X76" s="48">
        <f t="array" ref="X76">AVERAGE((T64:T73 - MIN(D64:D73,L64:L73,T64:T73,AB64:AB73,AJ64:AJ73))/MIN(D64:D73,L64:L73,T64:T73,AB64:AB73,AJ64:AJ73)*100%)</f>
        <v>1.1763668430335369E-2</v>
      </c>
      <c r="Y76" s="44"/>
      <c r="Z76" s="51"/>
      <c r="AA76" s="54" t="s">
        <v>20</v>
      </c>
      <c r="AB76" s="48">
        <f>AVERAGE(AB64:AB73)</f>
        <v>288.41500000000002</v>
      </c>
      <c r="AC76" s="47"/>
      <c r="AD76" s="48">
        <f>_xlfn.STDEV.S(AB64:AB73) / AVERAGE(AB64:AB73) * 100%</f>
        <v>2.9815568101012858E-3</v>
      </c>
      <c r="AE76" s="48">
        <f t="array" ref="AE76">MIN((AB64:AB73 - MIN(D64:D73,L64:L73,T64:T73,AB64:AB73,AJ64:AJ73))/MIN(D64:D73,L64:L73,T64:T73,AB64:AB73,AJ64:AJ73)*100%)</f>
        <v>1.3051146384480085E-2</v>
      </c>
      <c r="AF76" s="48">
        <f t="array" ref="AF76">AVERAGE((AB64:AB73 - MIN(D64:D73,L64:L73,T64:T73,AB64:AB73,AJ64:AJ73))/MIN(D64:D73,L64:L73,T64:T73,AB64:AB73,AJ64:AJ73)*100%)</f>
        <v>1.7336860670194302E-2</v>
      </c>
      <c r="AG76" s="44"/>
      <c r="AH76" s="51"/>
      <c r="AI76" s="54" t="s">
        <v>20</v>
      </c>
      <c r="AJ76" s="48">
        <f>AVERAGE(AJ64:AJ73)</f>
        <v>284.42500000000001</v>
      </c>
      <c r="AK76" s="47"/>
      <c r="AL76" s="48">
        <f>_xlfn.STDEV.S(AJ64:AJ73) / AVERAGE(AJ64:AJ73) * 100%</f>
        <v>1.6599824762491757E-3</v>
      </c>
      <c r="AM76" s="48">
        <f t="array" ref="AM76">MIN((AJ64:AJ73 - MIN(D64:D73,L64:L73,T64:T73,AB64:AB73,AJ64:AJ73))/MIN(D64:D73,L64:L73,T64:T73,AB64:AB73,AJ64:AJ73)*100%)</f>
        <v>0</v>
      </c>
      <c r="AN76" s="48">
        <f t="array" ref="AN76">AVERAGE((AJ64:AJ73 - MIN(D64:D73,L64:L73,T64:T73,AB64:AB73,AJ64:AJ73))/MIN(D64:D73,L64:L73,T64:T73,AB64:AB73,AJ64:AJ73)*100%)</f>
        <v>3.2627865961200918E-3</v>
      </c>
      <c r="AO76" s="44"/>
      <c r="AP76" s="51"/>
    </row>
    <row r="77" spans="1:42" ht="21" customHeight="1" thickTop="1" thickBot="1" x14ac:dyDescent="0.35">
      <c r="A77" s="64"/>
      <c r="B77" s="67"/>
      <c r="C77" s="56"/>
      <c r="D77" s="57"/>
      <c r="E77" s="57"/>
      <c r="F77" s="57"/>
      <c r="G77" s="57"/>
      <c r="H77" s="57"/>
      <c r="I77" s="57"/>
      <c r="J77" s="58"/>
      <c r="K77" s="56"/>
      <c r="L77" s="57"/>
      <c r="M77" s="57"/>
      <c r="N77" s="57"/>
      <c r="O77" s="57"/>
      <c r="P77" s="57"/>
      <c r="Q77" s="57"/>
      <c r="R77" s="58"/>
      <c r="S77" s="56"/>
      <c r="T77" s="57"/>
      <c r="U77" s="57"/>
      <c r="V77" s="57"/>
      <c r="W77" s="57"/>
      <c r="X77" s="57"/>
      <c r="Y77" s="57"/>
      <c r="Z77" s="58"/>
      <c r="AA77" s="56"/>
      <c r="AB77" s="57"/>
      <c r="AC77" s="57"/>
      <c r="AD77" s="57"/>
      <c r="AE77" s="57"/>
      <c r="AF77" s="57"/>
      <c r="AG77" s="57"/>
      <c r="AH77" s="58"/>
      <c r="AI77" s="56"/>
      <c r="AJ77" s="57"/>
      <c r="AK77" s="57"/>
      <c r="AL77" s="57"/>
      <c r="AM77" s="57"/>
      <c r="AN77" s="57"/>
      <c r="AO77" s="57"/>
      <c r="AP77" s="58"/>
    </row>
    <row r="78" spans="1:42" ht="14.5" customHeight="1" thickTop="1" x14ac:dyDescent="0.3"/>
  </sheetData>
  <mergeCells count="17">
    <mergeCell ref="AI1:AP2"/>
    <mergeCell ref="A63:A77"/>
    <mergeCell ref="C1:J2"/>
    <mergeCell ref="K1:R2"/>
    <mergeCell ref="A33:A47"/>
    <mergeCell ref="B1:B2"/>
    <mergeCell ref="AA1:AH2"/>
    <mergeCell ref="B33:B47"/>
    <mergeCell ref="B63:B77"/>
    <mergeCell ref="S1:Z2"/>
    <mergeCell ref="B3:B17"/>
    <mergeCell ref="A1:A2"/>
    <mergeCell ref="A18:A32"/>
    <mergeCell ref="B18:B32"/>
    <mergeCell ref="A48:A62"/>
    <mergeCell ref="A3:A17"/>
    <mergeCell ref="B48:B62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03"/>
  <sheetViews>
    <sheetView zoomScale="70" zoomScaleNormal="70" workbookViewId="0">
      <selection activeCell="M69" sqref="M69"/>
    </sheetView>
  </sheetViews>
  <sheetFormatPr defaultRowHeight="14" x14ac:dyDescent="0.3"/>
  <cols>
    <col min="2" max="2" width="41.1640625" bestFit="1" customWidth="1"/>
    <col min="3" max="3" width="28.75" bestFit="1" customWidth="1"/>
    <col min="4" max="4" width="16" bestFit="1" customWidth="1"/>
    <col min="5" max="5" width="18.1640625" bestFit="1" customWidth="1"/>
    <col min="6" max="6" width="35.58203125" bestFit="1" customWidth="1"/>
    <col min="7" max="7" width="18.1640625" bestFit="1" customWidth="1"/>
    <col min="8" max="8" width="7.83203125" customWidth="1"/>
    <col min="9" max="9" width="18.1640625" bestFit="1" customWidth="1"/>
    <col min="10" max="10" width="6.83203125" bestFit="1" customWidth="1"/>
    <col min="11" max="11" width="15.9140625" bestFit="1" customWidth="1"/>
    <col min="12" max="12" width="16" bestFit="1" customWidth="1"/>
    <col min="13" max="13" width="18.1640625" bestFit="1" customWidth="1"/>
    <col min="14" max="14" width="35.58203125" bestFit="1" customWidth="1"/>
    <col min="15" max="17" width="18.1640625" bestFit="1" customWidth="1"/>
    <col min="18" max="18" width="6.83203125" bestFit="1" customWidth="1"/>
    <col min="19" max="19" width="15.9140625" bestFit="1" customWidth="1"/>
    <col min="20" max="20" width="16" bestFit="1" customWidth="1"/>
    <col min="21" max="21" width="18.1640625" bestFit="1" customWidth="1"/>
    <col min="22" max="22" width="35.58203125" bestFit="1" customWidth="1"/>
    <col min="23" max="25" width="18.1640625" bestFit="1" customWidth="1"/>
    <col min="26" max="26" width="6.83203125" bestFit="1" customWidth="1"/>
    <col min="27" max="27" width="15.9140625" bestFit="1" customWidth="1"/>
    <col min="28" max="28" width="16" bestFit="1" customWidth="1"/>
    <col min="29" max="29" width="18.1640625" bestFit="1" customWidth="1"/>
    <col min="30" max="30" width="35.58203125" bestFit="1" customWidth="1"/>
    <col min="31" max="33" width="18.1640625" bestFit="1" customWidth="1"/>
    <col min="34" max="34" width="6.83203125" bestFit="1" customWidth="1"/>
    <col min="35" max="35" width="15.9140625" bestFit="1" customWidth="1"/>
    <col min="36" max="36" width="16" bestFit="1" customWidth="1"/>
    <col min="37" max="37" width="18.1640625" bestFit="1" customWidth="1"/>
    <col min="38" max="38" width="35.58203125" bestFit="1" customWidth="1"/>
    <col min="39" max="39" width="18.1640625" bestFit="1" customWidth="1"/>
    <col min="40" max="40" width="8.4140625" customWidth="1"/>
  </cols>
  <sheetData>
    <row r="1" spans="1:42" ht="15" customHeight="1" thickTop="1" x14ac:dyDescent="0.3">
      <c r="A1" s="80" t="s">
        <v>25</v>
      </c>
      <c r="B1" s="77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4.5" customHeight="1" thickBot="1" x14ac:dyDescent="0.35">
      <c r="A2" s="81"/>
      <c r="B2" s="79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77" t="s">
        <v>26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78"/>
      <c r="C4" s="52">
        <v>1</v>
      </c>
      <c r="D4" s="44">
        <v>77.900000000000006</v>
      </c>
      <c r="E4" s="44"/>
      <c r="F4" s="44"/>
      <c r="G4" s="44"/>
      <c r="H4" s="44"/>
      <c r="I4" s="44"/>
      <c r="J4" s="51"/>
      <c r="K4" s="52">
        <v>1</v>
      </c>
      <c r="L4" s="44">
        <v>78.17</v>
      </c>
      <c r="M4" s="44"/>
      <c r="N4" s="44"/>
      <c r="O4" s="44"/>
      <c r="P4" s="44"/>
      <c r="Q4" s="44"/>
      <c r="R4" s="51"/>
      <c r="S4" s="52">
        <v>1</v>
      </c>
      <c r="T4" s="44">
        <v>81.509999999999991</v>
      </c>
      <c r="U4" s="44"/>
      <c r="V4" s="44"/>
      <c r="W4" s="44"/>
      <c r="X4" s="44"/>
      <c r="Y4" s="44"/>
      <c r="Z4" s="51"/>
      <c r="AA4" s="52">
        <v>1</v>
      </c>
      <c r="AB4" s="44">
        <v>79.470000000000013</v>
      </c>
      <c r="AC4" s="44"/>
      <c r="AD4" s="44"/>
      <c r="AE4" s="44"/>
      <c r="AF4" s="44"/>
      <c r="AG4" s="44"/>
      <c r="AH4" s="51"/>
      <c r="AI4" s="52">
        <v>1</v>
      </c>
      <c r="AJ4" s="44">
        <v>78.210000000000008</v>
      </c>
      <c r="AK4" s="44"/>
      <c r="AL4" s="44"/>
      <c r="AM4" s="44"/>
      <c r="AN4" s="44"/>
      <c r="AO4" s="44"/>
      <c r="AP4" s="51"/>
    </row>
    <row r="5" spans="1:42" ht="21" customHeight="1" thickTop="1" thickBot="1" x14ac:dyDescent="0.35">
      <c r="A5" s="63"/>
      <c r="B5" s="78"/>
      <c r="C5" s="53">
        <v>2</v>
      </c>
      <c r="D5" s="45">
        <v>77.2</v>
      </c>
      <c r="E5" s="45"/>
      <c r="F5" s="45"/>
      <c r="G5" s="45"/>
      <c r="H5" s="45"/>
      <c r="I5" s="45"/>
      <c r="J5" s="51"/>
      <c r="K5" s="53">
        <v>2</v>
      </c>
      <c r="L5" s="45">
        <v>78.739999999999995</v>
      </c>
      <c r="M5" s="45"/>
      <c r="N5" s="45"/>
      <c r="O5" s="45"/>
      <c r="P5" s="45"/>
      <c r="Q5" s="45"/>
      <c r="R5" s="51"/>
      <c r="S5" s="53">
        <v>2</v>
      </c>
      <c r="T5" s="45">
        <v>80.37</v>
      </c>
      <c r="U5" s="45"/>
      <c r="V5" s="45"/>
      <c r="W5" s="45"/>
      <c r="X5" s="45"/>
      <c r="Y5" s="45"/>
      <c r="Z5" s="51"/>
      <c r="AA5" s="53">
        <v>2</v>
      </c>
      <c r="AB5" s="45">
        <v>79.34</v>
      </c>
      <c r="AC5" s="45"/>
      <c r="AD5" s="45"/>
      <c r="AE5" s="45"/>
      <c r="AF5" s="45"/>
      <c r="AG5" s="45"/>
      <c r="AH5" s="51"/>
      <c r="AI5" s="53">
        <v>2</v>
      </c>
      <c r="AJ5" s="45">
        <v>78.290000000000006</v>
      </c>
      <c r="AK5" s="45"/>
      <c r="AL5" s="45"/>
      <c r="AM5" s="45"/>
      <c r="AN5" s="45"/>
      <c r="AO5" s="45"/>
      <c r="AP5" s="51"/>
    </row>
    <row r="6" spans="1:42" ht="21" customHeight="1" thickTop="1" thickBot="1" x14ac:dyDescent="0.35">
      <c r="A6" s="63"/>
      <c r="B6" s="78"/>
      <c r="C6" s="53">
        <v>3</v>
      </c>
      <c r="D6" s="45">
        <v>77.040000000000006</v>
      </c>
      <c r="E6" s="45"/>
      <c r="F6" s="45"/>
      <c r="G6" s="44"/>
      <c r="H6" s="44"/>
      <c r="I6" s="44"/>
      <c r="J6" s="51"/>
      <c r="K6" s="53">
        <v>3</v>
      </c>
      <c r="L6" s="45">
        <v>78.509999999999991</v>
      </c>
      <c r="M6" s="45"/>
      <c r="N6" s="45"/>
      <c r="O6" s="44"/>
      <c r="P6" s="44"/>
      <c r="Q6" s="44"/>
      <c r="R6" s="51"/>
      <c r="S6" s="53">
        <v>3</v>
      </c>
      <c r="T6" s="45">
        <v>78.440000000000012</v>
      </c>
      <c r="U6" s="45"/>
      <c r="V6" s="45"/>
      <c r="W6" s="44"/>
      <c r="X6" s="44"/>
      <c r="Y6" s="44"/>
      <c r="Z6" s="51"/>
      <c r="AA6" s="53">
        <v>3</v>
      </c>
      <c r="AB6" s="45">
        <v>78.290000000000006</v>
      </c>
      <c r="AC6" s="45"/>
      <c r="AD6" s="45"/>
      <c r="AE6" s="44"/>
      <c r="AF6" s="44"/>
      <c r="AG6" s="44"/>
      <c r="AH6" s="51"/>
      <c r="AI6" s="53">
        <v>3</v>
      </c>
      <c r="AJ6" s="45">
        <v>77.89</v>
      </c>
      <c r="AK6" s="45"/>
      <c r="AL6" s="45"/>
      <c r="AM6" s="44"/>
      <c r="AN6" s="44"/>
      <c r="AO6" s="44"/>
      <c r="AP6" s="51"/>
    </row>
    <row r="7" spans="1:42" ht="21" customHeight="1" thickTop="1" thickBot="1" x14ac:dyDescent="0.35">
      <c r="A7" s="63"/>
      <c r="B7" s="78"/>
      <c r="C7" s="53">
        <v>4</v>
      </c>
      <c r="D7" s="45">
        <v>77.73</v>
      </c>
      <c r="E7" s="45"/>
      <c r="F7" s="45"/>
      <c r="G7" s="45"/>
      <c r="H7" s="45"/>
      <c r="I7" s="45"/>
      <c r="J7" s="51"/>
      <c r="K7" s="53">
        <v>4</v>
      </c>
      <c r="L7" s="45">
        <v>77.72999999999999</v>
      </c>
      <c r="M7" s="45"/>
      <c r="N7" s="45"/>
      <c r="O7" s="45"/>
      <c r="P7" s="45"/>
      <c r="Q7" s="45"/>
      <c r="R7" s="51"/>
      <c r="S7" s="53">
        <v>4</v>
      </c>
      <c r="T7" s="45">
        <v>79.56</v>
      </c>
      <c r="U7" s="45"/>
      <c r="V7" s="45"/>
      <c r="W7" s="45"/>
      <c r="X7" s="45"/>
      <c r="Y7" s="45"/>
      <c r="Z7" s="51"/>
      <c r="AA7" s="53">
        <v>4</v>
      </c>
      <c r="AB7" s="45">
        <v>77.290000000000006</v>
      </c>
      <c r="AC7" s="45"/>
      <c r="AD7" s="45"/>
      <c r="AE7" s="45"/>
      <c r="AF7" s="45"/>
      <c r="AG7" s="45"/>
      <c r="AH7" s="51"/>
      <c r="AI7" s="53">
        <v>4</v>
      </c>
      <c r="AJ7" s="45">
        <v>77.970000000000013</v>
      </c>
      <c r="AK7" s="45"/>
      <c r="AL7" s="45"/>
      <c r="AM7" s="45"/>
      <c r="AN7" s="45"/>
      <c r="AO7" s="45"/>
      <c r="AP7" s="51"/>
    </row>
    <row r="8" spans="1:42" ht="21" customHeight="1" thickTop="1" thickBot="1" x14ac:dyDescent="0.35">
      <c r="A8" s="63"/>
      <c r="B8" s="78"/>
      <c r="C8" s="53">
        <v>5</v>
      </c>
      <c r="D8" s="45">
        <v>77.040000000000006</v>
      </c>
      <c r="E8" s="45"/>
      <c r="F8" s="45"/>
      <c r="G8" s="45"/>
      <c r="H8" s="45"/>
      <c r="I8" s="45"/>
      <c r="J8" s="51"/>
      <c r="K8" s="53">
        <v>5</v>
      </c>
      <c r="L8" s="45">
        <v>78.19</v>
      </c>
      <c r="M8" s="45"/>
      <c r="N8" s="45"/>
      <c r="O8" s="45"/>
      <c r="P8" s="45"/>
      <c r="Q8" s="45"/>
      <c r="R8" s="51"/>
      <c r="S8" s="53">
        <v>5</v>
      </c>
      <c r="T8" s="45">
        <v>79.89</v>
      </c>
      <c r="U8" s="45"/>
      <c r="V8" s="45"/>
      <c r="W8" s="45"/>
      <c r="X8" s="45"/>
      <c r="Y8" s="45"/>
      <c r="Z8" s="51"/>
      <c r="AA8" s="53">
        <v>5</v>
      </c>
      <c r="AB8" s="45">
        <v>79.740000000000009</v>
      </c>
      <c r="AC8" s="45"/>
      <c r="AD8" s="45"/>
      <c r="AE8" s="45"/>
      <c r="AF8" s="45"/>
      <c r="AG8" s="45"/>
      <c r="AH8" s="51"/>
      <c r="AI8" s="53">
        <v>5</v>
      </c>
      <c r="AJ8" s="45">
        <v>79.039999999999992</v>
      </c>
      <c r="AK8" s="45"/>
      <c r="AL8" s="45"/>
      <c r="AM8" s="45"/>
      <c r="AN8" s="45"/>
      <c r="AO8" s="45"/>
      <c r="AP8" s="51"/>
    </row>
    <row r="9" spans="1:42" ht="21" customHeight="1" thickTop="1" thickBot="1" x14ac:dyDescent="0.35">
      <c r="A9" s="63"/>
      <c r="B9" s="78"/>
      <c r="C9" s="53">
        <v>6</v>
      </c>
      <c r="D9" s="45">
        <v>77.75</v>
      </c>
      <c r="E9" s="45"/>
      <c r="F9" s="45"/>
      <c r="G9" s="45"/>
      <c r="H9" s="45"/>
      <c r="I9" s="45"/>
      <c r="J9" s="51"/>
      <c r="K9" s="53">
        <v>6</v>
      </c>
      <c r="L9" s="45">
        <v>77.12</v>
      </c>
      <c r="M9" s="45"/>
      <c r="N9" s="45"/>
      <c r="O9" s="45"/>
      <c r="P9" s="45"/>
      <c r="Q9" s="45"/>
      <c r="R9" s="51"/>
      <c r="S9" s="53">
        <v>6</v>
      </c>
      <c r="T9" s="45">
        <v>80.37</v>
      </c>
      <c r="U9" s="45"/>
      <c r="V9" s="45"/>
      <c r="W9" s="45"/>
      <c r="X9" s="45"/>
      <c r="Y9" s="45"/>
      <c r="Z9" s="51"/>
      <c r="AA9" s="53">
        <v>6</v>
      </c>
      <c r="AB9" s="45">
        <v>80.210000000000008</v>
      </c>
      <c r="AC9" s="45"/>
      <c r="AD9" s="45"/>
      <c r="AE9" s="45"/>
      <c r="AF9" s="45"/>
      <c r="AG9" s="45"/>
      <c r="AH9" s="51"/>
      <c r="AI9" s="53">
        <v>6</v>
      </c>
      <c r="AJ9" s="45">
        <v>77.25</v>
      </c>
      <c r="AK9" s="45"/>
      <c r="AL9" s="45"/>
      <c r="AM9" s="45"/>
      <c r="AN9" s="45"/>
      <c r="AO9" s="45"/>
      <c r="AP9" s="51"/>
    </row>
    <row r="10" spans="1:42" ht="21" customHeight="1" thickTop="1" thickBot="1" x14ac:dyDescent="0.35">
      <c r="A10" s="63"/>
      <c r="B10" s="78"/>
      <c r="C10" s="53">
        <v>7</v>
      </c>
      <c r="D10" s="45">
        <v>78.11</v>
      </c>
      <c r="E10" s="45"/>
      <c r="F10" s="45"/>
      <c r="G10" s="45"/>
      <c r="H10" s="45"/>
      <c r="I10" s="45"/>
      <c r="J10" s="51"/>
      <c r="K10" s="53">
        <v>7</v>
      </c>
      <c r="L10" s="45">
        <v>78.510000000000005</v>
      </c>
      <c r="M10" s="45"/>
      <c r="N10" s="45"/>
      <c r="O10" s="45"/>
      <c r="P10" s="45"/>
      <c r="Q10" s="45"/>
      <c r="R10" s="51"/>
      <c r="S10" s="53">
        <v>7</v>
      </c>
      <c r="T10" s="45">
        <v>82.81</v>
      </c>
      <c r="U10" s="45"/>
      <c r="V10" s="45"/>
      <c r="W10" s="45"/>
      <c r="X10" s="45"/>
      <c r="Y10" s="45"/>
      <c r="Z10" s="51"/>
      <c r="AA10" s="53">
        <v>7</v>
      </c>
      <c r="AB10" s="45">
        <v>80.540000000000006</v>
      </c>
      <c r="AC10" s="45"/>
      <c r="AD10" s="45"/>
      <c r="AE10" s="45"/>
      <c r="AF10" s="45"/>
      <c r="AG10" s="45"/>
      <c r="AH10" s="51"/>
      <c r="AI10" s="53">
        <v>7</v>
      </c>
      <c r="AJ10" s="45">
        <v>77.39</v>
      </c>
      <c r="AK10" s="45"/>
      <c r="AL10" s="45"/>
      <c r="AM10" s="45"/>
      <c r="AN10" s="45"/>
      <c r="AO10" s="45"/>
      <c r="AP10" s="51"/>
    </row>
    <row r="11" spans="1:42" ht="21" customHeight="1" thickTop="1" thickBot="1" x14ac:dyDescent="0.35">
      <c r="A11" s="63"/>
      <c r="B11" s="78"/>
      <c r="C11" s="53">
        <v>8</v>
      </c>
      <c r="D11" s="45">
        <v>78.11</v>
      </c>
      <c r="E11" s="45"/>
      <c r="F11" s="45"/>
      <c r="G11" s="45"/>
      <c r="H11" s="45"/>
      <c r="I11" s="45"/>
      <c r="J11" s="51"/>
      <c r="K11" s="53">
        <v>8</v>
      </c>
      <c r="L11" s="45">
        <v>78.3</v>
      </c>
      <c r="M11" s="45"/>
      <c r="N11" s="45"/>
      <c r="O11" s="45"/>
      <c r="P11" s="45"/>
      <c r="Q11" s="45"/>
      <c r="R11" s="51"/>
      <c r="S11" s="53">
        <v>8</v>
      </c>
      <c r="T11" s="45">
        <v>78.19</v>
      </c>
      <c r="U11" s="45"/>
      <c r="V11" s="45"/>
      <c r="W11" s="45"/>
      <c r="X11" s="45"/>
      <c r="Y11" s="45"/>
      <c r="Z11" s="51"/>
      <c r="AA11" s="53">
        <v>8</v>
      </c>
      <c r="AB11" s="45">
        <v>80.929999999999993</v>
      </c>
      <c r="AC11" s="45"/>
      <c r="AD11" s="45"/>
      <c r="AE11" s="45"/>
      <c r="AF11" s="45"/>
      <c r="AG11" s="45"/>
      <c r="AH11" s="51"/>
      <c r="AI11" s="53">
        <v>8</v>
      </c>
      <c r="AJ11" s="45">
        <v>78.88</v>
      </c>
      <c r="AK11" s="45"/>
      <c r="AL11" s="45"/>
      <c r="AM11" s="45"/>
      <c r="AN11" s="45"/>
      <c r="AO11" s="45"/>
      <c r="AP11" s="51"/>
    </row>
    <row r="12" spans="1:42" ht="21" customHeight="1" thickTop="1" thickBot="1" x14ac:dyDescent="0.35">
      <c r="A12" s="63"/>
      <c r="B12" s="78"/>
      <c r="C12" s="53">
        <v>9</v>
      </c>
      <c r="D12" s="45">
        <v>77.75</v>
      </c>
      <c r="E12" s="45"/>
      <c r="F12" s="45"/>
      <c r="G12" s="45"/>
      <c r="H12" s="45"/>
      <c r="I12" s="45"/>
      <c r="J12" s="51"/>
      <c r="K12" s="53">
        <v>9</v>
      </c>
      <c r="L12" s="45">
        <v>77.820000000000007</v>
      </c>
      <c r="M12" s="45"/>
      <c r="N12" s="45"/>
      <c r="O12" s="45"/>
      <c r="P12" s="45"/>
      <c r="Q12" s="45"/>
      <c r="R12" s="51"/>
      <c r="S12" s="53">
        <v>9</v>
      </c>
      <c r="T12" s="45">
        <v>81.03</v>
      </c>
      <c r="U12" s="45"/>
      <c r="V12" s="45"/>
      <c r="W12" s="45"/>
      <c r="X12" s="45"/>
      <c r="Y12" s="45"/>
      <c r="Z12" s="51"/>
      <c r="AA12" s="53">
        <v>9</v>
      </c>
      <c r="AB12" s="45">
        <v>78.11</v>
      </c>
      <c r="AC12" s="45"/>
      <c r="AD12" s="45"/>
      <c r="AE12" s="45"/>
      <c r="AF12" s="45"/>
      <c r="AG12" s="45"/>
      <c r="AH12" s="51"/>
      <c r="AI12" s="53">
        <v>9</v>
      </c>
      <c r="AJ12" s="45">
        <v>77.44</v>
      </c>
      <c r="AK12" s="45"/>
      <c r="AL12" s="45"/>
      <c r="AM12" s="45"/>
      <c r="AN12" s="45"/>
      <c r="AO12" s="45"/>
      <c r="AP12" s="51"/>
    </row>
    <row r="13" spans="1:42" ht="21" customHeight="1" thickTop="1" thickBot="1" x14ac:dyDescent="0.35">
      <c r="A13" s="63"/>
      <c r="B13" s="78"/>
      <c r="C13" s="53">
        <v>10</v>
      </c>
      <c r="D13" s="45">
        <v>77.709999999999994</v>
      </c>
      <c r="E13" s="45"/>
      <c r="F13" s="45"/>
      <c r="G13" s="45"/>
      <c r="H13" s="45"/>
      <c r="I13" s="45"/>
      <c r="J13" s="51"/>
      <c r="K13" s="53">
        <v>10</v>
      </c>
      <c r="L13" s="45">
        <v>77.709999999999994</v>
      </c>
      <c r="M13" s="45"/>
      <c r="N13" s="45"/>
      <c r="O13" s="45"/>
      <c r="P13" s="45"/>
      <c r="Q13" s="45"/>
      <c r="R13" s="51"/>
      <c r="S13" s="53">
        <v>10</v>
      </c>
      <c r="T13" s="45">
        <v>78.59</v>
      </c>
      <c r="U13" s="45"/>
      <c r="V13" s="45"/>
      <c r="W13" s="45"/>
      <c r="X13" s="45"/>
      <c r="Y13" s="45"/>
      <c r="Z13" s="51"/>
      <c r="AA13" s="53">
        <v>10</v>
      </c>
      <c r="AB13" s="45">
        <v>77.2</v>
      </c>
      <c r="AC13" s="45"/>
      <c r="AD13" s="45"/>
      <c r="AE13" s="45"/>
      <c r="AF13" s="45"/>
      <c r="AG13" s="45"/>
      <c r="AH13" s="51"/>
      <c r="AI13" s="53">
        <v>10</v>
      </c>
      <c r="AJ13" s="45">
        <v>78.849999999999994</v>
      </c>
      <c r="AK13" s="45"/>
      <c r="AL13" s="45"/>
      <c r="AM13" s="45"/>
      <c r="AN13" s="45"/>
      <c r="AO13" s="45"/>
      <c r="AP13" s="51"/>
    </row>
    <row r="14" spans="1:42" ht="21" customHeight="1" thickTop="1" thickBot="1" x14ac:dyDescent="0.35">
      <c r="A14" s="63"/>
      <c r="B14" s="78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78"/>
      <c r="C15" s="54" t="s">
        <v>16</v>
      </c>
      <c r="D15" s="49">
        <f>MIN(D4:D13)</f>
        <v>77.040000000000006</v>
      </c>
      <c r="E15" s="45"/>
      <c r="F15" s="55" t="s">
        <v>17</v>
      </c>
      <c r="G15" s="49" t="s">
        <v>18</v>
      </c>
      <c r="H15" s="49" t="s">
        <v>19</v>
      </c>
      <c r="I15" s="45"/>
      <c r="J15" s="51"/>
      <c r="K15" s="54" t="s">
        <v>16</v>
      </c>
      <c r="L15" s="49">
        <f>MIN(L4:L13)</f>
        <v>77.12</v>
      </c>
      <c r="M15" s="45"/>
      <c r="N15" s="55" t="s">
        <v>17</v>
      </c>
      <c r="O15" s="49" t="s">
        <v>18</v>
      </c>
      <c r="P15" s="49" t="s">
        <v>19</v>
      </c>
      <c r="Q15" s="45"/>
      <c r="R15" s="51"/>
      <c r="S15" s="54" t="s">
        <v>16</v>
      </c>
      <c r="T15" s="49">
        <f>MIN(T4:T13)</f>
        <v>78.19</v>
      </c>
      <c r="U15" s="45"/>
      <c r="V15" s="55" t="s">
        <v>17</v>
      </c>
      <c r="W15" s="49" t="s">
        <v>18</v>
      </c>
      <c r="X15" s="49" t="s">
        <v>19</v>
      </c>
      <c r="Y15" s="45"/>
      <c r="Z15" s="51"/>
      <c r="AA15" s="54" t="s">
        <v>16</v>
      </c>
      <c r="AB15" s="49">
        <f>MIN(AB4:AB13)</f>
        <v>77.2</v>
      </c>
      <c r="AC15" s="45"/>
      <c r="AD15" s="55" t="s">
        <v>17</v>
      </c>
      <c r="AE15" s="49" t="s">
        <v>18</v>
      </c>
      <c r="AF15" s="49" t="s">
        <v>19</v>
      </c>
      <c r="AG15" s="45"/>
      <c r="AH15" s="51"/>
      <c r="AI15" s="54" t="s">
        <v>16</v>
      </c>
      <c r="AJ15" s="49">
        <f>MIN(AJ4:AJ13)</f>
        <v>77.25</v>
      </c>
      <c r="AK15" s="45"/>
      <c r="AL15" s="55" t="s">
        <v>17</v>
      </c>
      <c r="AM15" s="49" t="s">
        <v>18</v>
      </c>
      <c r="AN15" s="49" t="s">
        <v>19</v>
      </c>
      <c r="AO15" s="45"/>
      <c r="AP15" s="51"/>
    </row>
    <row r="16" spans="1:42" ht="21" customHeight="1" thickTop="1" thickBot="1" x14ac:dyDescent="0.35">
      <c r="A16" s="63"/>
      <c r="B16" s="78"/>
      <c r="C16" s="54" t="s">
        <v>20</v>
      </c>
      <c r="D16" s="48">
        <f>AVERAGE(D4:D13)</f>
        <v>77.634000000000015</v>
      </c>
      <c r="E16" s="47"/>
      <c r="F16" s="48">
        <f>_xlfn.STDEV.S(D4:D13) / AVERAGE(D4:D13) * 100%</f>
        <v>5.1877544506888397E-3</v>
      </c>
      <c r="G16" s="48">
        <f t="array" ref="G16">MIN((D4:D13 - MIN(D4:D13,L4:L13,T4:T13,AB4:AB13,AJ4:AJ13))/MIN(D4:D13,L4:L13,T4:T13,AB4:AB13,AJ4:AJ13)*100%)</f>
        <v>0</v>
      </c>
      <c r="H16" s="48">
        <f t="array" ref="H16">AVERAGE((D4:D13 - MIN(D4:D13,L4:L13,T4:T13,AB4:AB13,AJ4:AJ13))/MIN(D4:D13,L4:L13,T4:T13,AB4:AB13,AJ4:AJ13)*100%)</f>
        <v>7.7102803738317181E-3</v>
      </c>
      <c r="I16" s="45"/>
      <c r="J16" s="51"/>
      <c r="K16" s="54" t="s">
        <v>20</v>
      </c>
      <c r="L16" s="48">
        <f>AVERAGE(L4:L13)</f>
        <v>78.080000000000013</v>
      </c>
      <c r="M16" s="47"/>
      <c r="N16" s="48">
        <f>_xlfn.STDEV.S(L4:L13) / AVERAGE(L4:L13) * 100%</f>
        <v>6.219751314635695E-3</v>
      </c>
      <c r="O16" s="48">
        <f t="array" ref="O16">MIN((L4:L13 - MIN(D4:D13,L4:L13,T4:T13,AB4:AB13,AJ4:AJ13))/MIN(D4:D13,L4:L13,T4:T13,AB4:AB13,AJ4:AJ13)*100%)</f>
        <v>1.0384215991692406E-3</v>
      </c>
      <c r="P16" s="48">
        <f t="array" ref="P16">AVERAGE((L4:L13 - MIN(D4:D13,L4:L13,T4:T13,AB4:AB13,AJ4:AJ13))/MIN(D4:D13,L4:L13,T4:T13,AB4:AB13,AJ4:AJ13)*100%)</f>
        <v>1.349948078920031E-2</v>
      </c>
      <c r="Q16" s="44"/>
      <c r="R16" s="51"/>
      <c r="S16" s="54" t="s">
        <v>20</v>
      </c>
      <c r="T16" s="48">
        <f>AVERAGE(T4:T13)</f>
        <v>80.076000000000008</v>
      </c>
      <c r="U16" s="47"/>
      <c r="V16" s="48">
        <f>_xlfn.STDEV.S(T4:T13) / AVERAGE(T4:T13) * 100%</f>
        <v>1.8314343728667127E-2</v>
      </c>
      <c r="W16" s="48">
        <f t="array" ref="W16">MIN((T4:T13 - MIN(D4:D13,L4:L13,T4:T13,AB4:AB13,AJ4:AJ13))/MIN(D4:D13,L4:L13,T4:T13,AB4:AB13,AJ4:AJ13)*100%)</f>
        <v>1.4927310488058039E-2</v>
      </c>
      <c r="X16" s="48">
        <f t="array" ref="X16">AVERAGE((T4:T13 - MIN(D4:D13,L4:L13,T4:T13,AB4:AB13,AJ4:AJ13))/MIN(D4:D13,L4:L13,T4:T13,AB4:AB13,AJ4:AJ13)*100%)</f>
        <v>3.9408099688473461E-2</v>
      </c>
      <c r="Y16" s="44"/>
      <c r="Z16" s="51"/>
      <c r="AA16" s="54" t="s">
        <v>20</v>
      </c>
      <c r="AB16" s="48">
        <f>AVERAGE(AB4:AB13)</f>
        <v>79.111999999999995</v>
      </c>
      <c r="AC16" s="47"/>
      <c r="AD16" s="48">
        <f>_xlfn.STDEV.S(AB4:AB13) / AVERAGE(AB4:AB13) * 100%</f>
        <v>1.673723931789756E-2</v>
      </c>
      <c r="AE16" s="48">
        <f t="array" ref="AE16">MIN((AB4:AB13 - MIN(D4:D13,L4:L13,T4:T13,AB4:AB13,AJ4:AJ13))/MIN(D4:D13,L4:L13,T4:T13,AB4:AB13,AJ4:AJ13)*100%)</f>
        <v>2.0768431983384811E-3</v>
      </c>
      <c r="AF16" s="48">
        <f t="array" ref="AF16">AVERAGE((AB4:AB13 - MIN(D4:D13,L4:L13,T4:T13,AB4:AB13,AJ4:AJ13))/MIN(D4:D13,L4:L13,T4:T13,AB4:AB13,AJ4:AJ13)*100%)</f>
        <v>2.6895119418483882E-2</v>
      </c>
      <c r="AG16" s="44"/>
      <c r="AH16" s="51"/>
      <c r="AI16" s="54" t="s">
        <v>20</v>
      </c>
      <c r="AJ16" s="48">
        <f>AVERAGE(AJ4:AJ13)</f>
        <v>78.120999999999995</v>
      </c>
      <c r="AK16" s="47"/>
      <c r="AL16" s="48">
        <f>_xlfn.STDEV.S(AJ4:AJ13) / AVERAGE(AJ4:AJ13) * 100%</f>
        <v>8.3411765789262876E-3</v>
      </c>
      <c r="AM16" s="48">
        <f t="array" ref="AM16">MIN((AJ4:AJ13 - MIN(D4:D13,L4:L13,T4:T13,AB4:AB13,AJ4:AJ13))/MIN(D4:D13,L4:L13,T4:T13,AB4:AB13,AJ4:AJ13)*100%)</f>
        <v>2.7258566978192334E-3</v>
      </c>
      <c r="AN16" s="48">
        <f t="array" ref="AN16">AVERAGE((AJ4:AJ13 - MIN(D4:D13,L4:L13,T4:T13,AB4:AB13,AJ4:AJ13))/MIN(D4:D13,L4:L13,T4:T13,AB4:AB13,AJ4:AJ13)*100%)</f>
        <v>1.4031671858774589E-2</v>
      </c>
      <c r="AO16" s="44"/>
      <c r="AP16" s="51"/>
    </row>
    <row r="17" spans="1:42" ht="21" customHeight="1" thickTop="1" thickBot="1" x14ac:dyDescent="0.35">
      <c r="A17" s="63"/>
      <c r="B17" s="79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3"/>
      <c r="B18" s="77" t="s">
        <v>27</v>
      </c>
      <c r="C18" s="59" t="s">
        <v>8</v>
      </c>
      <c r="D18" s="46" t="s">
        <v>9</v>
      </c>
      <c r="E18" s="46" t="s">
        <v>10</v>
      </c>
      <c r="F18" s="46" t="s">
        <v>11</v>
      </c>
      <c r="G18" s="46" t="s">
        <v>12</v>
      </c>
      <c r="H18" s="46" t="s">
        <v>13</v>
      </c>
      <c r="I18" s="46" t="s">
        <v>14</v>
      </c>
      <c r="J18" s="60" t="s">
        <v>15</v>
      </c>
      <c r="K18" s="59" t="s">
        <v>8</v>
      </c>
      <c r="L18" s="46" t="s">
        <v>9</v>
      </c>
      <c r="M18" s="46" t="s">
        <v>10</v>
      </c>
      <c r="N18" s="46" t="s">
        <v>11</v>
      </c>
      <c r="O18" s="46" t="s">
        <v>12</v>
      </c>
      <c r="P18" s="46" t="s">
        <v>13</v>
      </c>
      <c r="Q18" s="46" t="s">
        <v>14</v>
      </c>
      <c r="R18" s="60" t="s">
        <v>15</v>
      </c>
      <c r="S18" s="59" t="s">
        <v>8</v>
      </c>
      <c r="T18" s="46" t="s">
        <v>9</v>
      </c>
      <c r="U18" s="46" t="s">
        <v>10</v>
      </c>
      <c r="V18" s="46" t="s">
        <v>11</v>
      </c>
      <c r="W18" s="46" t="s">
        <v>12</v>
      </c>
      <c r="X18" s="46" t="s">
        <v>13</v>
      </c>
      <c r="Y18" s="46" t="s">
        <v>14</v>
      </c>
      <c r="Z18" s="60" t="s">
        <v>15</v>
      </c>
      <c r="AA18" s="59" t="s">
        <v>8</v>
      </c>
      <c r="AB18" s="46" t="s">
        <v>9</v>
      </c>
      <c r="AC18" s="46" t="s">
        <v>10</v>
      </c>
      <c r="AD18" s="46" t="s">
        <v>11</v>
      </c>
      <c r="AE18" s="46" t="s">
        <v>12</v>
      </c>
      <c r="AF18" s="46" t="s">
        <v>13</v>
      </c>
      <c r="AG18" s="46" t="s">
        <v>14</v>
      </c>
      <c r="AH18" s="60" t="s">
        <v>15</v>
      </c>
      <c r="AI18" s="59" t="s">
        <v>8</v>
      </c>
      <c r="AJ18" s="46" t="s">
        <v>9</v>
      </c>
      <c r="AK18" s="46" t="s">
        <v>10</v>
      </c>
      <c r="AL18" s="46" t="s">
        <v>11</v>
      </c>
      <c r="AM18" s="46" t="s">
        <v>12</v>
      </c>
      <c r="AN18" s="46" t="s">
        <v>13</v>
      </c>
      <c r="AO18" s="46" t="s">
        <v>14</v>
      </c>
      <c r="AP18" s="60" t="s">
        <v>15</v>
      </c>
    </row>
    <row r="19" spans="1:42" ht="21" customHeight="1" thickTop="1" thickBot="1" x14ac:dyDescent="0.35">
      <c r="A19" s="63"/>
      <c r="B19" s="78"/>
      <c r="C19" s="52">
        <v>1</v>
      </c>
      <c r="D19" s="44">
        <v>88.070000000000007</v>
      </c>
      <c r="E19" s="44"/>
      <c r="F19" s="44"/>
      <c r="G19" s="44"/>
      <c r="H19" s="44"/>
      <c r="I19" s="44"/>
      <c r="J19" s="51"/>
      <c r="K19" s="52">
        <v>1</v>
      </c>
      <c r="L19" s="44">
        <v>89.44</v>
      </c>
      <c r="M19" s="44"/>
      <c r="N19" s="44"/>
      <c r="O19" s="44"/>
      <c r="P19" s="44"/>
      <c r="Q19" s="44"/>
      <c r="R19" s="51"/>
      <c r="S19" s="52">
        <v>1</v>
      </c>
      <c r="T19" s="44">
        <v>91.63</v>
      </c>
      <c r="U19" s="44"/>
      <c r="V19" s="44"/>
      <c r="W19" s="44"/>
      <c r="X19" s="44"/>
      <c r="Y19" s="44"/>
      <c r="Z19" s="51"/>
      <c r="AA19" s="52">
        <v>1</v>
      </c>
      <c r="AB19" s="44">
        <v>91.58</v>
      </c>
      <c r="AC19" s="44"/>
      <c r="AD19" s="44"/>
      <c r="AE19" s="44"/>
      <c r="AF19" s="44"/>
      <c r="AG19" s="44"/>
      <c r="AH19" s="51"/>
      <c r="AI19" s="52">
        <v>1</v>
      </c>
      <c r="AJ19" s="44">
        <v>89.289999999999992</v>
      </c>
      <c r="AK19" s="44"/>
      <c r="AL19" s="44"/>
      <c r="AM19" s="44"/>
      <c r="AN19" s="44"/>
      <c r="AO19" s="44"/>
      <c r="AP19" s="51"/>
    </row>
    <row r="20" spans="1:42" ht="21" customHeight="1" thickTop="1" thickBot="1" x14ac:dyDescent="0.35">
      <c r="A20" s="63"/>
      <c r="B20" s="78"/>
      <c r="C20" s="53">
        <v>2</v>
      </c>
      <c r="D20" s="45">
        <v>88.17</v>
      </c>
      <c r="E20" s="45"/>
      <c r="F20" s="45"/>
      <c r="G20" s="45"/>
      <c r="H20" s="45"/>
      <c r="I20" s="45"/>
      <c r="J20" s="51"/>
      <c r="K20" s="53">
        <v>2</v>
      </c>
      <c r="L20" s="45">
        <v>89.19</v>
      </c>
      <c r="M20" s="45"/>
      <c r="N20" s="45"/>
      <c r="O20" s="45"/>
      <c r="P20" s="45"/>
      <c r="Q20" s="45"/>
      <c r="R20" s="51"/>
      <c r="S20" s="53">
        <v>2</v>
      </c>
      <c r="T20" s="45">
        <v>91.61</v>
      </c>
      <c r="U20" s="45"/>
      <c r="V20" s="45"/>
      <c r="W20" s="45"/>
      <c r="X20" s="45"/>
      <c r="Y20" s="45"/>
      <c r="Z20" s="51"/>
      <c r="AA20" s="53">
        <v>2</v>
      </c>
      <c r="AB20" s="45">
        <v>91.179999999999993</v>
      </c>
      <c r="AC20" s="45"/>
      <c r="AD20" s="45"/>
      <c r="AE20" s="45"/>
      <c r="AF20" s="45"/>
      <c r="AG20" s="45"/>
      <c r="AH20" s="51"/>
      <c r="AI20" s="53">
        <v>2</v>
      </c>
      <c r="AJ20" s="45">
        <v>90.179999999999993</v>
      </c>
      <c r="AK20" s="45"/>
      <c r="AL20" s="45"/>
      <c r="AM20" s="45"/>
      <c r="AN20" s="45"/>
      <c r="AO20" s="45"/>
      <c r="AP20" s="51"/>
    </row>
    <row r="21" spans="1:42" ht="21" customHeight="1" thickTop="1" thickBot="1" x14ac:dyDescent="0.35">
      <c r="A21" s="63"/>
      <c r="B21" s="78"/>
      <c r="C21" s="53">
        <v>3</v>
      </c>
      <c r="D21" s="45">
        <v>88.61</v>
      </c>
      <c r="E21" s="45"/>
      <c r="F21" s="45"/>
      <c r="G21" s="44"/>
      <c r="H21" s="44"/>
      <c r="I21" s="44"/>
      <c r="J21" s="51"/>
      <c r="K21" s="53">
        <v>3</v>
      </c>
      <c r="L21" s="45">
        <v>89.34</v>
      </c>
      <c r="M21" s="45"/>
      <c r="N21" s="45"/>
      <c r="O21" s="44"/>
      <c r="P21" s="44"/>
      <c r="Q21" s="44"/>
      <c r="R21" s="51"/>
      <c r="S21" s="53">
        <v>3</v>
      </c>
      <c r="T21" s="45">
        <v>92.31</v>
      </c>
      <c r="U21" s="45"/>
      <c r="V21" s="45"/>
      <c r="W21" s="44"/>
      <c r="X21" s="44"/>
      <c r="Y21" s="44"/>
      <c r="Z21" s="51"/>
      <c r="AA21" s="53">
        <v>3</v>
      </c>
      <c r="AB21" s="45">
        <v>89.570000000000007</v>
      </c>
      <c r="AC21" s="45"/>
      <c r="AD21" s="45"/>
      <c r="AE21" s="44"/>
      <c r="AF21" s="44"/>
      <c r="AG21" s="44"/>
      <c r="AH21" s="51"/>
      <c r="AI21" s="53">
        <v>3</v>
      </c>
      <c r="AJ21" s="45">
        <v>89.43</v>
      </c>
      <c r="AK21" s="45"/>
      <c r="AL21" s="45"/>
      <c r="AM21" s="44"/>
      <c r="AN21" s="44"/>
      <c r="AO21" s="44"/>
      <c r="AP21" s="51"/>
    </row>
    <row r="22" spans="1:42" ht="21" customHeight="1" thickTop="1" thickBot="1" x14ac:dyDescent="0.35">
      <c r="A22" s="63"/>
      <c r="B22" s="78"/>
      <c r="C22" s="53">
        <v>4</v>
      </c>
      <c r="D22" s="45">
        <v>88.19</v>
      </c>
      <c r="E22" s="45"/>
      <c r="F22" s="45"/>
      <c r="G22" s="45"/>
      <c r="H22" s="45"/>
      <c r="I22" s="45"/>
      <c r="J22" s="51"/>
      <c r="K22" s="53">
        <v>4</v>
      </c>
      <c r="L22" s="45">
        <v>88.59</v>
      </c>
      <c r="M22" s="45"/>
      <c r="N22" s="45"/>
      <c r="O22" s="45"/>
      <c r="P22" s="45"/>
      <c r="Q22" s="45"/>
      <c r="R22" s="51"/>
      <c r="S22" s="53">
        <v>4</v>
      </c>
      <c r="T22" s="45">
        <v>92.54</v>
      </c>
      <c r="U22" s="45"/>
      <c r="V22" s="45"/>
      <c r="W22" s="45"/>
      <c r="X22" s="45"/>
      <c r="Y22" s="45"/>
      <c r="Z22" s="51"/>
      <c r="AA22" s="53">
        <v>4</v>
      </c>
      <c r="AB22" s="45">
        <v>89.2</v>
      </c>
      <c r="AC22" s="45"/>
      <c r="AD22" s="45"/>
      <c r="AE22" s="45"/>
      <c r="AF22" s="45"/>
      <c r="AG22" s="45"/>
      <c r="AH22" s="51"/>
      <c r="AI22" s="53">
        <v>4</v>
      </c>
      <c r="AJ22" s="45">
        <v>89.95</v>
      </c>
      <c r="AK22" s="45"/>
      <c r="AL22" s="45"/>
      <c r="AM22" s="45"/>
      <c r="AN22" s="45"/>
      <c r="AO22" s="45"/>
      <c r="AP22" s="51"/>
    </row>
    <row r="23" spans="1:42" ht="21" customHeight="1" thickTop="1" thickBot="1" x14ac:dyDescent="0.35">
      <c r="A23" s="63"/>
      <c r="B23" s="78"/>
      <c r="C23" s="53">
        <v>5</v>
      </c>
      <c r="D23" s="45">
        <v>88.17</v>
      </c>
      <c r="E23" s="45"/>
      <c r="F23" s="45"/>
      <c r="G23" s="45"/>
      <c r="H23" s="45"/>
      <c r="I23" s="45"/>
      <c r="J23" s="51"/>
      <c r="K23" s="53">
        <v>5</v>
      </c>
      <c r="L23" s="45">
        <v>89.36</v>
      </c>
      <c r="M23" s="45"/>
      <c r="N23" s="45"/>
      <c r="O23" s="45"/>
      <c r="P23" s="45"/>
      <c r="Q23" s="45"/>
      <c r="R23" s="51"/>
      <c r="S23" s="53">
        <v>5</v>
      </c>
      <c r="T23" s="45">
        <v>89.76</v>
      </c>
      <c r="U23" s="45"/>
      <c r="V23" s="45"/>
      <c r="W23" s="45"/>
      <c r="X23" s="45"/>
      <c r="Y23" s="45"/>
      <c r="Z23" s="51"/>
      <c r="AA23" s="53">
        <v>5</v>
      </c>
      <c r="AB23" s="45">
        <v>91.72</v>
      </c>
      <c r="AC23" s="45"/>
      <c r="AD23" s="45"/>
      <c r="AE23" s="45"/>
      <c r="AF23" s="45"/>
      <c r="AG23" s="45"/>
      <c r="AH23" s="51"/>
      <c r="AI23" s="53">
        <v>5</v>
      </c>
      <c r="AJ23" s="45">
        <v>89.350000000000009</v>
      </c>
      <c r="AK23" s="45"/>
      <c r="AL23" s="45"/>
      <c r="AM23" s="45"/>
      <c r="AN23" s="45"/>
      <c r="AO23" s="45"/>
      <c r="AP23" s="51"/>
    </row>
    <row r="24" spans="1:42" ht="21" customHeight="1" thickTop="1" thickBot="1" x14ac:dyDescent="0.35">
      <c r="A24" s="63"/>
      <c r="B24" s="78"/>
      <c r="C24" s="53">
        <v>6</v>
      </c>
      <c r="D24" s="45">
        <v>89.660000000000011</v>
      </c>
      <c r="E24" s="45"/>
      <c r="F24" s="45"/>
      <c r="G24" s="45"/>
      <c r="H24" s="45"/>
      <c r="I24" s="45"/>
      <c r="J24" s="51"/>
      <c r="K24" s="53">
        <v>6</v>
      </c>
      <c r="L24" s="45">
        <v>91.01</v>
      </c>
      <c r="M24" s="45"/>
      <c r="N24" s="45"/>
      <c r="O24" s="45"/>
      <c r="P24" s="45"/>
      <c r="Q24" s="45"/>
      <c r="R24" s="51"/>
      <c r="S24" s="53">
        <v>6</v>
      </c>
      <c r="T24" s="45">
        <v>90.76</v>
      </c>
      <c r="U24" s="45"/>
      <c r="V24" s="45"/>
      <c r="W24" s="45"/>
      <c r="X24" s="45"/>
      <c r="Y24" s="45"/>
      <c r="Z24" s="51"/>
      <c r="AA24" s="53">
        <v>6</v>
      </c>
      <c r="AB24" s="45">
        <v>89.37</v>
      </c>
      <c r="AC24" s="45"/>
      <c r="AD24" s="45"/>
      <c r="AE24" s="45"/>
      <c r="AF24" s="45"/>
      <c r="AG24" s="45"/>
      <c r="AH24" s="51"/>
      <c r="AI24" s="53">
        <v>6</v>
      </c>
      <c r="AJ24" s="45">
        <v>89.28</v>
      </c>
      <c r="AK24" s="45"/>
      <c r="AL24" s="45"/>
      <c r="AM24" s="45"/>
      <c r="AN24" s="45"/>
      <c r="AO24" s="45"/>
      <c r="AP24" s="51"/>
    </row>
    <row r="25" spans="1:42" ht="21" customHeight="1" thickTop="1" thickBot="1" x14ac:dyDescent="0.35">
      <c r="A25" s="63"/>
      <c r="B25" s="78"/>
      <c r="C25" s="53">
        <v>7</v>
      </c>
      <c r="D25" s="45">
        <v>89.19</v>
      </c>
      <c r="E25" s="45"/>
      <c r="F25" s="45"/>
      <c r="G25" s="45"/>
      <c r="H25" s="45"/>
      <c r="I25" s="45"/>
      <c r="J25" s="51"/>
      <c r="K25" s="53">
        <v>7</v>
      </c>
      <c r="L25" s="45">
        <v>88.070000000000007</v>
      </c>
      <c r="M25" s="45"/>
      <c r="N25" s="45"/>
      <c r="O25" s="45"/>
      <c r="P25" s="45"/>
      <c r="Q25" s="45"/>
      <c r="R25" s="51"/>
      <c r="S25" s="53">
        <v>7</v>
      </c>
      <c r="T25" s="45">
        <v>89.570000000000007</v>
      </c>
      <c r="U25" s="45"/>
      <c r="V25" s="45"/>
      <c r="W25" s="45"/>
      <c r="X25" s="45"/>
      <c r="Y25" s="45"/>
      <c r="Z25" s="51"/>
      <c r="AA25" s="53">
        <v>7</v>
      </c>
      <c r="AB25" s="45">
        <v>88.59</v>
      </c>
      <c r="AC25" s="45"/>
      <c r="AD25" s="45"/>
      <c r="AE25" s="45"/>
      <c r="AF25" s="45"/>
      <c r="AG25" s="45"/>
      <c r="AH25" s="51"/>
      <c r="AI25" s="53">
        <v>7</v>
      </c>
      <c r="AJ25" s="45">
        <v>90.210000000000008</v>
      </c>
      <c r="AK25" s="45"/>
      <c r="AL25" s="45"/>
      <c r="AM25" s="45"/>
      <c r="AN25" s="45"/>
      <c r="AO25" s="45"/>
      <c r="AP25" s="51"/>
    </row>
    <row r="26" spans="1:42" ht="21" customHeight="1" thickTop="1" thickBot="1" x14ac:dyDescent="0.35">
      <c r="A26" s="63"/>
      <c r="B26" s="78"/>
      <c r="C26" s="53">
        <v>8</v>
      </c>
      <c r="D26" s="45">
        <v>89.79</v>
      </c>
      <c r="E26" s="45"/>
      <c r="F26" s="45"/>
      <c r="G26" s="45"/>
      <c r="H26" s="45"/>
      <c r="I26" s="45"/>
      <c r="J26" s="51"/>
      <c r="K26" s="53">
        <v>8</v>
      </c>
      <c r="L26" s="45">
        <v>88.93</v>
      </c>
      <c r="M26" s="45"/>
      <c r="N26" s="45"/>
      <c r="O26" s="45"/>
      <c r="P26" s="45"/>
      <c r="Q26" s="45"/>
      <c r="R26" s="51"/>
      <c r="S26" s="53">
        <v>8</v>
      </c>
      <c r="T26" s="45">
        <v>90.210000000000008</v>
      </c>
      <c r="U26" s="45"/>
      <c r="V26" s="45"/>
      <c r="W26" s="45"/>
      <c r="X26" s="45"/>
      <c r="Y26" s="45"/>
      <c r="Z26" s="51"/>
      <c r="AA26" s="53">
        <v>8</v>
      </c>
      <c r="AB26" s="45">
        <v>91.42</v>
      </c>
      <c r="AC26" s="45"/>
      <c r="AD26" s="45"/>
      <c r="AE26" s="45"/>
      <c r="AF26" s="45"/>
      <c r="AG26" s="45"/>
      <c r="AH26" s="51"/>
      <c r="AI26" s="53">
        <v>8</v>
      </c>
      <c r="AJ26" s="45">
        <v>90.090000000000018</v>
      </c>
      <c r="AK26" s="45"/>
      <c r="AL26" s="45"/>
      <c r="AM26" s="45"/>
      <c r="AN26" s="45"/>
      <c r="AO26" s="45"/>
      <c r="AP26" s="51"/>
    </row>
    <row r="27" spans="1:42" ht="21" customHeight="1" thickTop="1" thickBot="1" x14ac:dyDescent="0.35">
      <c r="A27" s="63"/>
      <c r="B27" s="78"/>
      <c r="C27" s="53">
        <v>9</v>
      </c>
      <c r="D27" s="45">
        <v>88.3</v>
      </c>
      <c r="E27" s="45"/>
      <c r="F27" s="45"/>
      <c r="G27" s="45"/>
      <c r="H27" s="45"/>
      <c r="I27" s="45"/>
      <c r="J27" s="51"/>
      <c r="K27" s="53">
        <v>9</v>
      </c>
      <c r="L27" s="45">
        <v>88.18</v>
      </c>
      <c r="M27" s="45"/>
      <c r="N27" s="45"/>
      <c r="O27" s="45"/>
      <c r="P27" s="45"/>
      <c r="Q27" s="45"/>
      <c r="R27" s="51"/>
      <c r="S27" s="53">
        <v>9</v>
      </c>
      <c r="T27" s="45">
        <v>89.66</v>
      </c>
      <c r="U27" s="45"/>
      <c r="V27" s="45"/>
      <c r="W27" s="45"/>
      <c r="X27" s="45"/>
      <c r="Y27" s="45"/>
      <c r="Z27" s="51"/>
      <c r="AA27" s="53">
        <v>9</v>
      </c>
      <c r="AB27" s="45">
        <v>89.660000000000011</v>
      </c>
      <c r="AC27" s="45"/>
      <c r="AD27" s="45"/>
      <c r="AE27" s="45"/>
      <c r="AF27" s="45"/>
      <c r="AG27" s="45"/>
      <c r="AH27" s="51"/>
      <c r="AI27" s="53">
        <v>9</v>
      </c>
      <c r="AJ27" s="45">
        <v>90.24</v>
      </c>
      <c r="AK27" s="45"/>
      <c r="AL27" s="45"/>
      <c r="AM27" s="45"/>
      <c r="AN27" s="45"/>
      <c r="AO27" s="45"/>
      <c r="AP27" s="51"/>
    </row>
    <row r="28" spans="1:42" ht="21" customHeight="1" thickTop="1" thickBot="1" x14ac:dyDescent="0.35">
      <c r="A28" s="63"/>
      <c r="B28" s="78"/>
      <c r="C28" s="53">
        <v>10</v>
      </c>
      <c r="D28" s="45">
        <v>88.18</v>
      </c>
      <c r="E28" s="45"/>
      <c r="F28" s="45"/>
      <c r="G28" s="45"/>
      <c r="H28" s="45"/>
      <c r="I28" s="45"/>
      <c r="J28" s="51"/>
      <c r="K28" s="53">
        <v>10</v>
      </c>
      <c r="L28" s="45">
        <v>88.68</v>
      </c>
      <c r="M28" s="45"/>
      <c r="N28" s="45"/>
      <c r="O28" s="45"/>
      <c r="P28" s="45"/>
      <c r="Q28" s="45"/>
      <c r="R28" s="51"/>
      <c r="S28" s="53">
        <v>10</v>
      </c>
      <c r="T28" s="45">
        <v>91.800000000000011</v>
      </c>
      <c r="U28" s="45"/>
      <c r="V28" s="45"/>
      <c r="W28" s="45"/>
      <c r="X28" s="45"/>
      <c r="Y28" s="45"/>
      <c r="Z28" s="51"/>
      <c r="AA28" s="53">
        <v>10</v>
      </c>
      <c r="AB28" s="45">
        <v>89.66</v>
      </c>
      <c r="AC28" s="45"/>
      <c r="AD28" s="45"/>
      <c r="AE28" s="45"/>
      <c r="AF28" s="45"/>
      <c r="AG28" s="45"/>
      <c r="AH28" s="51"/>
      <c r="AI28" s="53">
        <v>10</v>
      </c>
      <c r="AJ28" s="45">
        <v>89.43</v>
      </c>
      <c r="AK28" s="45"/>
      <c r="AL28" s="45"/>
      <c r="AM28" s="45"/>
      <c r="AN28" s="45"/>
      <c r="AO28" s="45"/>
      <c r="AP28" s="51"/>
    </row>
    <row r="29" spans="1:42" ht="21" customHeight="1" thickTop="1" thickBot="1" x14ac:dyDescent="0.35">
      <c r="A29" s="63"/>
      <c r="B29" s="78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78"/>
      <c r="C30" s="54" t="s">
        <v>16</v>
      </c>
      <c r="D30" s="49">
        <f>MIN(D19:D28)</f>
        <v>88.070000000000007</v>
      </c>
      <c r="E30" s="45"/>
      <c r="F30" s="55" t="s">
        <v>17</v>
      </c>
      <c r="G30" s="49" t="s">
        <v>18</v>
      </c>
      <c r="H30" s="49" t="s">
        <v>19</v>
      </c>
      <c r="I30" s="45"/>
      <c r="J30" s="51"/>
      <c r="K30" s="54" t="s">
        <v>16</v>
      </c>
      <c r="L30" s="49">
        <f>MIN(L19:L28)</f>
        <v>88.070000000000007</v>
      </c>
      <c r="M30" s="45"/>
      <c r="N30" s="55" t="s">
        <v>17</v>
      </c>
      <c r="O30" s="49" t="s">
        <v>18</v>
      </c>
      <c r="P30" s="49" t="s">
        <v>19</v>
      </c>
      <c r="Q30" s="45"/>
      <c r="R30" s="51"/>
      <c r="S30" s="54" t="s">
        <v>16</v>
      </c>
      <c r="T30" s="49">
        <f>MIN(T19:T28)</f>
        <v>89.570000000000007</v>
      </c>
      <c r="U30" s="45"/>
      <c r="V30" s="55" t="s">
        <v>17</v>
      </c>
      <c r="W30" s="49" t="s">
        <v>18</v>
      </c>
      <c r="X30" s="49" t="s">
        <v>19</v>
      </c>
      <c r="Y30" s="45"/>
      <c r="Z30" s="51"/>
      <c r="AA30" s="54" t="s">
        <v>16</v>
      </c>
      <c r="AB30" s="49">
        <f>MIN(AB19:AB28)</f>
        <v>88.59</v>
      </c>
      <c r="AC30" s="45"/>
      <c r="AD30" s="55" t="s">
        <v>17</v>
      </c>
      <c r="AE30" s="49" t="s">
        <v>18</v>
      </c>
      <c r="AF30" s="49" t="s">
        <v>19</v>
      </c>
      <c r="AG30" s="45"/>
      <c r="AH30" s="51"/>
      <c r="AI30" s="54" t="s">
        <v>16</v>
      </c>
      <c r="AJ30" s="49">
        <f>MIN(AJ19:AJ28)</f>
        <v>89.28</v>
      </c>
      <c r="AK30" s="45"/>
      <c r="AL30" s="55" t="s">
        <v>17</v>
      </c>
      <c r="AM30" s="49" t="s">
        <v>18</v>
      </c>
      <c r="AN30" s="49" t="s">
        <v>19</v>
      </c>
      <c r="AO30" s="45"/>
      <c r="AP30" s="51"/>
    </row>
    <row r="31" spans="1:42" ht="21" customHeight="1" thickTop="1" thickBot="1" x14ac:dyDescent="0.35">
      <c r="A31" s="63"/>
      <c r="B31" s="78"/>
      <c r="C31" s="54" t="s">
        <v>20</v>
      </c>
      <c r="D31" s="48">
        <f>AVERAGE(D19:D28)</f>
        <v>88.632999999999996</v>
      </c>
      <c r="E31" s="47"/>
      <c r="F31" s="48">
        <f>_xlfn.STDEV.S(D19:D28) / AVERAGE(D19:D28) * 100%</f>
        <v>7.4860382331431684E-3</v>
      </c>
      <c r="G31" s="48">
        <f t="array" ref="G31">MIN((D19:D28 - MIN(D19:D28,L19:L28,T19:T28,AB19:AB28,AJ19:AJ28))/MIN(D19:D28,L19:L28,T19:T28,AB19:AB28,AJ19:AJ28)*100%)</f>
        <v>0</v>
      </c>
      <c r="H31" s="48">
        <f t="array" ref="H31">AVERAGE((D19:D28 - MIN(D19:D28,L19:L28,T19:T28,AB19:AB28,AJ19:AJ28))/MIN(D19:D28,L19:L28,T19:T28,AB19:AB28,AJ19:AJ28)*100%)</f>
        <v>6.3926422164187037E-3</v>
      </c>
      <c r="I31" s="45"/>
      <c r="J31" s="51"/>
      <c r="K31" s="54" t="s">
        <v>20</v>
      </c>
      <c r="L31" s="48">
        <f>AVERAGE(L19:L28)</f>
        <v>89.079000000000022</v>
      </c>
      <c r="M31" s="47"/>
      <c r="N31" s="48">
        <f>_xlfn.STDEV.S(L19:L28) / AVERAGE(L19:L28) * 100%</f>
        <v>9.3664280470571876E-3</v>
      </c>
      <c r="O31" s="48">
        <f t="array" ref="O31">MIN((L19:L28 - MIN(D19:D28,L19:L28,T19:T28,AB19:AB28,AJ19:AJ28))/MIN(D19:D28,L19:L28,T19:T28,AB19:AB28,AJ19:AJ28)*100%)</f>
        <v>0</v>
      </c>
      <c r="P31" s="48">
        <f t="array" ref="P31">AVERAGE((L19:L28 - MIN(D19:D28,L19:L28,T19:T28,AB19:AB28,AJ19:AJ28))/MIN(D19:D28,L19:L28,T19:T28,AB19:AB28,AJ19:AJ28)*100%)</f>
        <v>1.1456795730668741E-2</v>
      </c>
      <c r="Q31" s="44"/>
      <c r="R31" s="51"/>
      <c r="S31" s="54" t="s">
        <v>20</v>
      </c>
      <c r="T31" s="48">
        <f>AVERAGE(T19:T28)</f>
        <v>90.985000000000014</v>
      </c>
      <c r="U31" s="47"/>
      <c r="V31" s="48">
        <f>_xlfn.STDEV.S(T19:T28) / AVERAGE(T19:T28) * 100%</f>
        <v>1.2453167396049257E-2</v>
      </c>
      <c r="W31" s="48">
        <f t="array" ref="W31">MIN((T19:T28 - MIN(D19:D28,L19:L28,T19:T28,AB19:AB28,AJ19:AJ28))/MIN(D19:D28,L19:L28,T19:T28,AB19:AB28,AJ19:AJ28)*100%)</f>
        <v>1.7031906438060632E-2</v>
      </c>
      <c r="X31" s="48">
        <f t="array" ref="X31">AVERAGE((T19:T28 - MIN(D19:D28,L19:L28,T19:T28,AB19:AB28,AJ19:AJ28))/MIN(D19:D28,L19:L28,T19:T28,AB19:AB28,AJ19:AJ28)*100%)</f>
        <v>3.3098671511297792E-2</v>
      </c>
      <c r="Y31" s="44"/>
      <c r="Z31" s="51"/>
      <c r="AA31" s="54" t="s">
        <v>20</v>
      </c>
      <c r="AB31" s="48">
        <f>AVERAGE(AB19:AB28)</f>
        <v>90.194999999999993</v>
      </c>
      <c r="AC31" s="47"/>
      <c r="AD31" s="48">
        <f>_xlfn.STDEV.S(AB19:AB28) / AVERAGE(AB19:AB28) * 100%</f>
        <v>1.2761903631527899E-2</v>
      </c>
      <c r="AE31" s="48">
        <f t="array" ref="AE31">MIN((AB19:AB28 - MIN(D19:D28,L19:L28,T19:T28,AB19:AB28,AJ19:AJ28))/MIN(D19:D28,L19:L28,T19:T28,AB19:AB28,AJ19:AJ28)*100%)</f>
        <v>5.9043942318609743E-3</v>
      </c>
      <c r="AF31" s="48">
        <f t="array" ref="AF31">AVERAGE((AB19:AB28 - MIN(D19:D28,L19:L28,T19:T28,AB19:AB28,AJ19:AJ28))/MIN(D19:D28,L19:L28,T19:T28,AB19:AB28,AJ19:AJ28)*100%)</f>
        <v>2.4128534120585833E-2</v>
      </c>
      <c r="AG31" s="44"/>
      <c r="AH31" s="51"/>
      <c r="AI31" s="54" t="s">
        <v>20</v>
      </c>
      <c r="AJ31" s="48">
        <f>AVERAGE(AJ19:AJ28)</f>
        <v>89.745000000000005</v>
      </c>
      <c r="AK31" s="47"/>
      <c r="AL31" s="48">
        <f>_xlfn.STDEV.S(AJ19:AJ28) / AVERAGE(AJ19:AJ28) * 100%</f>
        <v>4.6823577613194552E-3</v>
      </c>
      <c r="AM31" s="48">
        <f t="array" ref="AM31">MIN((AJ19:AJ28 - MIN(D19:D28,L19:L28,T19:T28,AB19:AB28,AJ19:AJ28))/MIN(D19:D28,L19:L28,T19:T28,AB19:AB28,AJ19:AJ28)*100%)</f>
        <v>1.3739071193368839E-2</v>
      </c>
      <c r="AN31" s="48">
        <f t="array" ref="AN31">AVERAGE((AJ19:AJ28 - MIN(D19:D28,L19:L28,T19:T28,AB19:AB28,AJ19:AJ28))/MIN(D19:D28,L19:L28,T19:T28,AB19:AB28,AJ19:AJ28)*100%)</f>
        <v>1.9018962189167661E-2</v>
      </c>
      <c r="AO31" s="44"/>
      <c r="AP31" s="51"/>
    </row>
    <row r="32" spans="1:42" ht="21" customHeight="1" thickTop="1" thickBot="1" x14ac:dyDescent="0.35">
      <c r="A32" s="63"/>
      <c r="B32" s="79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3"/>
      <c r="B33" s="77" t="s">
        <v>28</v>
      </c>
      <c r="C33" s="59" t="s">
        <v>8</v>
      </c>
      <c r="D33" s="46" t="s">
        <v>9</v>
      </c>
      <c r="E33" s="46" t="s">
        <v>10</v>
      </c>
      <c r="F33" s="46" t="s">
        <v>11</v>
      </c>
      <c r="G33" s="46" t="s">
        <v>12</v>
      </c>
      <c r="H33" s="46" t="s">
        <v>13</v>
      </c>
      <c r="I33" s="46" t="s">
        <v>14</v>
      </c>
      <c r="J33" s="60" t="s">
        <v>15</v>
      </c>
      <c r="K33" s="59" t="s">
        <v>8</v>
      </c>
      <c r="L33" s="46" t="s">
        <v>9</v>
      </c>
      <c r="M33" s="46" t="s">
        <v>10</v>
      </c>
      <c r="N33" s="46" t="s">
        <v>11</v>
      </c>
      <c r="O33" s="46" t="s">
        <v>12</v>
      </c>
      <c r="P33" s="46" t="s">
        <v>13</v>
      </c>
      <c r="Q33" s="46" t="s">
        <v>14</v>
      </c>
      <c r="R33" s="60" t="s">
        <v>15</v>
      </c>
      <c r="S33" s="59" t="s">
        <v>8</v>
      </c>
      <c r="T33" s="46" t="s">
        <v>9</v>
      </c>
      <c r="U33" s="46" t="s">
        <v>10</v>
      </c>
      <c r="V33" s="46" t="s">
        <v>11</v>
      </c>
      <c r="W33" s="46" t="s">
        <v>12</v>
      </c>
      <c r="X33" s="46" t="s">
        <v>13</v>
      </c>
      <c r="Y33" s="46" t="s">
        <v>14</v>
      </c>
      <c r="Z33" s="60" t="s">
        <v>15</v>
      </c>
      <c r="AA33" s="59" t="s">
        <v>8</v>
      </c>
      <c r="AB33" s="46" t="s">
        <v>9</v>
      </c>
      <c r="AC33" s="46" t="s">
        <v>10</v>
      </c>
      <c r="AD33" s="46" t="s">
        <v>11</v>
      </c>
      <c r="AE33" s="46" t="s">
        <v>12</v>
      </c>
      <c r="AF33" s="46" t="s">
        <v>13</v>
      </c>
      <c r="AG33" s="46" t="s">
        <v>14</v>
      </c>
      <c r="AH33" s="60" t="s">
        <v>15</v>
      </c>
      <c r="AI33" s="59" t="s">
        <v>8</v>
      </c>
      <c r="AJ33" s="46" t="s">
        <v>9</v>
      </c>
      <c r="AK33" s="46" t="s">
        <v>10</v>
      </c>
      <c r="AL33" s="46" t="s">
        <v>11</v>
      </c>
      <c r="AM33" s="46" t="s">
        <v>12</v>
      </c>
      <c r="AN33" s="46" t="s">
        <v>13</v>
      </c>
      <c r="AO33" s="46" t="s">
        <v>14</v>
      </c>
      <c r="AP33" s="60" t="s">
        <v>15</v>
      </c>
    </row>
    <row r="34" spans="1:42" ht="21" customHeight="1" thickTop="1" thickBot="1" x14ac:dyDescent="0.35">
      <c r="A34" s="63"/>
      <c r="B34" s="78"/>
      <c r="C34" s="52">
        <v>1</v>
      </c>
      <c r="D34" s="44">
        <v>88.25</v>
      </c>
      <c r="E34" s="44"/>
      <c r="F34" s="44"/>
      <c r="G34" s="44"/>
      <c r="H34" s="44"/>
      <c r="I34" s="44"/>
      <c r="J34" s="51"/>
      <c r="K34" s="52">
        <v>1</v>
      </c>
      <c r="L34" s="44">
        <v>90.22</v>
      </c>
      <c r="M34" s="44"/>
      <c r="N34" s="44"/>
      <c r="O34" s="44"/>
      <c r="P34" s="44"/>
      <c r="Q34" s="44"/>
      <c r="R34" s="51"/>
      <c r="S34" s="52">
        <v>1</v>
      </c>
      <c r="T34" s="44">
        <v>92.470000000000013</v>
      </c>
      <c r="U34" s="44"/>
      <c r="V34" s="44"/>
      <c r="W34" s="44"/>
      <c r="X34" s="44"/>
      <c r="Y34" s="44"/>
      <c r="Z34" s="51"/>
      <c r="AA34" s="52">
        <v>1</v>
      </c>
      <c r="AB34" s="44">
        <v>94.500000000000014</v>
      </c>
      <c r="AC34" s="44"/>
      <c r="AD34" s="44"/>
      <c r="AE34" s="44"/>
      <c r="AF34" s="44"/>
      <c r="AG34" s="44"/>
      <c r="AH34" s="51"/>
      <c r="AI34" s="52">
        <v>1</v>
      </c>
      <c r="AJ34" s="44">
        <v>93.51</v>
      </c>
      <c r="AK34" s="44"/>
      <c r="AL34" s="44"/>
      <c r="AM34" s="44"/>
      <c r="AN34" s="44"/>
      <c r="AO34" s="44"/>
      <c r="AP34" s="51"/>
    </row>
    <row r="35" spans="1:42" ht="21" customHeight="1" thickTop="1" thickBot="1" x14ac:dyDescent="0.35">
      <c r="A35" s="63"/>
      <c r="B35" s="78"/>
      <c r="C35" s="53">
        <v>2</v>
      </c>
      <c r="D35" s="45">
        <v>88.25</v>
      </c>
      <c r="E35" s="45"/>
      <c r="F35" s="45"/>
      <c r="G35" s="45"/>
      <c r="H35" s="45"/>
      <c r="I35" s="45"/>
      <c r="J35" s="51"/>
      <c r="K35" s="53">
        <v>2</v>
      </c>
      <c r="L35" s="45">
        <v>90.100000000000009</v>
      </c>
      <c r="M35" s="45"/>
      <c r="N35" s="45"/>
      <c r="O35" s="45"/>
      <c r="P35" s="45"/>
      <c r="Q35" s="45"/>
      <c r="R35" s="51"/>
      <c r="S35" s="53">
        <v>2</v>
      </c>
      <c r="T35" s="45">
        <v>91.69</v>
      </c>
      <c r="U35" s="45"/>
      <c r="V35" s="45"/>
      <c r="W35" s="45"/>
      <c r="X35" s="45"/>
      <c r="Y35" s="45"/>
      <c r="Z35" s="51"/>
      <c r="AA35" s="53">
        <v>2</v>
      </c>
      <c r="AB35" s="45">
        <v>90.83</v>
      </c>
      <c r="AC35" s="45"/>
      <c r="AD35" s="45"/>
      <c r="AE35" s="45"/>
      <c r="AF35" s="45"/>
      <c r="AG35" s="45"/>
      <c r="AH35" s="51"/>
      <c r="AI35" s="53">
        <v>2</v>
      </c>
      <c r="AJ35" s="45">
        <v>92.160000000000011</v>
      </c>
      <c r="AK35" s="45"/>
      <c r="AL35" s="45"/>
      <c r="AM35" s="45"/>
      <c r="AN35" s="45"/>
      <c r="AO35" s="45"/>
      <c r="AP35" s="51"/>
    </row>
    <row r="36" spans="1:42" ht="21" customHeight="1" thickTop="1" thickBot="1" x14ac:dyDescent="0.35">
      <c r="A36" s="63"/>
      <c r="B36" s="78"/>
      <c r="C36" s="53">
        <v>3</v>
      </c>
      <c r="D36" s="45">
        <v>89.670000000000016</v>
      </c>
      <c r="E36" s="45"/>
      <c r="F36" s="45"/>
      <c r="G36" s="44"/>
      <c r="H36" s="44"/>
      <c r="I36" s="44"/>
      <c r="J36" s="51"/>
      <c r="K36" s="53">
        <v>3</v>
      </c>
      <c r="L36" s="45">
        <v>90.6</v>
      </c>
      <c r="M36" s="45"/>
      <c r="N36" s="45"/>
      <c r="O36" s="44"/>
      <c r="P36" s="44"/>
      <c r="Q36" s="44"/>
      <c r="R36" s="51"/>
      <c r="S36" s="53">
        <v>3</v>
      </c>
      <c r="T36" s="45">
        <v>94.18</v>
      </c>
      <c r="U36" s="45"/>
      <c r="V36" s="45"/>
      <c r="W36" s="44"/>
      <c r="X36" s="44"/>
      <c r="Y36" s="44"/>
      <c r="Z36" s="51"/>
      <c r="AA36" s="53">
        <v>3</v>
      </c>
      <c r="AB36" s="45">
        <v>91.97</v>
      </c>
      <c r="AC36" s="45"/>
      <c r="AD36" s="45"/>
      <c r="AE36" s="44"/>
      <c r="AF36" s="44"/>
      <c r="AG36" s="44"/>
      <c r="AH36" s="51"/>
      <c r="AI36" s="53">
        <v>3</v>
      </c>
      <c r="AJ36" s="45">
        <v>91.99</v>
      </c>
      <c r="AK36" s="45"/>
      <c r="AL36" s="45"/>
      <c r="AM36" s="44"/>
      <c r="AN36" s="44"/>
      <c r="AO36" s="44"/>
      <c r="AP36" s="51"/>
    </row>
    <row r="37" spans="1:42" ht="21" customHeight="1" thickTop="1" thickBot="1" x14ac:dyDescent="0.35">
      <c r="A37" s="63"/>
      <c r="B37" s="78"/>
      <c r="C37" s="53">
        <v>4</v>
      </c>
      <c r="D37" s="45">
        <v>89.95</v>
      </c>
      <c r="E37" s="45"/>
      <c r="F37" s="45"/>
      <c r="G37" s="45"/>
      <c r="H37" s="45"/>
      <c r="I37" s="45"/>
      <c r="J37" s="51"/>
      <c r="K37" s="53">
        <v>4</v>
      </c>
      <c r="L37" s="45">
        <v>89.52</v>
      </c>
      <c r="M37" s="45"/>
      <c r="N37" s="45"/>
      <c r="O37" s="45"/>
      <c r="P37" s="45"/>
      <c r="Q37" s="45"/>
      <c r="R37" s="51"/>
      <c r="S37" s="53">
        <v>4</v>
      </c>
      <c r="T37" s="45">
        <v>91.970000000000013</v>
      </c>
      <c r="U37" s="45"/>
      <c r="V37" s="45"/>
      <c r="W37" s="45"/>
      <c r="X37" s="45"/>
      <c r="Y37" s="45"/>
      <c r="Z37" s="51"/>
      <c r="AA37" s="53">
        <v>4</v>
      </c>
      <c r="AB37" s="45">
        <v>94.000000000000014</v>
      </c>
      <c r="AC37" s="45"/>
      <c r="AD37" s="45"/>
      <c r="AE37" s="45"/>
      <c r="AF37" s="45"/>
      <c r="AG37" s="45"/>
      <c r="AH37" s="51"/>
      <c r="AI37" s="53">
        <v>4</v>
      </c>
      <c r="AJ37" s="45">
        <v>93.56</v>
      </c>
      <c r="AK37" s="45"/>
      <c r="AL37" s="45"/>
      <c r="AM37" s="45"/>
      <c r="AN37" s="45"/>
      <c r="AO37" s="45"/>
      <c r="AP37" s="51"/>
    </row>
    <row r="38" spans="1:42" ht="21" customHeight="1" thickTop="1" thickBot="1" x14ac:dyDescent="0.35">
      <c r="A38" s="63"/>
      <c r="B38" s="78"/>
      <c r="C38" s="53">
        <v>5</v>
      </c>
      <c r="D38" s="45">
        <v>90.070000000000007</v>
      </c>
      <c r="E38" s="45"/>
      <c r="F38" s="45"/>
      <c r="G38" s="45"/>
      <c r="H38" s="45"/>
      <c r="I38" s="45"/>
      <c r="J38" s="51"/>
      <c r="K38" s="53">
        <v>5</v>
      </c>
      <c r="L38" s="45">
        <v>90.22</v>
      </c>
      <c r="M38" s="45"/>
      <c r="N38" s="45"/>
      <c r="O38" s="45"/>
      <c r="P38" s="45"/>
      <c r="Q38" s="45"/>
      <c r="R38" s="51"/>
      <c r="S38" s="53">
        <v>5</v>
      </c>
      <c r="T38" s="45">
        <v>95.17</v>
      </c>
      <c r="U38" s="45"/>
      <c r="V38" s="45"/>
      <c r="W38" s="45"/>
      <c r="X38" s="45"/>
      <c r="Y38" s="45"/>
      <c r="Z38" s="51"/>
      <c r="AA38" s="53">
        <v>5</v>
      </c>
      <c r="AB38" s="45">
        <v>91.09</v>
      </c>
      <c r="AC38" s="45"/>
      <c r="AD38" s="45"/>
      <c r="AE38" s="45"/>
      <c r="AF38" s="45"/>
      <c r="AG38" s="45"/>
      <c r="AH38" s="51"/>
      <c r="AI38" s="53">
        <v>5</v>
      </c>
      <c r="AJ38" s="45">
        <v>91.76</v>
      </c>
      <c r="AK38" s="45"/>
      <c r="AL38" s="45"/>
      <c r="AM38" s="45"/>
      <c r="AN38" s="45"/>
      <c r="AO38" s="45"/>
      <c r="AP38" s="51"/>
    </row>
    <row r="39" spans="1:42" ht="21" customHeight="1" thickTop="1" thickBot="1" x14ac:dyDescent="0.35">
      <c r="A39" s="63"/>
      <c r="B39" s="78"/>
      <c r="C39" s="53">
        <v>6</v>
      </c>
      <c r="D39" s="45">
        <v>90.15</v>
      </c>
      <c r="E39" s="45"/>
      <c r="F39" s="45"/>
      <c r="G39" s="45"/>
      <c r="H39" s="45"/>
      <c r="I39" s="45"/>
      <c r="J39" s="51"/>
      <c r="K39" s="53">
        <v>6</v>
      </c>
      <c r="L39" s="45">
        <v>90.070000000000007</v>
      </c>
      <c r="M39" s="45"/>
      <c r="N39" s="45"/>
      <c r="O39" s="45"/>
      <c r="P39" s="45"/>
      <c r="Q39" s="45"/>
      <c r="R39" s="51"/>
      <c r="S39" s="53">
        <v>6</v>
      </c>
      <c r="T39" s="45">
        <v>93.830000000000013</v>
      </c>
      <c r="U39" s="45"/>
      <c r="V39" s="45"/>
      <c r="W39" s="45"/>
      <c r="X39" s="45"/>
      <c r="Y39" s="45"/>
      <c r="Z39" s="51"/>
      <c r="AA39" s="53">
        <v>6</v>
      </c>
      <c r="AB39" s="45">
        <v>93.11</v>
      </c>
      <c r="AC39" s="45"/>
      <c r="AD39" s="45"/>
      <c r="AE39" s="45"/>
      <c r="AF39" s="45"/>
      <c r="AG39" s="45"/>
      <c r="AH39" s="51"/>
      <c r="AI39" s="53">
        <v>6</v>
      </c>
      <c r="AJ39" s="45">
        <v>93.320000000000007</v>
      </c>
      <c r="AK39" s="45"/>
      <c r="AL39" s="45"/>
      <c r="AM39" s="45"/>
      <c r="AN39" s="45"/>
      <c r="AO39" s="45"/>
      <c r="AP39" s="51"/>
    </row>
    <row r="40" spans="1:42" ht="21" customHeight="1" thickTop="1" thickBot="1" x14ac:dyDescent="0.35">
      <c r="A40" s="63"/>
      <c r="B40" s="78"/>
      <c r="C40" s="53">
        <v>7</v>
      </c>
      <c r="D40" s="45">
        <v>89.42</v>
      </c>
      <c r="E40" s="45"/>
      <c r="F40" s="45"/>
      <c r="G40" s="45"/>
      <c r="H40" s="45"/>
      <c r="I40" s="45"/>
      <c r="J40" s="51"/>
      <c r="K40" s="53">
        <v>7</v>
      </c>
      <c r="L40" s="45">
        <v>90.840000000000018</v>
      </c>
      <c r="M40" s="45"/>
      <c r="N40" s="45"/>
      <c r="O40" s="45"/>
      <c r="P40" s="45"/>
      <c r="Q40" s="45"/>
      <c r="R40" s="51"/>
      <c r="S40" s="53">
        <v>7</v>
      </c>
      <c r="T40" s="45">
        <v>93.27000000000001</v>
      </c>
      <c r="U40" s="45"/>
      <c r="V40" s="45"/>
      <c r="W40" s="45"/>
      <c r="X40" s="45"/>
      <c r="Y40" s="45"/>
      <c r="Z40" s="51"/>
      <c r="AA40" s="53">
        <v>7</v>
      </c>
      <c r="AB40" s="45">
        <v>91.830000000000013</v>
      </c>
      <c r="AC40" s="45"/>
      <c r="AD40" s="45"/>
      <c r="AE40" s="45"/>
      <c r="AF40" s="45"/>
      <c r="AG40" s="45"/>
      <c r="AH40" s="51"/>
      <c r="AI40" s="53">
        <v>7</v>
      </c>
      <c r="AJ40" s="45">
        <v>92.75</v>
      </c>
      <c r="AK40" s="45"/>
      <c r="AL40" s="45"/>
      <c r="AM40" s="45"/>
      <c r="AN40" s="45"/>
      <c r="AO40" s="45"/>
      <c r="AP40" s="51"/>
    </row>
    <row r="41" spans="1:42" ht="21" customHeight="1" thickTop="1" thickBot="1" x14ac:dyDescent="0.35">
      <c r="A41" s="63"/>
      <c r="B41" s="78"/>
      <c r="C41" s="53">
        <v>8</v>
      </c>
      <c r="D41" s="45">
        <v>90.070000000000007</v>
      </c>
      <c r="E41" s="45"/>
      <c r="F41" s="45"/>
      <c r="G41" s="45"/>
      <c r="H41" s="45"/>
      <c r="I41" s="45"/>
      <c r="J41" s="51"/>
      <c r="K41" s="53">
        <v>8</v>
      </c>
      <c r="L41" s="45">
        <v>90.51</v>
      </c>
      <c r="M41" s="45"/>
      <c r="N41" s="45"/>
      <c r="O41" s="45"/>
      <c r="P41" s="45"/>
      <c r="Q41" s="45"/>
      <c r="R41" s="51"/>
      <c r="S41" s="53">
        <v>8</v>
      </c>
      <c r="T41" s="45">
        <v>93.4</v>
      </c>
      <c r="U41" s="45"/>
      <c r="V41" s="45"/>
      <c r="W41" s="45"/>
      <c r="X41" s="45"/>
      <c r="Y41" s="45"/>
      <c r="Z41" s="51"/>
      <c r="AA41" s="53">
        <v>8</v>
      </c>
      <c r="AB41" s="45">
        <v>92.2</v>
      </c>
      <c r="AC41" s="45"/>
      <c r="AD41" s="45"/>
      <c r="AE41" s="45"/>
      <c r="AF41" s="45"/>
      <c r="AG41" s="45"/>
      <c r="AH41" s="51"/>
      <c r="AI41" s="53">
        <v>8</v>
      </c>
      <c r="AJ41" s="45">
        <v>92.06</v>
      </c>
      <c r="AK41" s="45"/>
      <c r="AL41" s="45"/>
      <c r="AM41" s="45"/>
      <c r="AN41" s="45"/>
      <c r="AO41" s="45"/>
      <c r="AP41" s="51"/>
    </row>
    <row r="42" spans="1:42" ht="21" customHeight="1" thickTop="1" thickBot="1" x14ac:dyDescent="0.35">
      <c r="A42" s="63"/>
      <c r="B42" s="78"/>
      <c r="C42" s="53">
        <v>9</v>
      </c>
      <c r="D42" s="45">
        <v>90.070000000000007</v>
      </c>
      <c r="E42" s="45"/>
      <c r="F42" s="45"/>
      <c r="G42" s="45"/>
      <c r="H42" s="45"/>
      <c r="I42" s="45"/>
      <c r="J42" s="51"/>
      <c r="K42" s="53">
        <v>9</v>
      </c>
      <c r="L42" s="45">
        <v>90.070000000000007</v>
      </c>
      <c r="M42" s="45"/>
      <c r="N42" s="45"/>
      <c r="O42" s="45"/>
      <c r="P42" s="45"/>
      <c r="Q42" s="45"/>
      <c r="R42" s="51"/>
      <c r="S42" s="53">
        <v>9</v>
      </c>
      <c r="T42" s="45">
        <v>93.750000000000014</v>
      </c>
      <c r="U42" s="45"/>
      <c r="V42" s="45"/>
      <c r="W42" s="45"/>
      <c r="X42" s="45"/>
      <c r="Y42" s="45"/>
      <c r="Z42" s="51"/>
      <c r="AA42" s="53">
        <v>9</v>
      </c>
      <c r="AB42" s="45">
        <v>93.830000000000013</v>
      </c>
      <c r="AC42" s="45"/>
      <c r="AD42" s="45"/>
      <c r="AE42" s="45"/>
      <c r="AF42" s="45"/>
      <c r="AG42" s="45"/>
      <c r="AH42" s="51"/>
      <c r="AI42" s="53">
        <v>9</v>
      </c>
      <c r="AJ42" s="45">
        <v>93.220000000000013</v>
      </c>
      <c r="AK42" s="45"/>
      <c r="AL42" s="45"/>
      <c r="AM42" s="45"/>
      <c r="AN42" s="45"/>
      <c r="AO42" s="45"/>
      <c r="AP42" s="51"/>
    </row>
    <row r="43" spans="1:42" ht="21" customHeight="1" thickTop="1" thickBot="1" x14ac:dyDescent="0.35">
      <c r="A43" s="63"/>
      <c r="B43" s="78"/>
      <c r="C43" s="53">
        <v>10</v>
      </c>
      <c r="D43" s="45">
        <v>89.950000000000017</v>
      </c>
      <c r="E43" s="45"/>
      <c r="F43" s="45"/>
      <c r="G43" s="45"/>
      <c r="H43" s="45"/>
      <c r="I43" s="45"/>
      <c r="J43" s="51"/>
      <c r="K43" s="53">
        <v>10</v>
      </c>
      <c r="L43" s="45">
        <v>90.320000000000007</v>
      </c>
      <c r="M43" s="45"/>
      <c r="N43" s="45"/>
      <c r="O43" s="45"/>
      <c r="P43" s="45"/>
      <c r="Q43" s="45"/>
      <c r="R43" s="51"/>
      <c r="S43" s="53">
        <v>10</v>
      </c>
      <c r="T43" s="45">
        <v>92.04000000000002</v>
      </c>
      <c r="U43" s="45"/>
      <c r="V43" s="45"/>
      <c r="W43" s="45"/>
      <c r="X43" s="45"/>
      <c r="Y43" s="45"/>
      <c r="Z43" s="51"/>
      <c r="AA43" s="53">
        <v>10</v>
      </c>
      <c r="AB43" s="45">
        <v>91.970000000000013</v>
      </c>
      <c r="AC43" s="45"/>
      <c r="AD43" s="45"/>
      <c r="AE43" s="45"/>
      <c r="AF43" s="45"/>
      <c r="AG43" s="45"/>
      <c r="AH43" s="51"/>
      <c r="AI43" s="53">
        <v>10</v>
      </c>
      <c r="AJ43" s="45">
        <v>91.95</v>
      </c>
      <c r="AK43" s="45"/>
      <c r="AL43" s="45"/>
      <c r="AM43" s="45"/>
      <c r="AN43" s="45"/>
      <c r="AO43" s="45"/>
      <c r="AP43" s="51"/>
    </row>
    <row r="44" spans="1:42" ht="21" customHeight="1" thickTop="1" thickBot="1" x14ac:dyDescent="0.35">
      <c r="A44" s="63"/>
      <c r="B44" s="78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78"/>
      <c r="C45" s="54" t="s">
        <v>16</v>
      </c>
      <c r="D45" s="49">
        <f>MIN(D34:D43)</f>
        <v>88.25</v>
      </c>
      <c r="E45" s="45"/>
      <c r="F45" s="55" t="s">
        <v>17</v>
      </c>
      <c r="G45" s="49" t="s">
        <v>18</v>
      </c>
      <c r="H45" s="49" t="s">
        <v>19</v>
      </c>
      <c r="I45" s="45"/>
      <c r="J45" s="51"/>
      <c r="K45" s="54" t="s">
        <v>16</v>
      </c>
      <c r="L45" s="49">
        <f>MIN(L34:L43)</f>
        <v>89.52</v>
      </c>
      <c r="M45" s="45"/>
      <c r="N45" s="55" t="s">
        <v>17</v>
      </c>
      <c r="O45" s="49" t="s">
        <v>18</v>
      </c>
      <c r="P45" s="49" t="s">
        <v>19</v>
      </c>
      <c r="Q45" s="45"/>
      <c r="R45" s="51"/>
      <c r="S45" s="54" t="s">
        <v>16</v>
      </c>
      <c r="T45" s="49">
        <f>MIN(T34:T43)</f>
        <v>91.69</v>
      </c>
      <c r="U45" s="45"/>
      <c r="V45" s="55" t="s">
        <v>17</v>
      </c>
      <c r="W45" s="49" t="s">
        <v>18</v>
      </c>
      <c r="X45" s="49" t="s">
        <v>19</v>
      </c>
      <c r="Y45" s="45"/>
      <c r="Z45" s="51"/>
      <c r="AA45" s="54" t="s">
        <v>16</v>
      </c>
      <c r="AB45" s="49">
        <f>MIN(AB34:AB43)</f>
        <v>90.83</v>
      </c>
      <c r="AC45" s="45"/>
      <c r="AD45" s="55" t="s">
        <v>17</v>
      </c>
      <c r="AE45" s="49" t="s">
        <v>18</v>
      </c>
      <c r="AF45" s="49" t="s">
        <v>19</v>
      </c>
      <c r="AG45" s="45"/>
      <c r="AH45" s="51"/>
      <c r="AI45" s="54" t="s">
        <v>16</v>
      </c>
      <c r="AJ45" s="49">
        <f>MIN(AJ34:AJ43)</f>
        <v>91.76</v>
      </c>
      <c r="AK45" s="45"/>
      <c r="AL45" s="55" t="s">
        <v>17</v>
      </c>
      <c r="AM45" s="49" t="s">
        <v>18</v>
      </c>
      <c r="AN45" s="49" t="s">
        <v>19</v>
      </c>
      <c r="AO45" s="45"/>
      <c r="AP45" s="51"/>
    </row>
    <row r="46" spans="1:42" ht="21" customHeight="1" thickTop="1" thickBot="1" x14ac:dyDescent="0.35">
      <c r="A46" s="63"/>
      <c r="B46" s="78"/>
      <c r="C46" s="54" t="s">
        <v>20</v>
      </c>
      <c r="D46" s="48">
        <f>AVERAGE(D34:D43)</f>
        <v>89.585000000000008</v>
      </c>
      <c r="E46" s="47"/>
      <c r="F46" s="48">
        <f>_xlfn.STDEV.S(D34:D43) / AVERAGE(D34:D43) * 100%</f>
        <v>8.2282784133545454E-3</v>
      </c>
      <c r="G46" s="48">
        <f t="array" ref="G46">MIN((D34:D43 - MIN(D34:D43,L34:L43,T34:T43,AB34:AB43,AJ34:AJ43))/MIN(D34:D43,L34:L43,T34:T43,AB34:AB43,AJ34:AJ43)*100%)</f>
        <v>0</v>
      </c>
      <c r="H46" s="48">
        <f t="array" ref="H46">AVERAGE((D34:D43 - MIN(D34:D43,L34:L43,T34:T43,AB34:AB43,AJ34:AJ43))/MIN(D34:D43,L34:L43,T34:T43,AB34:AB43,AJ34:AJ43)*100%)</f>
        <v>1.5127478753541149E-2</v>
      </c>
      <c r="I46" s="45"/>
      <c r="J46" s="51"/>
      <c r="K46" s="54" t="s">
        <v>20</v>
      </c>
      <c r="L46" s="48">
        <f>AVERAGE(L34:L43)</f>
        <v>90.247000000000014</v>
      </c>
      <c r="M46" s="47"/>
      <c r="N46" s="48">
        <f>_xlfn.STDEV.S(L34:L43) / AVERAGE(L34:L43) * 100%</f>
        <v>3.9866746804021521E-3</v>
      </c>
      <c r="O46" s="48">
        <f t="array" ref="O46">MIN((L34:L43 - MIN(D34:D43,L34:L43,T34:T43,AB34:AB43,AJ34:AJ43))/MIN(D34:D43,L34:L43,T34:T43,AB34:AB43,AJ34:AJ43)*100%)</f>
        <v>1.439093484419259E-2</v>
      </c>
      <c r="P46" s="48">
        <f t="array" ref="P46">AVERAGE((L34:L43 - MIN(D34:D43,L34:L43,T34:T43,AB34:AB43,AJ34:AJ43))/MIN(D34:D43,L34:L43,T34:T43,AB34:AB43,AJ34:AJ43)*100%)</f>
        <v>2.2628895184136022E-2</v>
      </c>
      <c r="Q46" s="44"/>
      <c r="R46" s="51"/>
      <c r="S46" s="54" t="s">
        <v>20</v>
      </c>
      <c r="T46" s="48">
        <f>AVERAGE(T34:T43)</f>
        <v>93.176999999999992</v>
      </c>
      <c r="U46" s="47"/>
      <c r="V46" s="48">
        <f>_xlfn.STDEV.S(T34:T43) / AVERAGE(T34:T43) * 100%</f>
        <v>1.1999999192458524E-2</v>
      </c>
      <c r="W46" s="48">
        <f t="array" ref="W46">MIN((T34:T43 - MIN(D34:D43,L34:L43,T34:T43,AB34:AB43,AJ34:AJ43))/MIN(D34:D43,L34:L43,T34:T43,AB34:AB43,AJ34:AJ43)*100%)</f>
        <v>3.8980169971671363E-2</v>
      </c>
      <c r="X46" s="48">
        <f t="array" ref="X46">AVERAGE((T34:T43 - MIN(D34:D43,L34:L43,T34:T43,AB34:AB43,AJ34:AJ43))/MIN(D34:D43,L34:L43,T34:T43,AB34:AB43,AJ34:AJ43)*100%)</f>
        <v>5.5830028328612002E-2</v>
      </c>
      <c r="Y46" s="44"/>
      <c r="Z46" s="51"/>
      <c r="AA46" s="54" t="s">
        <v>20</v>
      </c>
      <c r="AB46" s="48">
        <f>AVERAGE(AB34:AB43)</f>
        <v>92.533000000000015</v>
      </c>
      <c r="AC46" s="47"/>
      <c r="AD46" s="48">
        <f>_xlfn.STDEV.S(AB34:AB43) / AVERAGE(AB34:AB43) * 100%</f>
        <v>1.3602179891519585E-2</v>
      </c>
      <c r="AE46" s="48">
        <f t="array" ref="AE46">MIN((AB34:AB43 - MIN(D34:D43,L34:L43,T34:T43,AB34:AB43,AJ34:AJ43))/MIN(D34:D43,L34:L43,T34:T43,AB34:AB43,AJ34:AJ43)*100%)</f>
        <v>2.9235127478753523E-2</v>
      </c>
      <c r="AF46" s="48">
        <f t="array" ref="AF46">AVERAGE((AB34:AB43 - MIN(D34:D43,L34:L43,T34:T43,AB34:AB43,AJ34:AJ43))/MIN(D34:D43,L34:L43,T34:T43,AB34:AB43,AJ34:AJ43)*100%)</f>
        <v>4.8532577903682796E-2</v>
      </c>
      <c r="AG46" s="44"/>
      <c r="AH46" s="51"/>
      <c r="AI46" s="54" t="s">
        <v>20</v>
      </c>
      <c r="AJ46" s="48">
        <f>AVERAGE(AJ34:AJ43)</f>
        <v>92.628000000000014</v>
      </c>
      <c r="AK46" s="47"/>
      <c r="AL46" s="48">
        <f>_xlfn.STDEV.S(AJ34:AJ43) / AVERAGE(AJ34:AJ43) * 100%</f>
        <v>7.7621574808049848E-3</v>
      </c>
      <c r="AM46" s="48">
        <f t="array" ref="AM46">MIN((AJ34:AJ43 - MIN(D34:D43,L34:L43,T34:T43,AB34:AB43,AJ34:AJ43))/MIN(D34:D43,L34:L43,T34:T43,AB34:AB43,AJ34:AJ43)*100%)</f>
        <v>3.9773371104815922E-2</v>
      </c>
      <c r="AN46" s="48">
        <f t="array" ref="AN46">AVERAGE((AJ34:AJ43 - MIN(D34:D43,L34:L43,T34:T43,AB34:AB43,AJ34:AJ43))/MIN(D34:D43,L34:L43,T34:T43,AB34:AB43,AJ34:AJ43)*100%)</f>
        <v>4.9609065155807416E-2</v>
      </c>
      <c r="AO46" s="44"/>
      <c r="AP46" s="51"/>
    </row>
    <row r="47" spans="1:42" ht="21" customHeight="1" thickTop="1" thickBot="1" x14ac:dyDescent="0.35">
      <c r="A47" s="63"/>
      <c r="B47" s="79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3"/>
      <c r="B48" s="77" t="s">
        <v>29</v>
      </c>
      <c r="C48" s="59" t="s">
        <v>8</v>
      </c>
      <c r="D48" s="46" t="s">
        <v>9</v>
      </c>
      <c r="E48" s="46" t="s">
        <v>10</v>
      </c>
      <c r="F48" s="46" t="s">
        <v>11</v>
      </c>
      <c r="G48" s="46" t="s">
        <v>12</v>
      </c>
      <c r="H48" s="46" t="s">
        <v>13</v>
      </c>
      <c r="I48" s="46" t="s">
        <v>14</v>
      </c>
      <c r="J48" s="60" t="s">
        <v>15</v>
      </c>
      <c r="K48" s="59" t="s">
        <v>8</v>
      </c>
      <c r="L48" s="46" t="s">
        <v>9</v>
      </c>
      <c r="M48" s="46" t="s">
        <v>10</v>
      </c>
      <c r="N48" s="46" t="s">
        <v>11</v>
      </c>
      <c r="O48" s="46" t="s">
        <v>12</v>
      </c>
      <c r="P48" s="46" t="s">
        <v>13</v>
      </c>
      <c r="Q48" s="46" t="s">
        <v>14</v>
      </c>
      <c r="R48" s="60" t="s">
        <v>15</v>
      </c>
      <c r="S48" s="59" t="s">
        <v>8</v>
      </c>
      <c r="T48" s="46" t="s">
        <v>9</v>
      </c>
      <c r="U48" s="46" t="s">
        <v>10</v>
      </c>
      <c r="V48" s="46" t="s">
        <v>11</v>
      </c>
      <c r="W48" s="46" t="s">
        <v>12</v>
      </c>
      <c r="X48" s="46" t="s">
        <v>13</v>
      </c>
      <c r="Y48" s="46" t="s">
        <v>14</v>
      </c>
      <c r="Z48" s="60" t="s">
        <v>15</v>
      </c>
      <c r="AA48" s="59" t="s">
        <v>8</v>
      </c>
      <c r="AB48" s="46" t="s">
        <v>9</v>
      </c>
      <c r="AC48" s="46" t="s">
        <v>10</v>
      </c>
      <c r="AD48" s="46" t="s">
        <v>11</v>
      </c>
      <c r="AE48" s="46" t="s">
        <v>12</v>
      </c>
      <c r="AF48" s="46" t="s">
        <v>13</v>
      </c>
      <c r="AG48" s="46" t="s">
        <v>14</v>
      </c>
      <c r="AH48" s="60" t="s">
        <v>15</v>
      </c>
      <c r="AI48" s="59" t="s">
        <v>8</v>
      </c>
      <c r="AJ48" s="46" t="s">
        <v>9</v>
      </c>
      <c r="AK48" s="46" t="s">
        <v>10</v>
      </c>
      <c r="AL48" s="46" t="s">
        <v>11</v>
      </c>
      <c r="AM48" s="46" t="s">
        <v>12</v>
      </c>
      <c r="AN48" s="46" t="s">
        <v>13</v>
      </c>
      <c r="AO48" s="46" t="s">
        <v>14</v>
      </c>
      <c r="AP48" s="60" t="s">
        <v>15</v>
      </c>
    </row>
    <row r="49" spans="1:42" ht="21" customHeight="1" thickTop="1" thickBot="1" x14ac:dyDescent="0.35">
      <c r="A49" s="63"/>
      <c r="B49" s="78"/>
      <c r="C49" s="52">
        <v>1</v>
      </c>
      <c r="D49" s="44">
        <v>115.28</v>
      </c>
      <c r="E49" s="44"/>
      <c r="F49" s="44"/>
      <c r="G49" s="44"/>
      <c r="H49" s="44"/>
      <c r="I49" s="44"/>
      <c r="J49" s="51"/>
      <c r="K49" s="52">
        <v>1</v>
      </c>
      <c r="L49" s="44">
        <v>115.31</v>
      </c>
      <c r="M49" s="44"/>
      <c r="N49" s="44"/>
      <c r="O49" s="44"/>
      <c r="P49" s="44"/>
      <c r="Q49" s="44"/>
      <c r="R49" s="51"/>
      <c r="S49" s="52">
        <v>1</v>
      </c>
      <c r="T49" s="44">
        <v>117.45</v>
      </c>
      <c r="U49" s="44"/>
      <c r="V49" s="44"/>
      <c r="W49" s="44"/>
      <c r="X49" s="44"/>
      <c r="Y49" s="44"/>
      <c r="Z49" s="51"/>
      <c r="AA49" s="52">
        <v>1</v>
      </c>
      <c r="AB49" s="44">
        <v>117.05</v>
      </c>
      <c r="AC49" s="44"/>
      <c r="AD49" s="44"/>
      <c r="AE49" s="44"/>
      <c r="AF49" s="44"/>
      <c r="AG49" s="44"/>
      <c r="AH49" s="51"/>
      <c r="AI49" s="52">
        <v>1</v>
      </c>
      <c r="AJ49" s="44">
        <v>116.65</v>
      </c>
      <c r="AK49" s="44"/>
      <c r="AL49" s="44"/>
      <c r="AM49" s="44"/>
      <c r="AN49" s="44"/>
      <c r="AO49" s="44"/>
      <c r="AP49" s="51"/>
    </row>
    <row r="50" spans="1:42" ht="21" customHeight="1" thickTop="1" thickBot="1" x14ac:dyDescent="0.35">
      <c r="A50" s="63"/>
      <c r="B50" s="78"/>
      <c r="C50" s="53">
        <v>2</v>
      </c>
      <c r="D50" s="45">
        <v>114.63</v>
      </c>
      <c r="E50" s="45"/>
      <c r="F50" s="45"/>
      <c r="G50" s="45"/>
      <c r="H50" s="45"/>
      <c r="I50" s="45"/>
      <c r="J50" s="51"/>
      <c r="K50" s="53">
        <v>2</v>
      </c>
      <c r="L50" s="45">
        <v>115.15</v>
      </c>
      <c r="M50" s="45"/>
      <c r="N50" s="45"/>
      <c r="O50" s="45"/>
      <c r="P50" s="45"/>
      <c r="Q50" s="45"/>
      <c r="R50" s="51"/>
      <c r="S50" s="53">
        <v>2</v>
      </c>
      <c r="T50" s="45">
        <v>115.08</v>
      </c>
      <c r="U50" s="45"/>
      <c r="V50" s="45"/>
      <c r="W50" s="45"/>
      <c r="X50" s="45"/>
      <c r="Y50" s="45"/>
      <c r="Z50" s="51"/>
      <c r="AA50" s="53">
        <v>2</v>
      </c>
      <c r="AB50" s="45">
        <v>117.24</v>
      </c>
      <c r="AC50" s="45"/>
      <c r="AD50" s="45"/>
      <c r="AE50" s="45"/>
      <c r="AF50" s="45"/>
      <c r="AG50" s="45"/>
      <c r="AH50" s="51"/>
      <c r="AI50" s="53">
        <v>2</v>
      </c>
      <c r="AJ50" s="45">
        <v>116.4</v>
      </c>
      <c r="AK50" s="45"/>
      <c r="AL50" s="45"/>
      <c r="AM50" s="45"/>
      <c r="AN50" s="45"/>
      <c r="AO50" s="45"/>
      <c r="AP50" s="51"/>
    </row>
    <row r="51" spans="1:42" ht="21" customHeight="1" thickTop="1" thickBot="1" x14ac:dyDescent="0.35">
      <c r="A51" s="63"/>
      <c r="B51" s="78"/>
      <c r="C51" s="53">
        <v>3</v>
      </c>
      <c r="D51" s="45">
        <v>114.01</v>
      </c>
      <c r="E51" s="45"/>
      <c r="F51" s="45"/>
      <c r="G51" s="44"/>
      <c r="H51" s="44"/>
      <c r="I51" s="44"/>
      <c r="J51" s="51"/>
      <c r="K51" s="53">
        <v>3</v>
      </c>
      <c r="L51" s="45">
        <v>115.14</v>
      </c>
      <c r="M51" s="45"/>
      <c r="N51" s="45"/>
      <c r="O51" s="44"/>
      <c r="P51" s="44"/>
      <c r="Q51" s="44"/>
      <c r="R51" s="51"/>
      <c r="S51" s="53">
        <v>3</v>
      </c>
      <c r="T51" s="45">
        <v>119.21</v>
      </c>
      <c r="U51" s="45"/>
      <c r="V51" s="45"/>
      <c r="W51" s="44"/>
      <c r="X51" s="44"/>
      <c r="Y51" s="44"/>
      <c r="Z51" s="51"/>
      <c r="AA51" s="53">
        <v>3</v>
      </c>
      <c r="AB51" s="45">
        <v>115.08</v>
      </c>
      <c r="AC51" s="45"/>
      <c r="AD51" s="45"/>
      <c r="AE51" s="44"/>
      <c r="AF51" s="44"/>
      <c r="AG51" s="44"/>
      <c r="AH51" s="51"/>
      <c r="AI51" s="53">
        <v>3</v>
      </c>
      <c r="AJ51" s="45">
        <v>115.52</v>
      </c>
      <c r="AK51" s="45"/>
      <c r="AL51" s="45"/>
      <c r="AM51" s="44"/>
      <c r="AN51" s="44"/>
      <c r="AO51" s="44"/>
      <c r="AP51" s="51"/>
    </row>
    <row r="52" spans="1:42" ht="21" customHeight="1" thickTop="1" thickBot="1" x14ac:dyDescent="0.35">
      <c r="A52" s="63"/>
      <c r="B52" s="78"/>
      <c r="C52" s="53">
        <v>4</v>
      </c>
      <c r="D52" s="45">
        <v>114.79</v>
      </c>
      <c r="E52" s="45"/>
      <c r="F52" s="45"/>
      <c r="G52" s="45"/>
      <c r="H52" s="45"/>
      <c r="I52" s="45"/>
      <c r="J52" s="51"/>
      <c r="K52" s="53">
        <v>4</v>
      </c>
      <c r="L52" s="45">
        <v>115.69</v>
      </c>
      <c r="M52" s="45"/>
      <c r="N52" s="45"/>
      <c r="O52" s="45"/>
      <c r="P52" s="45"/>
      <c r="Q52" s="45"/>
      <c r="R52" s="51"/>
      <c r="S52" s="53">
        <v>4</v>
      </c>
      <c r="T52" s="45">
        <v>115.43</v>
      </c>
      <c r="U52" s="45"/>
      <c r="V52" s="45"/>
      <c r="W52" s="45"/>
      <c r="X52" s="45"/>
      <c r="Y52" s="45"/>
      <c r="Z52" s="51"/>
      <c r="AA52" s="53">
        <v>4</v>
      </c>
      <c r="AB52" s="45">
        <v>116.17</v>
      </c>
      <c r="AC52" s="45"/>
      <c r="AD52" s="45"/>
      <c r="AE52" s="45"/>
      <c r="AF52" s="45"/>
      <c r="AG52" s="45"/>
      <c r="AH52" s="51"/>
      <c r="AI52" s="53">
        <v>4</v>
      </c>
      <c r="AJ52" s="45">
        <v>114.7</v>
      </c>
      <c r="AK52" s="45"/>
      <c r="AL52" s="45"/>
      <c r="AM52" s="45"/>
      <c r="AN52" s="45"/>
      <c r="AO52" s="45"/>
      <c r="AP52" s="51"/>
    </row>
    <row r="53" spans="1:42" ht="21" customHeight="1" thickTop="1" thickBot="1" x14ac:dyDescent="0.35">
      <c r="A53" s="63"/>
      <c r="B53" s="78"/>
      <c r="C53" s="53">
        <v>5</v>
      </c>
      <c r="D53" s="45">
        <v>114.62</v>
      </c>
      <c r="E53" s="45"/>
      <c r="F53" s="45"/>
      <c r="G53" s="45"/>
      <c r="H53" s="45"/>
      <c r="I53" s="45"/>
      <c r="J53" s="51"/>
      <c r="K53" s="53">
        <v>5</v>
      </c>
      <c r="L53" s="45">
        <v>115.97</v>
      </c>
      <c r="M53" s="45"/>
      <c r="N53" s="45"/>
      <c r="O53" s="45"/>
      <c r="P53" s="45"/>
      <c r="Q53" s="45"/>
      <c r="R53" s="51"/>
      <c r="S53" s="53">
        <v>5</v>
      </c>
      <c r="T53" s="45">
        <v>117.17</v>
      </c>
      <c r="U53" s="45"/>
      <c r="V53" s="45"/>
      <c r="W53" s="45"/>
      <c r="X53" s="45"/>
      <c r="Y53" s="45"/>
      <c r="Z53" s="51"/>
      <c r="AA53" s="53">
        <v>5</v>
      </c>
      <c r="AB53" s="45">
        <v>117.54</v>
      </c>
      <c r="AC53" s="45"/>
      <c r="AD53" s="45"/>
      <c r="AE53" s="45"/>
      <c r="AF53" s="45"/>
      <c r="AG53" s="45"/>
      <c r="AH53" s="51"/>
      <c r="AI53" s="53">
        <v>5</v>
      </c>
      <c r="AJ53" s="45">
        <v>115.06</v>
      </c>
      <c r="AK53" s="45"/>
      <c r="AL53" s="45"/>
      <c r="AM53" s="45"/>
      <c r="AN53" s="45"/>
      <c r="AO53" s="45"/>
      <c r="AP53" s="51"/>
    </row>
    <row r="54" spans="1:42" ht="21" customHeight="1" thickTop="1" thickBot="1" x14ac:dyDescent="0.35">
      <c r="A54" s="63"/>
      <c r="B54" s="78"/>
      <c r="C54" s="53">
        <v>6</v>
      </c>
      <c r="D54" s="45">
        <v>112.66</v>
      </c>
      <c r="E54" s="45"/>
      <c r="F54" s="45"/>
      <c r="G54" s="45"/>
      <c r="H54" s="45"/>
      <c r="I54" s="45"/>
      <c r="J54" s="51"/>
      <c r="K54" s="53">
        <v>6</v>
      </c>
      <c r="L54" s="45">
        <v>116.21</v>
      </c>
      <c r="M54" s="45"/>
      <c r="N54" s="45"/>
      <c r="O54" s="45"/>
      <c r="P54" s="45"/>
      <c r="Q54" s="45"/>
      <c r="R54" s="51"/>
      <c r="S54" s="53">
        <v>6</v>
      </c>
      <c r="T54" s="45">
        <v>117.54</v>
      </c>
      <c r="U54" s="45"/>
      <c r="V54" s="45"/>
      <c r="W54" s="45"/>
      <c r="X54" s="45"/>
      <c r="Y54" s="45"/>
      <c r="Z54" s="51"/>
      <c r="AA54" s="53">
        <v>6</v>
      </c>
      <c r="AB54" s="45">
        <v>117.73</v>
      </c>
      <c r="AC54" s="45"/>
      <c r="AD54" s="45"/>
      <c r="AE54" s="45"/>
      <c r="AF54" s="45"/>
      <c r="AG54" s="45"/>
      <c r="AH54" s="51"/>
      <c r="AI54" s="53">
        <v>6</v>
      </c>
      <c r="AJ54" s="45">
        <v>115.57</v>
      </c>
      <c r="AK54" s="45"/>
      <c r="AL54" s="45"/>
      <c r="AM54" s="45"/>
      <c r="AN54" s="45"/>
      <c r="AO54" s="45"/>
      <c r="AP54" s="51"/>
    </row>
    <row r="55" spans="1:42" ht="21" customHeight="1" thickTop="1" thickBot="1" x14ac:dyDescent="0.35">
      <c r="A55" s="63"/>
      <c r="B55" s="78"/>
      <c r="C55" s="53">
        <v>7</v>
      </c>
      <c r="D55" s="45">
        <v>115.6</v>
      </c>
      <c r="E55" s="45"/>
      <c r="F55" s="45"/>
      <c r="G55" s="45"/>
      <c r="H55" s="45"/>
      <c r="I55" s="45"/>
      <c r="J55" s="51"/>
      <c r="K55" s="53">
        <v>7</v>
      </c>
      <c r="L55" s="45">
        <v>114.62</v>
      </c>
      <c r="M55" s="45"/>
      <c r="N55" s="45"/>
      <c r="O55" s="45"/>
      <c r="P55" s="45"/>
      <c r="Q55" s="45"/>
      <c r="R55" s="51"/>
      <c r="S55" s="53">
        <v>7</v>
      </c>
      <c r="T55" s="45">
        <v>114.85</v>
      </c>
      <c r="U55" s="45"/>
      <c r="V55" s="45"/>
      <c r="W55" s="45"/>
      <c r="X55" s="45"/>
      <c r="Y55" s="45"/>
      <c r="Z55" s="51"/>
      <c r="AA55" s="53">
        <v>7</v>
      </c>
      <c r="AB55" s="45">
        <v>115.38</v>
      </c>
      <c r="AC55" s="45"/>
      <c r="AD55" s="45"/>
      <c r="AE55" s="45"/>
      <c r="AF55" s="45"/>
      <c r="AG55" s="45"/>
      <c r="AH55" s="51"/>
      <c r="AI55" s="53">
        <v>7</v>
      </c>
      <c r="AJ55" s="45">
        <v>115.31</v>
      </c>
      <c r="AK55" s="45"/>
      <c r="AL55" s="45"/>
      <c r="AM55" s="45"/>
      <c r="AN55" s="45"/>
      <c r="AO55" s="45"/>
      <c r="AP55" s="51"/>
    </row>
    <row r="56" spans="1:42" ht="21" customHeight="1" thickTop="1" thickBot="1" x14ac:dyDescent="0.35">
      <c r="A56" s="63"/>
      <c r="B56" s="78"/>
      <c r="C56" s="53">
        <v>8</v>
      </c>
      <c r="D56" s="45">
        <v>113.75</v>
      </c>
      <c r="E56" s="45"/>
      <c r="F56" s="45"/>
      <c r="G56" s="45"/>
      <c r="H56" s="45"/>
      <c r="I56" s="45"/>
      <c r="J56" s="51"/>
      <c r="K56" s="53">
        <v>8</v>
      </c>
      <c r="L56" s="45">
        <v>115.09</v>
      </c>
      <c r="M56" s="45"/>
      <c r="N56" s="45"/>
      <c r="O56" s="45"/>
      <c r="P56" s="45"/>
      <c r="Q56" s="45"/>
      <c r="R56" s="51"/>
      <c r="S56" s="53">
        <v>8</v>
      </c>
      <c r="T56" s="45">
        <v>118.02</v>
      </c>
      <c r="U56" s="45"/>
      <c r="V56" s="45"/>
      <c r="W56" s="45"/>
      <c r="X56" s="45"/>
      <c r="Y56" s="45"/>
      <c r="Z56" s="51"/>
      <c r="AA56" s="53">
        <v>8</v>
      </c>
      <c r="AB56" s="45">
        <v>115.16</v>
      </c>
      <c r="AC56" s="45"/>
      <c r="AD56" s="45"/>
      <c r="AE56" s="45"/>
      <c r="AF56" s="45"/>
      <c r="AG56" s="45"/>
      <c r="AH56" s="51"/>
      <c r="AI56" s="53">
        <v>8</v>
      </c>
      <c r="AJ56" s="45">
        <v>116.69</v>
      </c>
      <c r="AK56" s="45"/>
      <c r="AL56" s="45"/>
      <c r="AM56" s="45"/>
      <c r="AN56" s="45"/>
      <c r="AO56" s="45"/>
      <c r="AP56" s="51"/>
    </row>
    <row r="57" spans="1:42" ht="21" customHeight="1" thickTop="1" thickBot="1" x14ac:dyDescent="0.35">
      <c r="A57" s="63"/>
      <c r="B57" s="78"/>
      <c r="C57" s="53">
        <v>9</v>
      </c>
      <c r="D57" s="45">
        <v>113.99</v>
      </c>
      <c r="E57" s="45"/>
      <c r="F57" s="45"/>
      <c r="G57" s="45"/>
      <c r="H57" s="45"/>
      <c r="I57" s="45"/>
      <c r="J57" s="51"/>
      <c r="K57" s="53">
        <v>9</v>
      </c>
      <c r="L57" s="45">
        <v>114.28</v>
      </c>
      <c r="M57" s="45"/>
      <c r="N57" s="45"/>
      <c r="O57" s="45"/>
      <c r="P57" s="45"/>
      <c r="Q57" s="45"/>
      <c r="R57" s="51"/>
      <c r="S57" s="53">
        <v>9</v>
      </c>
      <c r="T57" s="45">
        <v>115.19</v>
      </c>
      <c r="U57" s="45"/>
      <c r="V57" s="45"/>
      <c r="W57" s="45"/>
      <c r="X57" s="45"/>
      <c r="Y57" s="45"/>
      <c r="Z57" s="51"/>
      <c r="AA57" s="53">
        <v>9</v>
      </c>
      <c r="AB57" s="45">
        <v>115.51</v>
      </c>
      <c r="AC57" s="45"/>
      <c r="AD57" s="45"/>
      <c r="AE57" s="45"/>
      <c r="AF57" s="45"/>
      <c r="AG57" s="45"/>
      <c r="AH57" s="51"/>
      <c r="AI57" s="53">
        <v>9</v>
      </c>
      <c r="AJ57" s="45">
        <v>116.57</v>
      </c>
      <c r="AK57" s="45"/>
      <c r="AL57" s="45"/>
      <c r="AM57" s="45"/>
      <c r="AN57" s="45"/>
      <c r="AO57" s="45"/>
      <c r="AP57" s="51"/>
    </row>
    <row r="58" spans="1:42" ht="21" customHeight="1" thickTop="1" thickBot="1" x14ac:dyDescent="0.35">
      <c r="A58" s="63"/>
      <c r="B58" s="78"/>
      <c r="C58" s="53">
        <v>10</v>
      </c>
      <c r="D58" s="45">
        <v>115.14</v>
      </c>
      <c r="E58" s="45"/>
      <c r="F58" s="45"/>
      <c r="G58" s="45"/>
      <c r="H58" s="45"/>
      <c r="I58" s="45"/>
      <c r="J58" s="51"/>
      <c r="K58" s="53">
        <v>10</v>
      </c>
      <c r="L58" s="45">
        <v>116.38</v>
      </c>
      <c r="M58" s="45"/>
      <c r="N58" s="45"/>
      <c r="O58" s="45"/>
      <c r="P58" s="45"/>
      <c r="Q58" s="45"/>
      <c r="R58" s="51"/>
      <c r="S58" s="53">
        <v>10</v>
      </c>
      <c r="T58" s="45">
        <v>117.54</v>
      </c>
      <c r="U58" s="45"/>
      <c r="V58" s="45"/>
      <c r="W58" s="45"/>
      <c r="X58" s="45"/>
      <c r="Y58" s="45"/>
      <c r="Z58" s="51"/>
      <c r="AA58" s="53">
        <v>10</v>
      </c>
      <c r="AB58" s="45">
        <v>117.58</v>
      </c>
      <c r="AC58" s="45"/>
      <c r="AD58" s="45"/>
      <c r="AE58" s="45"/>
      <c r="AF58" s="45"/>
      <c r="AG58" s="45"/>
      <c r="AH58" s="51"/>
      <c r="AI58" s="53">
        <v>10</v>
      </c>
      <c r="AJ58" s="45">
        <v>116.89</v>
      </c>
      <c r="AK58" s="45"/>
      <c r="AL58" s="45"/>
      <c r="AM58" s="45"/>
      <c r="AN58" s="45"/>
      <c r="AO58" s="45"/>
      <c r="AP58" s="51"/>
    </row>
    <row r="59" spans="1:42" ht="21" customHeight="1" thickTop="1" thickBot="1" x14ac:dyDescent="0.35">
      <c r="A59" s="63"/>
      <c r="B59" s="78"/>
      <c r="C59" s="53"/>
      <c r="D59" s="45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78"/>
      <c r="C60" s="54" t="s">
        <v>16</v>
      </c>
      <c r="D60" s="49">
        <f>MIN(D49:D58)</f>
        <v>112.66</v>
      </c>
      <c r="E60" s="45"/>
      <c r="F60" s="55" t="s">
        <v>17</v>
      </c>
      <c r="G60" s="49" t="s">
        <v>18</v>
      </c>
      <c r="H60" s="49" t="s">
        <v>19</v>
      </c>
      <c r="I60" s="45"/>
      <c r="J60" s="51"/>
      <c r="K60" s="54" t="s">
        <v>16</v>
      </c>
      <c r="L60" s="49">
        <f>MIN(L49:L58)</f>
        <v>114.28</v>
      </c>
      <c r="M60" s="45"/>
      <c r="N60" s="55" t="s">
        <v>17</v>
      </c>
      <c r="O60" s="49" t="s">
        <v>18</v>
      </c>
      <c r="P60" s="49" t="s">
        <v>19</v>
      </c>
      <c r="Q60" s="45"/>
      <c r="R60" s="51"/>
      <c r="S60" s="54" t="s">
        <v>16</v>
      </c>
      <c r="T60" s="49">
        <f>MIN(T49:T58)</f>
        <v>114.85</v>
      </c>
      <c r="U60" s="45"/>
      <c r="V60" s="55" t="s">
        <v>17</v>
      </c>
      <c r="W60" s="49" t="s">
        <v>18</v>
      </c>
      <c r="X60" s="49" t="s">
        <v>19</v>
      </c>
      <c r="Y60" s="45"/>
      <c r="Z60" s="51"/>
      <c r="AA60" s="54" t="s">
        <v>16</v>
      </c>
      <c r="AB60" s="49">
        <f>MIN(AB49:AB58)</f>
        <v>115.08</v>
      </c>
      <c r="AC60" s="45"/>
      <c r="AD60" s="55" t="s">
        <v>17</v>
      </c>
      <c r="AE60" s="49" t="s">
        <v>18</v>
      </c>
      <c r="AF60" s="49" t="s">
        <v>19</v>
      </c>
      <c r="AG60" s="45"/>
      <c r="AH60" s="51"/>
      <c r="AI60" s="54" t="s">
        <v>16</v>
      </c>
      <c r="AJ60" s="49">
        <f>MIN(AJ49:AJ58)</f>
        <v>114.7</v>
      </c>
      <c r="AK60" s="45"/>
      <c r="AL60" s="55" t="s">
        <v>17</v>
      </c>
      <c r="AM60" s="49" t="s">
        <v>18</v>
      </c>
      <c r="AN60" s="49" t="s">
        <v>19</v>
      </c>
      <c r="AO60" s="45"/>
      <c r="AP60" s="51"/>
    </row>
    <row r="61" spans="1:42" ht="21" customHeight="1" thickTop="1" thickBot="1" x14ac:dyDescent="0.35">
      <c r="A61" s="63"/>
      <c r="B61" s="78"/>
      <c r="C61" s="54" t="s">
        <v>20</v>
      </c>
      <c r="D61" s="48">
        <f>AVERAGE(D49:D58)</f>
        <v>114.447</v>
      </c>
      <c r="E61" s="47"/>
      <c r="F61" s="48">
        <f>_xlfn.STDEV.S(D49:D58) / AVERAGE(D49:D58) * 100%</f>
        <v>7.5746681523909346E-3</v>
      </c>
      <c r="G61" s="48">
        <f t="array" ref="G61">MIN((D49:D58 - MIN(D49:D58,L49:L58,T49:T58,AB49:AB58,AJ49:AJ58))/MIN(D49:D58,L49:L58,T49:T58,AB49:AB58,AJ49:AJ58)*100%)</f>
        <v>0</v>
      </c>
      <c r="H61" s="48">
        <f t="array" ref="H61">AVERAGE((D49:D58 - MIN(D49:D58,L49:L58,T49:T58,AB49:AB58,AJ49:AJ58))/MIN(D49:D58,L49:L58,T49:T58,AB49:AB58,AJ49:AJ58)*100%)</f>
        <v>1.5861885318657939E-2</v>
      </c>
      <c r="I61" s="45"/>
      <c r="J61" s="51"/>
      <c r="K61" s="54" t="s">
        <v>20</v>
      </c>
      <c r="L61" s="48">
        <f>AVERAGE(L49:L58)</f>
        <v>115.38400000000001</v>
      </c>
      <c r="M61" s="47"/>
      <c r="N61" s="48">
        <f>_xlfn.STDEV.S(L49:L58) / AVERAGE(L49:L58) * 100%</f>
        <v>5.8638637543255582E-3</v>
      </c>
      <c r="O61" s="48">
        <f t="array" ref="O61">MIN((L49:L58 - MIN(D49:D58,L49:L58,T49:T58,AB49:AB58,AJ49:AJ58))/MIN(D49:D58,L49:L58,T49:T58,AB49:AB58,AJ49:AJ58)*100%)</f>
        <v>1.4379549085744759E-2</v>
      </c>
      <c r="P61" s="48">
        <f t="array" ref="P61">AVERAGE((L49:L58 - MIN(D49:D58,L49:L58,T49:T58,AB49:AB58,AJ49:AJ58))/MIN(D49:D58,L49:L58,T49:T58,AB49:AB58,AJ49:AJ58)*100%)</f>
        <v>2.4178945499733744E-2</v>
      </c>
      <c r="Q61" s="44"/>
      <c r="R61" s="51"/>
      <c r="S61" s="54" t="s">
        <v>20</v>
      </c>
      <c r="T61" s="48">
        <f>AVERAGE(T49:T58)</f>
        <v>116.748</v>
      </c>
      <c r="U61" s="47"/>
      <c r="V61" s="48">
        <f>_xlfn.STDEV.S(T49:T58) / AVERAGE(T49:T58) * 100%</f>
        <v>1.2817681976803417E-2</v>
      </c>
      <c r="W61" s="48">
        <f t="array" ref="W61">MIN((T49:T58 - MIN(D49:D58,L49:L58,T49:T58,AB49:AB58,AJ49:AJ58))/MIN(D49:D58,L49:L58,T49:T58,AB49:AB58,AJ49:AJ58)*100%)</f>
        <v>1.9439020060358581E-2</v>
      </c>
      <c r="X61" s="48">
        <f t="array" ref="X61">AVERAGE((T49:T58 - MIN(D49:D58,L49:L58,T49:T58,AB49:AB58,AJ49:AJ58))/MIN(D49:D58,L49:L58,T49:T58,AB49:AB58,AJ49:AJ58)*100%)</f>
        <v>3.6286170779336088E-2</v>
      </c>
      <c r="Y61" s="44"/>
      <c r="Z61" s="51"/>
      <c r="AA61" s="54" t="s">
        <v>20</v>
      </c>
      <c r="AB61" s="48">
        <f>AVERAGE(AB49:AB58)</f>
        <v>116.444</v>
      </c>
      <c r="AC61" s="47"/>
      <c r="AD61" s="48">
        <f>_xlfn.STDEV.S(AB49:AB58) / AVERAGE(AB49:AB58) * 100%</f>
        <v>9.379149603467583E-3</v>
      </c>
      <c r="AE61" s="48">
        <f t="array" ref="AE61">MIN((AB49:AB58 - MIN(D49:D58,L49:L58,T49:T58,AB49:AB58,AJ49:AJ58))/MIN(D49:D58,L49:L58,T49:T58,AB49:AB58,AJ49:AJ58)*100%)</f>
        <v>2.1480560979939656E-2</v>
      </c>
      <c r="AF61" s="48">
        <f t="array" ref="AF61">AVERAGE((AB49:AB58 - MIN(D49:D58,L49:L58,T49:T58,AB49:AB58,AJ49:AJ58))/MIN(D49:D58,L49:L58,T49:T58,AB49:AB58,AJ49:AJ58)*100%)</f>
        <v>3.3587786259542014E-2</v>
      </c>
      <c r="AG61" s="44"/>
      <c r="AH61" s="51"/>
      <c r="AI61" s="54" t="s">
        <v>20</v>
      </c>
      <c r="AJ61" s="48">
        <f>AVERAGE(AJ49:AJ58)</f>
        <v>115.93599999999999</v>
      </c>
      <c r="AK61" s="47"/>
      <c r="AL61" s="48">
        <f>_xlfn.STDEV.S(AJ49:AJ58) / AVERAGE(AJ49:AJ58) * 100%</f>
        <v>6.8036268519827778E-3</v>
      </c>
      <c r="AM61" s="48">
        <f t="array" ref="AM61">MIN((AJ49:AJ58 - MIN(D49:D58,L49:L58,T49:T58,AB49:AB58,AJ49:AJ58))/MIN(D49:D58,L49:L58,T49:T58,AB49:AB58,AJ49:AJ58)*100%)</f>
        <v>1.8107580330197111E-2</v>
      </c>
      <c r="AN61" s="48">
        <f t="array" ref="AN61">AVERAGE((AJ49:AJ58 - MIN(D49:D58,L49:L58,T49:T58,AB49:AB58,AJ49:AJ58))/MIN(D49:D58,L49:L58,T49:T58,AB49:AB58,AJ49:AJ58)*100%)</f>
        <v>2.907864370672824E-2</v>
      </c>
      <c r="AO61" s="44"/>
      <c r="AP61" s="51"/>
    </row>
    <row r="62" spans="1:42" ht="21" customHeight="1" thickTop="1" thickBot="1" x14ac:dyDescent="0.35">
      <c r="A62" s="63"/>
      <c r="B62" s="79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3"/>
      <c r="B63" s="77" t="s">
        <v>30</v>
      </c>
      <c r="C63" s="59" t="s">
        <v>8</v>
      </c>
      <c r="D63" s="46" t="s">
        <v>9</v>
      </c>
      <c r="E63" s="46" t="s">
        <v>10</v>
      </c>
      <c r="F63" s="46" t="s">
        <v>11</v>
      </c>
      <c r="G63" s="46" t="s">
        <v>12</v>
      </c>
      <c r="H63" s="46" t="s">
        <v>13</v>
      </c>
      <c r="I63" s="46" t="s">
        <v>14</v>
      </c>
      <c r="J63" s="60" t="s">
        <v>15</v>
      </c>
      <c r="K63" s="59" t="s">
        <v>8</v>
      </c>
      <c r="L63" s="46" t="s">
        <v>9</v>
      </c>
      <c r="M63" s="46" t="s">
        <v>10</v>
      </c>
      <c r="N63" s="46" t="s">
        <v>11</v>
      </c>
      <c r="O63" s="46" t="s">
        <v>12</v>
      </c>
      <c r="P63" s="46" t="s">
        <v>13</v>
      </c>
      <c r="Q63" s="46" t="s">
        <v>14</v>
      </c>
      <c r="R63" s="60" t="s">
        <v>15</v>
      </c>
      <c r="S63" s="59" t="s">
        <v>8</v>
      </c>
      <c r="T63" s="46" t="s">
        <v>9</v>
      </c>
      <c r="U63" s="46" t="s">
        <v>10</v>
      </c>
      <c r="V63" s="46" t="s">
        <v>11</v>
      </c>
      <c r="W63" s="46" t="s">
        <v>12</v>
      </c>
      <c r="X63" s="46" t="s">
        <v>13</v>
      </c>
      <c r="Y63" s="46" t="s">
        <v>14</v>
      </c>
      <c r="Z63" s="60" t="s">
        <v>15</v>
      </c>
      <c r="AA63" s="59" t="s">
        <v>8</v>
      </c>
      <c r="AB63" s="46" t="s">
        <v>9</v>
      </c>
      <c r="AC63" s="46" t="s">
        <v>10</v>
      </c>
      <c r="AD63" s="46" t="s">
        <v>11</v>
      </c>
      <c r="AE63" s="46" t="s">
        <v>12</v>
      </c>
      <c r="AF63" s="46" t="s">
        <v>13</v>
      </c>
      <c r="AG63" s="46" t="s">
        <v>14</v>
      </c>
      <c r="AH63" s="60" t="s">
        <v>15</v>
      </c>
      <c r="AI63" s="59" t="s">
        <v>8</v>
      </c>
      <c r="AJ63" s="46" t="s">
        <v>9</v>
      </c>
      <c r="AK63" s="46" t="s">
        <v>10</v>
      </c>
      <c r="AL63" s="46" t="s">
        <v>11</v>
      </c>
      <c r="AM63" s="46" t="s">
        <v>12</v>
      </c>
      <c r="AN63" s="46" t="s">
        <v>13</v>
      </c>
      <c r="AO63" s="46" t="s">
        <v>14</v>
      </c>
      <c r="AP63" s="60" t="s">
        <v>15</v>
      </c>
    </row>
    <row r="64" spans="1:42" ht="21" customHeight="1" thickTop="1" thickBot="1" x14ac:dyDescent="0.35">
      <c r="A64" s="63"/>
      <c r="B64" s="78"/>
      <c r="C64" s="52">
        <v>1</v>
      </c>
      <c r="D64" s="44">
        <v>125.16</v>
      </c>
      <c r="E64" s="44"/>
      <c r="F64" s="44"/>
      <c r="G64" s="44"/>
      <c r="H64" s="44"/>
      <c r="I64" s="44"/>
      <c r="J64" s="51"/>
      <c r="K64" s="52">
        <v>1</v>
      </c>
      <c r="L64" s="44">
        <v>125.64</v>
      </c>
      <c r="M64" s="44"/>
      <c r="N64" s="44"/>
      <c r="O64" s="44"/>
      <c r="P64" s="44"/>
      <c r="Q64" s="44"/>
      <c r="R64" s="51"/>
      <c r="S64" s="52">
        <v>1</v>
      </c>
      <c r="T64" s="44">
        <v>127.62</v>
      </c>
      <c r="U64" s="44"/>
      <c r="V64" s="44"/>
      <c r="W64" s="44"/>
      <c r="X64" s="44"/>
      <c r="Y64" s="44"/>
      <c r="Z64" s="51"/>
      <c r="AA64" s="52">
        <v>1</v>
      </c>
      <c r="AB64" s="44">
        <v>127.11</v>
      </c>
      <c r="AC64" s="44"/>
      <c r="AD64" s="44"/>
      <c r="AE64" s="44"/>
      <c r="AF64" s="44"/>
      <c r="AG64" s="44"/>
      <c r="AH64" s="51"/>
      <c r="AI64" s="52">
        <v>1</v>
      </c>
      <c r="AJ64" s="44">
        <v>128.19</v>
      </c>
      <c r="AK64" s="44"/>
      <c r="AL64" s="44"/>
      <c r="AM64" s="44"/>
      <c r="AN64" s="44"/>
      <c r="AO64" s="44"/>
      <c r="AP64" s="51"/>
    </row>
    <row r="65" spans="1:42" ht="21" customHeight="1" thickTop="1" thickBot="1" x14ac:dyDescent="0.35">
      <c r="A65" s="63"/>
      <c r="B65" s="78"/>
      <c r="C65" s="53">
        <v>2</v>
      </c>
      <c r="D65" s="45">
        <v>124.99</v>
      </c>
      <c r="E65" s="45"/>
      <c r="F65" s="45"/>
      <c r="G65" s="45"/>
      <c r="H65" s="45"/>
      <c r="I65" s="45"/>
      <c r="J65" s="51"/>
      <c r="K65" s="53">
        <v>2</v>
      </c>
      <c r="L65" s="45">
        <v>127.35</v>
      </c>
      <c r="M65" s="45"/>
      <c r="N65" s="45"/>
      <c r="O65" s="45"/>
      <c r="P65" s="45"/>
      <c r="Q65" s="45"/>
      <c r="R65" s="51"/>
      <c r="S65" s="53">
        <v>2</v>
      </c>
      <c r="T65" s="45">
        <v>128.76</v>
      </c>
      <c r="U65" s="45"/>
      <c r="V65" s="45"/>
      <c r="W65" s="45"/>
      <c r="X65" s="45"/>
      <c r="Y65" s="45"/>
      <c r="Z65" s="51"/>
      <c r="AA65" s="53">
        <v>2</v>
      </c>
      <c r="AB65" s="45">
        <v>126.64</v>
      </c>
      <c r="AC65" s="45"/>
      <c r="AD65" s="45"/>
      <c r="AE65" s="45"/>
      <c r="AF65" s="45"/>
      <c r="AG65" s="45"/>
      <c r="AH65" s="51"/>
      <c r="AI65" s="53">
        <v>2</v>
      </c>
      <c r="AJ65" s="45">
        <v>127.27</v>
      </c>
      <c r="AK65" s="45"/>
      <c r="AL65" s="45"/>
      <c r="AM65" s="45"/>
      <c r="AN65" s="45"/>
      <c r="AO65" s="45"/>
      <c r="AP65" s="51"/>
    </row>
    <row r="66" spans="1:42" ht="21" customHeight="1" thickTop="1" thickBot="1" x14ac:dyDescent="0.35">
      <c r="A66" s="63"/>
      <c r="B66" s="78"/>
      <c r="C66" s="53">
        <v>3</v>
      </c>
      <c r="D66" s="45">
        <v>126.07</v>
      </c>
      <c r="E66" s="45"/>
      <c r="F66" s="45"/>
      <c r="G66" s="44"/>
      <c r="H66" s="44"/>
      <c r="I66" s="44"/>
      <c r="J66" s="51"/>
      <c r="K66" s="53">
        <v>3</v>
      </c>
      <c r="L66" s="45">
        <v>126.94</v>
      </c>
      <c r="M66" s="45"/>
      <c r="N66" s="45"/>
      <c r="O66" s="44"/>
      <c r="P66" s="44"/>
      <c r="Q66" s="44"/>
      <c r="R66" s="51"/>
      <c r="S66" s="53">
        <v>3</v>
      </c>
      <c r="T66" s="45">
        <v>128.30000000000001</v>
      </c>
      <c r="U66" s="45"/>
      <c r="V66" s="45"/>
      <c r="W66" s="44"/>
      <c r="X66" s="44"/>
      <c r="Y66" s="44"/>
      <c r="Z66" s="51"/>
      <c r="AA66" s="53">
        <v>3</v>
      </c>
      <c r="AB66" s="45">
        <v>126.87</v>
      </c>
      <c r="AC66" s="45"/>
      <c r="AD66" s="45"/>
      <c r="AE66" s="44"/>
      <c r="AF66" s="44"/>
      <c r="AG66" s="44"/>
      <c r="AH66" s="51"/>
      <c r="AI66" s="53">
        <v>3</v>
      </c>
      <c r="AJ66" s="45">
        <v>127.03</v>
      </c>
      <c r="AK66" s="45"/>
      <c r="AL66" s="45"/>
      <c r="AM66" s="44"/>
      <c r="AN66" s="44"/>
      <c r="AO66" s="44"/>
      <c r="AP66" s="51"/>
    </row>
    <row r="67" spans="1:42" ht="21" customHeight="1" thickTop="1" thickBot="1" x14ac:dyDescent="0.35">
      <c r="A67" s="63"/>
      <c r="B67" s="78"/>
      <c r="C67" s="53">
        <v>4</v>
      </c>
      <c r="D67" s="45">
        <v>124.84</v>
      </c>
      <c r="E67" s="45"/>
      <c r="F67" s="45"/>
      <c r="G67" s="45"/>
      <c r="H67" s="45"/>
      <c r="I67" s="45"/>
      <c r="J67" s="51"/>
      <c r="K67" s="53">
        <v>4</v>
      </c>
      <c r="L67" s="45">
        <v>126.91</v>
      </c>
      <c r="M67" s="45"/>
      <c r="N67" s="45"/>
      <c r="O67" s="45"/>
      <c r="P67" s="45"/>
      <c r="Q67" s="45"/>
      <c r="R67" s="51"/>
      <c r="S67" s="53">
        <v>4</v>
      </c>
      <c r="T67" s="45">
        <v>126.41</v>
      </c>
      <c r="U67" s="45"/>
      <c r="V67" s="45"/>
      <c r="W67" s="45"/>
      <c r="X67" s="45"/>
      <c r="Y67" s="45"/>
      <c r="Z67" s="51"/>
      <c r="AA67" s="53">
        <v>4</v>
      </c>
      <c r="AB67" s="45">
        <v>125.45</v>
      </c>
      <c r="AC67" s="45"/>
      <c r="AD67" s="45"/>
      <c r="AE67" s="45"/>
      <c r="AF67" s="45"/>
      <c r="AG67" s="45"/>
      <c r="AH67" s="51"/>
      <c r="AI67" s="53">
        <v>4</v>
      </c>
      <c r="AJ67" s="45">
        <v>126.89</v>
      </c>
      <c r="AK67" s="45"/>
      <c r="AL67" s="45"/>
      <c r="AM67" s="45"/>
      <c r="AN67" s="45"/>
      <c r="AO67" s="45"/>
      <c r="AP67" s="51"/>
    </row>
    <row r="68" spans="1:42" ht="21" customHeight="1" thickTop="1" thickBot="1" x14ac:dyDescent="0.35">
      <c r="A68" s="63"/>
      <c r="B68" s="78"/>
      <c r="C68" s="53">
        <v>5</v>
      </c>
      <c r="D68" s="45">
        <v>125.48</v>
      </c>
      <c r="E68" s="45"/>
      <c r="F68" s="45"/>
      <c r="G68" s="45"/>
      <c r="H68" s="45"/>
      <c r="I68" s="45"/>
      <c r="J68" s="51"/>
      <c r="K68" s="53">
        <v>5</v>
      </c>
      <c r="L68" s="45">
        <v>125.99</v>
      </c>
      <c r="M68" s="45"/>
      <c r="N68" s="45"/>
      <c r="O68" s="45"/>
      <c r="P68" s="45"/>
      <c r="Q68" s="45"/>
      <c r="R68" s="51"/>
      <c r="S68" s="53">
        <v>5</v>
      </c>
      <c r="T68" s="45">
        <v>129.1</v>
      </c>
      <c r="U68" s="45"/>
      <c r="V68" s="45"/>
      <c r="W68" s="45"/>
      <c r="X68" s="45"/>
      <c r="Y68" s="45"/>
      <c r="Z68" s="51"/>
      <c r="AA68" s="53">
        <v>5</v>
      </c>
      <c r="AB68" s="45">
        <v>124.84</v>
      </c>
      <c r="AC68" s="45"/>
      <c r="AD68" s="45"/>
      <c r="AE68" s="45"/>
      <c r="AF68" s="45"/>
      <c r="AG68" s="45"/>
      <c r="AH68" s="51"/>
      <c r="AI68" s="53">
        <v>5</v>
      </c>
      <c r="AJ68" s="45">
        <v>128.47</v>
      </c>
      <c r="AK68" s="45"/>
      <c r="AL68" s="45"/>
      <c r="AM68" s="45"/>
      <c r="AN68" s="45"/>
      <c r="AO68" s="45"/>
      <c r="AP68" s="51"/>
    </row>
    <row r="69" spans="1:42" ht="21" customHeight="1" thickTop="1" thickBot="1" x14ac:dyDescent="0.35">
      <c r="A69" s="63"/>
      <c r="B69" s="78"/>
      <c r="C69" s="53">
        <v>6</v>
      </c>
      <c r="D69" s="45">
        <v>124.81</v>
      </c>
      <c r="E69" s="45"/>
      <c r="F69" s="45"/>
      <c r="G69" s="45"/>
      <c r="H69" s="45"/>
      <c r="I69" s="45"/>
      <c r="J69" s="51"/>
      <c r="K69" s="53">
        <v>6</v>
      </c>
      <c r="L69" s="45">
        <v>125.97</v>
      </c>
      <c r="M69" s="45"/>
      <c r="N69" s="45"/>
      <c r="O69" s="45"/>
      <c r="P69" s="45"/>
      <c r="Q69" s="45"/>
      <c r="R69" s="51"/>
      <c r="S69" s="53">
        <v>6</v>
      </c>
      <c r="T69" s="45">
        <v>127.42</v>
      </c>
      <c r="U69" s="45"/>
      <c r="V69" s="45"/>
      <c r="W69" s="45"/>
      <c r="X69" s="45"/>
      <c r="Y69" s="45"/>
      <c r="Z69" s="51"/>
      <c r="AA69" s="53">
        <v>6</v>
      </c>
      <c r="AB69" s="45">
        <v>128.37</v>
      </c>
      <c r="AC69" s="45"/>
      <c r="AD69" s="45"/>
      <c r="AE69" s="45"/>
      <c r="AF69" s="45"/>
      <c r="AG69" s="45"/>
      <c r="AH69" s="51"/>
      <c r="AI69" s="53">
        <v>6</v>
      </c>
      <c r="AJ69" s="45">
        <v>127.77</v>
      </c>
      <c r="AK69" s="45"/>
      <c r="AL69" s="45"/>
      <c r="AM69" s="45"/>
      <c r="AN69" s="45"/>
      <c r="AO69" s="45"/>
      <c r="AP69" s="51"/>
    </row>
    <row r="70" spans="1:42" ht="21" customHeight="1" thickTop="1" thickBot="1" x14ac:dyDescent="0.35">
      <c r="A70" s="63"/>
      <c r="B70" s="78"/>
      <c r="C70" s="53">
        <v>7</v>
      </c>
      <c r="D70" s="45">
        <v>125.87</v>
      </c>
      <c r="E70" s="45"/>
      <c r="F70" s="45"/>
      <c r="G70" s="45"/>
      <c r="H70" s="45"/>
      <c r="I70" s="45"/>
      <c r="J70" s="51"/>
      <c r="K70" s="53">
        <v>7</v>
      </c>
      <c r="L70" s="45">
        <v>125.69</v>
      </c>
      <c r="M70" s="45"/>
      <c r="N70" s="45"/>
      <c r="O70" s="45"/>
      <c r="P70" s="45"/>
      <c r="Q70" s="45"/>
      <c r="R70" s="51"/>
      <c r="S70" s="53">
        <v>7</v>
      </c>
      <c r="T70" s="45">
        <v>129.5</v>
      </c>
      <c r="U70" s="45"/>
      <c r="V70" s="45"/>
      <c r="W70" s="45"/>
      <c r="X70" s="45"/>
      <c r="Y70" s="45"/>
      <c r="Z70" s="51"/>
      <c r="AA70" s="53">
        <v>7</v>
      </c>
      <c r="AB70" s="45">
        <v>127.72</v>
      </c>
      <c r="AC70" s="45"/>
      <c r="AD70" s="45"/>
      <c r="AE70" s="45"/>
      <c r="AF70" s="45"/>
      <c r="AG70" s="45"/>
      <c r="AH70" s="51"/>
      <c r="AI70" s="53">
        <v>7</v>
      </c>
      <c r="AJ70" s="45">
        <v>127.92</v>
      </c>
      <c r="AK70" s="45"/>
      <c r="AL70" s="45"/>
      <c r="AM70" s="45"/>
      <c r="AN70" s="45"/>
      <c r="AO70" s="45"/>
      <c r="AP70" s="51"/>
    </row>
    <row r="71" spans="1:42" ht="21" customHeight="1" thickTop="1" thickBot="1" x14ac:dyDescent="0.35">
      <c r="A71" s="63"/>
      <c r="B71" s="78"/>
      <c r="C71" s="53">
        <v>8</v>
      </c>
      <c r="D71" s="45">
        <v>124.84</v>
      </c>
      <c r="E71" s="45"/>
      <c r="F71" s="45"/>
      <c r="G71" s="45">
        <v>0</v>
      </c>
      <c r="H71" s="45"/>
      <c r="I71" s="45"/>
      <c r="J71" s="51"/>
      <c r="K71" s="53">
        <v>8</v>
      </c>
      <c r="L71" s="45">
        <v>126.48</v>
      </c>
      <c r="M71" s="45"/>
      <c r="N71" s="45"/>
      <c r="O71" s="45"/>
      <c r="P71" s="45"/>
      <c r="Q71" s="45"/>
      <c r="R71" s="51"/>
      <c r="S71" s="53">
        <v>8</v>
      </c>
      <c r="T71" s="45">
        <v>129.82</v>
      </c>
      <c r="U71" s="45"/>
      <c r="V71" s="45"/>
      <c r="W71" s="45"/>
      <c r="X71" s="45"/>
      <c r="Y71" s="45"/>
      <c r="Z71" s="51"/>
      <c r="AA71" s="53">
        <v>8</v>
      </c>
      <c r="AB71" s="45">
        <v>126.83</v>
      </c>
      <c r="AC71" s="45"/>
      <c r="AD71" s="45"/>
      <c r="AE71" s="45"/>
      <c r="AF71" s="45"/>
      <c r="AG71" s="45"/>
      <c r="AH71" s="51"/>
      <c r="AI71" s="53">
        <v>8</v>
      </c>
      <c r="AJ71" s="45">
        <v>128.29</v>
      </c>
      <c r="AK71" s="45"/>
      <c r="AL71" s="45"/>
      <c r="AM71" s="45"/>
      <c r="AN71" s="45"/>
      <c r="AO71" s="45"/>
      <c r="AP71" s="51"/>
    </row>
    <row r="72" spans="1:42" ht="21" customHeight="1" thickTop="1" thickBot="1" x14ac:dyDescent="0.35">
      <c r="A72" s="63"/>
      <c r="B72" s="78"/>
      <c r="C72" s="53">
        <v>9</v>
      </c>
      <c r="D72" s="45">
        <v>125.02</v>
      </c>
      <c r="E72" s="45"/>
      <c r="F72" s="45"/>
      <c r="G72" s="45"/>
      <c r="H72" s="45"/>
      <c r="I72" s="45"/>
      <c r="J72" s="51"/>
      <c r="K72" s="53">
        <v>9</v>
      </c>
      <c r="L72" s="45">
        <v>126.89</v>
      </c>
      <c r="M72" s="45"/>
      <c r="N72" s="45"/>
      <c r="O72" s="45"/>
      <c r="P72" s="45"/>
      <c r="Q72" s="45"/>
      <c r="R72" s="51"/>
      <c r="S72" s="53">
        <v>9</v>
      </c>
      <c r="T72" s="45">
        <v>129.74</v>
      </c>
      <c r="U72" s="45"/>
      <c r="V72" s="45"/>
      <c r="W72" s="45"/>
      <c r="X72" s="45"/>
      <c r="Y72" s="45"/>
      <c r="Z72" s="51"/>
      <c r="AA72" s="53">
        <v>9</v>
      </c>
      <c r="AB72" s="45">
        <v>127.18</v>
      </c>
      <c r="AC72" s="45"/>
      <c r="AD72" s="45"/>
      <c r="AE72" s="45"/>
      <c r="AF72" s="45"/>
      <c r="AG72" s="45"/>
      <c r="AH72" s="51"/>
      <c r="AI72" s="53">
        <v>9</v>
      </c>
      <c r="AJ72" s="45">
        <v>127.36</v>
      </c>
      <c r="AK72" s="45"/>
      <c r="AL72" s="45"/>
      <c r="AM72" s="45"/>
      <c r="AN72" s="45"/>
      <c r="AO72" s="45"/>
      <c r="AP72" s="51"/>
    </row>
    <row r="73" spans="1:42" ht="21" customHeight="1" thickTop="1" thickBot="1" x14ac:dyDescent="0.35">
      <c r="A73" s="63"/>
      <c r="B73" s="78"/>
      <c r="C73" s="53">
        <v>10</v>
      </c>
      <c r="D73" s="45">
        <v>126.31</v>
      </c>
      <c r="E73" s="45"/>
      <c r="F73" s="45"/>
      <c r="G73" s="45"/>
      <c r="H73" s="45"/>
      <c r="I73" s="45"/>
      <c r="J73" s="51"/>
      <c r="K73" s="53">
        <v>10</v>
      </c>
      <c r="L73" s="45">
        <v>127.37</v>
      </c>
      <c r="M73" s="45"/>
      <c r="N73" s="45"/>
      <c r="O73" s="45"/>
      <c r="P73" s="45"/>
      <c r="Q73" s="45"/>
      <c r="R73" s="51"/>
      <c r="S73" s="53">
        <v>10</v>
      </c>
      <c r="T73" s="45">
        <v>127.51</v>
      </c>
      <c r="U73" s="45"/>
      <c r="V73" s="45"/>
      <c r="W73" s="45"/>
      <c r="X73" s="45"/>
      <c r="Y73" s="45"/>
      <c r="Z73" s="51"/>
      <c r="AA73" s="53">
        <v>10</v>
      </c>
      <c r="AB73" s="45">
        <v>126.95</v>
      </c>
      <c r="AC73" s="45"/>
      <c r="AD73" s="45"/>
      <c r="AE73" s="45"/>
      <c r="AF73" s="45"/>
      <c r="AG73" s="45"/>
      <c r="AH73" s="51"/>
      <c r="AI73" s="53">
        <v>10</v>
      </c>
      <c r="AJ73" s="45">
        <v>126.33</v>
      </c>
      <c r="AK73" s="45"/>
      <c r="AL73" s="45"/>
      <c r="AM73" s="45"/>
      <c r="AN73" s="45"/>
      <c r="AO73" s="45"/>
      <c r="AP73" s="51"/>
    </row>
    <row r="74" spans="1:42" ht="21" customHeight="1" thickTop="1" thickBot="1" x14ac:dyDescent="0.35">
      <c r="A74" s="63"/>
      <c r="B74" s="78"/>
      <c r="C74" s="53"/>
      <c r="D74" s="45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78"/>
      <c r="C75" s="54" t="s">
        <v>16</v>
      </c>
      <c r="D75" s="49">
        <f>MIN(D64:D73)</f>
        <v>124.81</v>
      </c>
      <c r="E75" s="45"/>
      <c r="F75" s="55" t="s">
        <v>17</v>
      </c>
      <c r="G75" s="49" t="s">
        <v>18</v>
      </c>
      <c r="H75" s="49" t="s">
        <v>19</v>
      </c>
      <c r="I75" s="45"/>
      <c r="J75" s="51"/>
      <c r="K75" s="54" t="s">
        <v>16</v>
      </c>
      <c r="L75" s="49">
        <f>MIN(L64:L73)</f>
        <v>125.64</v>
      </c>
      <c r="M75" s="45"/>
      <c r="N75" s="55" t="s">
        <v>17</v>
      </c>
      <c r="O75" s="49" t="s">
        <v>18</v>
      </c>
      <c r="P75" s="49" t="s">
        <v>19</v>
      </c>
      <c r="Q75" s="45"/>
      <c r="R75" s="51"/>
      <c r="S75" s="54" t="s">
        <v>16</v>
      </c>
      <c r="T75" s="49">
        <f>MIN(T64:T73)</f>
        <v>126.41</v>
      </c>
      <c r="U75" s="45"/>
      <c r="V75" s="55" t="s">
        <v>17</v>
      </c>
      <c r="W75" s="49" t="s">
        <v>18</v>
      </c>
      <c r="X75" s="49" t="s">
        <v>19</v>
      </c>
      <c r="Y75" s="45"/>
      <c r="Z75" s="51"/>
      <c r="AA75" s="54" t="s">
        <v>16</v>
      </c>
      <c r="AB75" s="49">
        <f>MIN(AB64:AB73)</f>
        <v>124.84</v>
      </c>
      <c r="AC75" s="45"/>
      <c r="AD75" s="55" t="s">
        <v>17</v>
      </c>
      <c r="AE75" s="49" t="s">
        <v>18</v>
      </c>
      <c r="AF75" s="49" t="s">
        <v>19</v>
      </c>
      <c r="AG75" s="45"/>
      <c r="AH75" s="51"/>
      <c r="AI75" s="54" t="s">
        <v>16</v>
      </c>
      <c r="AJ75" s="49">
        <f>MIN(AJ64:AJ73)</f>
        <v>126.33</v>
      </c>
      <c r="AK75" s="45"/>
      <c r="AL75" s="55" t="s">
        <v>17</v>
      </c>
      <c r="AM75" s="49" t="s">
        <v>18</v>
      </c>
      <c r="AN75" s="49" t="s">
        <v>19</v>
      </c>
      <c r="AO75" s="45"/>
      <c r="AP75" s="51"/>
    </row>
    <row r="76" spans="1:42" ht="21" customHeight="1" thickTop="1" thickBot="1" x14ac:dyDescent="0.35">
      <c r="A76" s="63"/>
      <c r="B76" s="78"/>
      <c r="C76" s="54" t="s">
        <v>20</v>
      </c>
      <c r="D76" s="48">
        <f>AVERAGE(D64:D73)</f>
        <v>125.33899999999998</v>
      </c>
      <c r="E76" s="47"/>
      <c r="F76" s="48">
        <f>_xlfn.STDEV.S(D64:D73) / AVERAGE(D64:D73) * 100%</f>
        <v>4.4600323966688263E-3</v>
      </c>
      <c r="G76" s="48">
        <f t="array" ref="G76">MIN((D64:D73 - MIN(D64:D73,L64:L73,T64:T73,AB64:AB73,AJ64:AJ73))/MIN(D64:D73,L64:L73,T64:T73,AB64:AB73,AJ64:AJ73)*100%)</f>
        <v>0</v>
      </c>
      <c r="H76" s="48">
        <f t="array" ref="H76">AVERAGE((D64:D73 - MIN(D64:D73,L64:L73,T64:T73,AB64:AB73,AJ64:AJ73))/MIN(D64:D73,L64:L73,T64:T73,AB64:AB73,AJ64:AJ73)*100%)</f>
        <v>4.2384424324973784E-3</v>
      </c>
      <c r="I76" s="45"/>
      <c r="J76" s="51"/>
      <c r="K76" s="54" t="s">
        <v>20</v>
      </c>
      <c r="L76" s="48">
        <f>AVERAGE(L64:L73)</f>
        <v>126.523</v>
      </c>
      <c r="M76" s="47"/>
      <c r="N76" s="48">
        <f>_xlfn.STDEV.S(L64:L73) / AVERAGE(L64:L73) * 100%</f>
        <v>5.2195089677676892E-3</v>
      </c>
      <c r="O76" s="48">
        <f t="array" ref="O76">MIN((L64:L73 - MIN(D64:D73,L64:L73,T64:T73,AB64:AB73,AJ64:AJ73))/MIN(D64:D73,L64:L73,T64:T73,AB64:AB73,AJ64:AJ73)*100%)</f>
        <v>6.6501081644098894E-3</v>
      </c>
      <c r="P76" s="48">
        <f t="array" ref="P76">AVERAGE((L64:L73 - MIN(D64:D73,L64:L73,T64:T73,AB64:AB73,AJ64:AJ73))/MIN(D64:D73,L64:L73,T64:T73,AB64:AB73,AJ64:AJ73)*100%)</f>
        <v>1.3724861789920653E-2</v>
      </c>
      <c r="Q76" s="44"/>
      <c r="R76" s="51"/>
      <c r="S76" s="54" t="s">
        <v>20</v>
      </c>
      <c r="T76" s="48">
        <f>AVERAGE(T64:T73)</f>
        <v>128.41800000000001</v>
      </c>
      <c r="U76" s="47"/>
      <c r="V76" s="48">
        <f>_xlfn.STDEV.S(T64:T73) / AVERAGE(T64:T73) * 100%</f>
        <v>8.9802475391165468E-3</v>
      </c>
      <c r="W76" s="48">
        <f t="array" ref="W76">MIN((T64:T73 - MIN(D64:D73,L64:L73,T64:T73,AB64:AB73,AJ64:AJ73))/MIN(D64:D73,L64:L73,T64:T73,AB64:AB73,AJ64:AJ73)*100%)</f>
        <v>1.2819485618139526E-2</v>
      </c>
      <c r="X76" s="48">
        <f t="array" ref="X76">AVERAGE((T64:T73 - MIN(D64:D73,L64:L73,T64:T73,AB64:AB73,AJ64:AJ73))/MIN(D64:D73,L64:L73,T64:T73,AB64:AB73,AJ64:AJ73)*100%)</f>
        <v>2.8907940068904715E-2</v>
      </c>
      <c r="Y76" s="44"/>
      <c r="Z76" s="51"/>
      <c r="AA76" s="54" t="s">
        <v>20</v>
      </c>
      <c r="AB76" s="48">
        <f>AVERAGE(AB64:AB73)</f>
        <v>126.79600000000001</v>
      </c>
      <c r="AC76" s="47"/>
      <c r="AD76" s="48">
        <f>_xlfn.STDEV.S(AB64:AB73) / AVERAGE(AB64:AB73) * 100%</f>
        <v>8.0039547756422021E-3</v>
      </c>
      <c r="AE76" s="48">
        <f t="array" ref="AE76">MIN((AB64:AB73 - MIN(D64:D73,L64:L73,T64:T73,AB64:AB73,AJ64:AJ73))/MIN(D64:D73,L64:L73,T64:T73,AB64:AB73,AJ64:AJ73)*100%)</f>
        <v>2.4036535534012609E-4</v>
      </c>
      <c r="AF76" s="48">
        <f t="array" ref="AF76">AVERAGE((AB64:AB73 - MIN(D64:D73,L64:L73,T64:T73,AB64:AB73,AJ64:AJ73))/MIN(D64:D73,L64:L73,T64:T73,AB64:AB73,AJ64:AJ73)*100%)</f>
        <v>1.5912186523515746E-2</v>
      </c>
      <c r="AG76" s="44"/>
      <c r="AH76" s="51"/>
      <c r="AI76" s="54" t="s">
        <v>20</v>
      </c>
      <c r="AJ76" s="48">
        <f>AVERAGE(AJ64:AJ73)</f>
        <v>127.55199999999998</v>
      </c>
      <c r="AK76" s="47"/>
      <c r="AL76" s="48">
        <f>_xlfn.STDEV.S(AJ64:AJ73) / AVERAGE(AJ64:AJ73) * 100%</f>
        <v>5.4176700561691157E-3</v>
      </c>
      <c r="AM76" s="48">
        <f t="array" ref="AM76">MIN((AJ64:AJ73 - MIN(D64:D73,L64:L73,T64:T73,AB64:AB73,AJ64:AJ73))/MIN(D64:D73,L64:L73,T64:T73,AB64:AB73,AJ64:AJ73)*100%)</f>
        <v>1.2178511337232561E-2</v>
      </c>
      <c r="AN76" s="48">
        <f t="array" ref="AN76">AVERAGE((AJ64:AJ73 - MIN(D64:D73,L64:L73,T64:T73,AB64:AB73,AJ64:AJ73))/MIN(D64:D73,L64:L73,T64:T73,AB64:AB73,AJ64:AJ73)*100%)</f>
        <v>2.1969393478086657E-2</v>
      </c>
      <c r="AO76" s="44"/>
      <c r="AP76" s="51"/>
    </row>
    <row r="77" spans="1:42" ht="21" customHeight="1" thickTop="1" thickBot="1" x14ac:dyDescent="0.35">
      <c r="A77" s="63"/>
      <c r="B77" s="79"/>
      <c r="C77" s="53"/>
      <c r="D77" s="44"/>
      <c r="E77" s="44"/>
      <c r="F77" s="44"/>
      <c r="G77" s="44"/>
      <c r="H77" s="44"/>
      <c r="I77" s="44"/>
      <c r="J77" s="51"/>
      <c r="K77" s="53"/>
      <c r="L77" s="44"/>
      <c r="M77" s="44"/>
      <c r="N77" s="44"/>
      <c r="O77" s="44"/>
      <c r="P77" s="44"/>
      <c r="Q77" s="44"/>
      <c r="R77" s="51"/>
      <c r="S77" s="53"/>
      <c r="T77" s="44"/>
      <c r="U77" s="44"/>
      <c r="V77" s="44"/>
      <c r="W77" s="44"/>
      <c r="X77" s="44"/>
      <c r="Y77" s="44"/>
      <c r="Z77" s="51"/>
      <c r="AA77" s="53"/>
      <c r="AB77" s="44"/>
      <c r="AC77" s="44"/>
      <c r="AD77" s="44"/>
      <c r="AE77" s="44"/>
      <c r="AF77" s="44"/>
      <c r="AG77" s="44"/>
      <c r="AH77" s="51"/>
      <c r="AI77" s="53"/>
      <c r="AJ77" s="44"/>
      <c r="AK77" s="44"/>
      <c r="AL77" s="44"/>
      <c r="AM77" s="44"/>
      <c r="AN77" s="44"/>
      <c r="AO77" s="44"/>
      <c r="AP77" s="51"/>
    </row>
    <row r="78" spans="1:42" ht="21" customHeight="1" thickTop="1" thickBot="1" x14ac:dyDescent="0.35">
      <c r="A78" s="63"/>
      <c r="B78" s="77" t="s">
        <v>31</v>
      </c>
      <c r="C78" s="59" t="s">
        <v>8</v>
      </c>
      <c r="D78" s="46" t="s">
        <v>9</v>
      </c>
      <c r="E78" s="46" t="s">
        <v>10</v>
      </c>
      <c r="F78" s="46" t="s">
        <v>11</v>
      </c>
      <c r="G78" s="46" t="s">
        <v>12</v>
      </c>
      <c r="H78" s="46" t="s">
        <v>13</v>
      </c>
      <c r="I78" s="46" t="s">
        <v>14</v>
      </c>
      <c r="J78" s="60" t="s">
        <v>15</v>
      </c>
      <c r="K78" s="59" t="s">
        <v>8</v>
      </c>
      <c r="L78" s="46" t="s">
        <v>9</v>
      </c>
      <c r="M78" s="46" t="s">
        <v>10</v>
      </c>
      <c r="N78" s="46" t="s">
        <v>11</v>
      </c>
      <c r="O78" s="46" t="s">
        <v>12</v>
      </c>
      <c r="P78" s="46" t="s">
        <v>13</v>
      </c>
      <c r="Q78" s="46" t="s">
        <v>14</v>
      </c>
      <c r="R78" s="60" t="s">
        <v>15</v>
      </c>
      <c r="S78" s="59" t="s">
        <v>8</v>
      </c>
      <c r="T78" s="46" t="s">
        <v>9</v>
      </c>
      <c r="U78" s="46" t="s">
        <v>10</v>
      </c>
      <c r="V78" s="46" t="s">
        <v>11</v>
      </c>
      <c r="W78" s="46" t="s">
        <v>12</v>
      </c>
      <c r="X78" s="46" t="s">
        <v>13</v>
      </c>
      <c r="Y78" s="46" t="s">
        <v>14</v>
      </c>
      <c r="Z78" s="60" t="s">
        <v>15</v>
      </c>
      <c r="AA78" s="59" t="s">
        <v>8</v>
      </c>
      <c r="AB78" s="46" t="s">
        <v>9</v>
      </c>
      <c r="AC78" s="46" t="s">
        <v>10</v>
      </c>
      <c r="AD78" s="46" t="s">
        <v>11</v>
      </c>
      <c r="AE78" s="46" t="s">
        <v>12</v>
      </c>
      <c r="AF78" s="46" t="s">
        <v>13</v>
      </c>
      <c r="AG78" s="46" t="s">
        <v>14</v>
      </c>
      <c r="AH78" s="60" t="s">
        <v>15</v>
      </c>
      <c r="AI78" s="59" t="s">
        <v>8</v>
      </c>
      <c r="AJ78" s="46" t="s">
        <v>9</v>
      </c>
      <c r="AK78" s="46" t="s">
        <v>10</v>
      </c>
      <c r="AL78" s="46" t="s">
        <v>11</v>
      </c>
      <c r="AM78" s="46" t="s">
        <v>12</v>
      </c>
      <c r="AN78" s="46" t="s">
        <v>13</v>
      </c>
      <c r="AO78" s="46" t="s">
        <v>14</v>
      </c>
      <c r="AP78" s="60" t="s">
        <v>15</v>
      </c>
    </row>
    <row r="79" spans="1:42" ht="21" customHeight="1" thickTop="1" thickBot="1" x14ac:dyDescent="0.35">
      <c r="A79" s="63"/>
      <c r="B79" s="78"/>
      <c r="C79" s="52">
        <v>1</v>
      </c>
      <c r="D79" s="44">
        <v>141.66999999999999</v>
      </c>
      <c r="E79" s="44"/>
      <c r="F79" s="44"/>
      <c r="G79" s="44"/>
      <c r="H79" s="44"/>
      <c r="I79" s="44"/>
      <c r="J79" s="51"/>
      <c r="K79" s="52">
        <v>1</v>
      </c>
      <c r="L79" s="44">
        <v>141.30000000000001</v>
      </c>
      <c r="M79" s="44"/>
      <c r="N79" s="44"/>
      <c r="O79" s="44"/>
      <c r="P79" s="44"/>
      <c r="Q79" s="44"/>
      <c r="R79" s="51"/>
      <c r="S79" s="52">
        <v>1</v>
      </c>
      <c r="T79" s="44">
        <v>142.44999999999999</v>
      </c>
      <c r="U79" s="44"/>
      <c r="V79" s="44"/>
      <c r="W79" s="44"/>
      <c r="X79" s="44"/>
      <c r="Y79" s="44"/>
      <c r="Z79" s="51"/>
      <c r="AA79" s="52">
        <v>1</v>
      </c>
      <c r="AB79" s="44">
        <v>139.80000000000001</v>
      </c>
      <c r="AC79" s="44"/>
      <c r="AD79" s="44"/>
      <c r="AE79" s="44"/>
      <c r="AF79" s="44"/>
      <c r="AG79" s="44"/>
      <c r="AH79" s="51"/>
      <c r="AI79" s="52">
        <v>1</v>
      </c>
      <c r="AJ79" s="44">
        <v>139.72999999999999</v>
      </c>
      <c r="AK79" s="44"/>
      <c r="AL79" s="44"/>
      <c r="AM79" s="44"/>
      <c r="AN79" s="44"/>
      <c r="AO79" s="44"/>
      <c r="AP79" s="51"/>
    </row>
    <row r="80" spans="1:42" ht="21" customHeight="1" thickTop="1" thickBot="1" x14ac:dyDescent="0.35">
      <c r="A80" s="63"/>
      <c r="B80" s="78"/>
      <c r="C80" s="53">
        <v>2</v>
      </c>
      <c r="D80" s="45">
        <v>138.47</v>
      </c>
      <c r="E80" s="45"/>
      <c r="F80" s="45"/>
      <c r="G80" s="45"/>
      <c r="H80" s="45"/>
      <c r="I80" s="45"/>
      <c r="J80" s="51"/>
      <c r="K80" s="53">
        <v>2</v>
      </c>
      <c r="L80" s="45">
        <v>141.31</v>
      </c>
      <c r="M80" s="45"/>
      <c r="N80" s="45"/>
      <c r="O80" s="45"/>
      <c r="P80" s="45"/>
      <c r="Q80" s="45"/>
      <c r="R80" s="51"/>
      <c r="S80" s="53">
        <v>2</v>
      </c>
      <c r="T80" s="45">
        <v>140.24</v>
      </c>
      <c r="U80" s="45"/>
      <c r="V80" s="45"/>
      <c r="W80" s="45"/>
      <c r="X80" s="45"/>
      <c r="Y80" s="45"/>
      <c r="Z80" s="51"/>
      <c r="AA80" s="53">
        <v>2</v>
      </c>
      <c r="AB80" s="45">
        <v>140.61000000000001</v>
      </c>
      <c r="AC80" s="45"/>
      <c r="AD80" s="45"/>
      <c r="AE80" s="45"/>
      <c r="AF80" s="45"/>
      <c r="AG80" s="45"/>
      <c r="AH80" s="51"/>
      <c r="AI80" s="53">
        <v>2</v>
      </c>
      <c r="AJ80" s="45">
        <v>141.07</v>
      </c>
      <c r="AK80" s="45"/>
      <c r="AL80" s="45"/>
      <c r="AM80" s="45"/>
      <c r="AN80" s="45"/>
      <c r="AO80" s="45"/>
      <c r="AP80" s="51"/>
    </row>
    <row r="81" spans="1:42" ht="21" customHeight="1" thickTop="1" thickBot="1" x14ac:dyDescent="0.35">
      <c r="A81" s="63"/>
      <c r="B81" s="78"/>
      <c r="C81" s="53">
        <v>3</v>
      </c>
      <c r="D81" s="45">
        <v>141.75</v>
      </c>
      <c r="E81" s="45"/>
      <c r="F81" s="45"/>
      <c r="G81" s="44"/>
      <c r="H81" s="44"/>
      <c r="I81" s="44"/>
      <c r="J81" s="51"/>
      <c r="K81" s="53">
        <v>3</v>
      </c>
      <c r="L81" s="45">
        <v>140.83000000000001</v>
      </c>
      <c r="M81" s="45"/>
      <c r="N81" s="45"/>
      <c r="O81" s="44"/>
      <c r="P81" s="44"/>
      <c r="Q81" s="44"/>
      <c r="R81" s="51"/>
      <c r="S81" s="53">
        <v>3</v>
      </c>
      <c r="T81" s="45">
        <v>141.77000000000001</v>
      </c>
      <c r="U81" s="45"/>
      <c r="V81" s="45"/>
      <c r="W81" s="44"/>
      <c r="X81" s="44"/>
      <c r="Y81" s="44"/>
      <c r="Z81" s="51"/>
      <c r="AA81" s="53">
        <v>3</v>
      </c>
      <c r="AB81" s="45">
        <v>142.44</v>
      </c>
      <c r="AC81" s="45"/>
      <c r="AD81" s="45"/>
      <c r="AE81" s="44"/>
      <c r="AF81" s="44"/>
      <c r="AG81" s="44"/>
      <c r="AH81" s="51"/>
      <c r="AI81" s="53">
        <v>3</v>
      </c>
      <c r="AJ81" s="45">
        <v>139.72999999999999</v>
      </c>
      <c r="AK81" s="45"/>
      <c r="AL81" s="45"/>
      <c r="AM81" s="44"/>
      <c r="AN81" s="44"/>
      <c r="AO81" s="44"/>
      <c r="AP81" s="51"/>
    </row>
    <row r="82" spans="1:42" ht="21" customHeight="1" thickTop="1" thickBot="1" x14ac:dyDescent="0.35">
      <c r="A82" s="63"/>
      <c r="B82" s="78"/>
      <c r="C82" s="53">
        <v>4</v>
      </c>
      <c r="D82" s="45">
        <v>141.13999999999999</v>
      </c>
      <c r="E82" s="45"/>
      <c r="F82" s="45"/>
      <c r="G82" s="45"/>
      <c r="H82" s="45"/>
      <c r="I82" s="45"/>
      <c r="J82" s="51"/>
      <c r="K82" s="53">
        <v>4</v>
      </c>
      <c r="L82" s="45">
        <v>141.12</v>
      </c>
      <c r="M82" s="45"/>
      <c r="N82" s="45"/>
      <c r="O82" s="45"/>
      <c r="P82" s="45"/>
      <c r="Q82" s="45"/>
      <c r="R82" s="51"/>
      <c r="S82" s="53">
        <v>4</v>
      </c>
      <c r="T82" s="45">
        <v>141.78</v>
      </c>
      <c r="U82" s="45"/>
      <c r="V82" s="45"/>
      <c r="W82" s="45"/>
      <c r="X82" s="45"/>
      <c r="Y82" s="45"/>
      <c r="Z82" s="51"/>
      <c r="AA82" s="53">
        <v>4</v>
      </c>
      <c r="AB82" s="45">
        <v>139.66999999999999</v>
      </c>
      <c r="AC82" s="45"/>
      <c r="AD82" s="45"/>
      <c r="AE82" s="45"/>
      <c r="AF82" s="45"/>
      <c r="AG82" s="45"/>
      <c r="AH82" s="51"/>
      <c r="AI82" s="53">
        <v>4</v>
      </c>
      <c r="AJ82" s="45">
        <v>139.75</v>
      </c>
      <c r="AK82" s="45"/>
      <c r="AL82" s="45"/>
      <c r="AM82" s="45"/>
      <c r="AN82" s="45"/>
      <c r="AO82" s="45"/>
      <c r="AP82" s="51"/>
    </row>
    <row r="83" spans="1:42" ht="21" customHeight="1" thickTop="1" thickBot="1" x14ac:dyDescent="0.35">
      <c r="A83" s="63"/>
      <c r="B83" s="78"/>
      <c r="C83" s="53">
        <v>5</v>
      </c>
      <c r="D83" s="45">
        <v>139.13</v>
      </c>
      <c r="E83" s="45"/>
      <c r="F83" s="45"/>
      <c r="G83" s="45"/>
      <c r="H83" s="45"/>
      <c r="I83" s="45"/>
      <c r="J83" s="51"/>
      <c r="K83" s="53">
        <v>5</v>
      </c>
      <c r="L83" s="45">
        <v>141.13</v>
      </c>
      <c r="M83" s="45"/>
      <c r="N83" s="45"/>
      <c r="O83" s="45"/>
      <c r="P83" s="45"/>
      <c r="Q83" s="45"/>
      <c r="R83" s="51"/>
      <c r="S83" s="53">
        <v>5</v>
      </c>
      <c r="T83" s="45">
        <v>140.54</v>
      </c>
      <c r="U83" s="45"/>
      <c r="V83" s="45"/>
      <c r="W83" s="45"/>
      <c r="X83" s="45"/>
      <c r="Y83" s="45"/>
      <c r="Z83" s="51"/>
      <c r="AA83" s="53">
        <v>5</v>
      </c>
      <c r="AB83" s="45">
        <v>139.74</v>
      </c>
      <c r="AC83" s="45"/>
      <c r="AD83" s="45"/>
      <c r="AE83" s="45"/>
      <c r="AF83" s="45"/>
      <c r="AG83" s="45"/>
      <c r="AH83" s="51"/>
      <c r="AI83" s="53">
        <v>5</v>
      </c>
      <c r="AJ83" s="45">
        <v>139.75</v>
      </c>
      <c r="AK83" s="45"/>
      <c r="AL83" s="45"/>
      <c r="AM83" s="45"/>
      <c r="AN83" s="45"/>
      <c r="AO83" s="45"/>
      <c r="AP83" s="51"/>
    </row>
    <row r="84" spans="1:42" ht="21" customHeight="1" thickTop="1" thickBot="1" x14ac:dyDescent="0.35">
      <c r="A84" s="63"/>
      <c r="B84" s="78"/>
      <c r="C84" s="53">
        <v>6</v>
      </c>
      <c r="D84" s="45">
        <v>139</v>
      </c>
      <c r="E84" s="45"/>
      <c r="F84" s="45"/>
      <c r="G84" s="45"/>
      <c r="H84" s="45"/>
      <c r="I84" s="45"/>
      <c r="J84" s="51"/>
      <c r="K84" s="53">
        <v>6</v>
      </c>
      <c r="L84" s="45">
        <v>140.88999999999999</v>
      </c>
      <c r="M84" s="45"/>
      <c r="N84" s="45"/>
      <c r="O84" s="45"/>
      <c r="P84" s="45"/>
      <c r="Q84" s="45"/>
      <c r="R84" s="51"/>
      <c r="S84" s="53">
        <v>6</v>
      </c>
      <c r="T84" s="45">
        <v>140.74</v>
      </c>
      <c r="U84" s="45"/>
      <c r="V84" s="45"/>
      <c r="W84" s="45"/>
      <c r="X84" s="45"/>
      <c r="Y84" s="45"/>
      <c r="Z84" s="51"/>
      <c r="AA84" s="53">
        <v>6</v>
      </c>
      <c r="AB84" s="45">
        <v>139.81</v>
      </c>
      <c r="AC84" s="45"/>
      <c r="AD84" s="45"/>
      <c r="AE84" s="45"/>
      <c r="AF84" s="45"/>
      <c r="AG84" s="45"/>
      <c r="AH84" s="51"/>
      <c r="AI84" s="53">
        <v>6</v>
      </c>
      <c r="AJ84" s="45">
        <v>139.37</v>
      </c>
      <c r="AK84" s="45"/>
      <c r="AL84" s="45"/>
      <c r="AM84" s="45"/>
      <c r="AN84" s="45"/>
      <c r="AO84" s="45"/>
      <c r="AP84" s="51"/>
    </row>
    <row r="85" spans="1:42" ht="21" customHeight="1" thickTop="1" thickBot="1" x14ac:dyDescent="0.35">
      <c r="A85" s="63"/>
      <c r="B85" s="78"/>
      <c r="C85" s="53">
        <v>7</v>
      </c>
      <c r="D85" s="45">
        <v>141.12</v>
      </c>
      <c r="E85" s="45"/>
      <c r="F85" s="45"/>
      <c r="G85" s="45"/>
      <c r="H85" s="45"/>
      <c r="I85" s="45"/>
      <c r="J85" s="51"/>
      <c r="K85" s="53">
        <v>7</v>
      </c>
      <c r="L85" s="45">
        <v>139.66999999999999</v>
      </c>
      <c r="M85" s="45"/>
      <c r="N85" s="45"/>
      <c r="O85" s="45"/>
      <c r="P85" s="45"/>
      <c r="Q85" s="45"/>
      <c r="R85" s="51"/>
      <c r="S85" s="53">
        <v>7</v>
      </c>
      <c r="T85" s="45">
        <v>142.13</v>
      </c>
      <c r="U85" s="45"/>
      <c r="V85" s="45"/>
      <c r="W85" s="45"/>
      <c r="X85" s="45"/>
      <c r="Y85" s="45"/>
      <c r="Z85" s="51"/>
      <c r="AA85" s="53">
        <v>7</v>
      </c>
      <c r="AB85" s="45">
        <v>142.55000000000001</v>
      </c>
      <c r="AC85" s="45"/>
      <c r="AD85" s="45"/>
      <c r="AE85" s="45"/>
      <c r="AF85" s="45"/>
      <c r="AG85" s="45"/>
      <c r="AH85" s="51"/>
      <c r="AI85" s="53">
        <v>7</v>
      </c>
      <c r="AJ85" s="45">
        <v>140.44</v>
      </c>
      <c r="AK85" s="45"/>
      <c r="AL85" s="45"/>
      <c r="AM85" s="45"/>
      <c r="AN85" s="45"/>
      <c r="AO85" s="45"/>
      <c r="AP85" s="51"/>
    </row>
    <row r="86" spans="1:42" ht="21" customHeight="1" thickTop="1" thickBot="1" x14ac:dyDescent="0.35">
      <c r="A86" s="63"/>
      <c r="B86" s="78"/>
      <c r="C86" s="53">
        <v>8</v>
      </c>
      <c r="D86" s="45">
        <v>139.29</v>
      </c>
      <c r="E86" s="45"/>
      <c r="F86" s="45"/>
      <c r="G86" s="45"/>
      <c r="H86" s="45"/>
      <c r="I86" s="45"/>
      <c r="J86" s="51"/>
      <c r="K86" s="53">
        <v>8</v>
      </c>
      <c r="L86" s="45">
        <v>140.16999999999999</v>
      </c>
      <c r="M86" s="45"/>
      <c r="N86" s="45"/>
      <c r="O86" s="45"/>
      <c r="P86" s="45"/>
      <c r="Q86" s="45"/>
      <c r="R86" s="51"/>
      <c r="S86" s="53">
        <v>8</v>
      </c>
      <c r="T86" s="45">
        <v>142.47999999999999</v>
      </c>
      <c r="U86" s="45"/>
      <c r="V86" s="45"/>
      <c r="W86" s="45"/>
      <c r="X86" s="45"/>
      <c r="Y86" s="45"/>
      <c r="Z86" s="51"/>
      <c r="AA86" s="53">
        <v>8</v>
      </c>
      <c r="AB86" s="45">
        <v>140.41</v>
      </c>
      <c r="AC86" s="45"/>
      <c r="AD86" s="45"/>
      <c r="AE86" s="45"/>
      <c r="AF86" s="45"/>
      <c r="AG86" s="45"/>
      <c r="AH86" s="51"/>
      <c r="AI86" s="53">
        <v>8</v>
      </c>
      <c r="AJ86" s="45">
        <v>139.82</v>
      </c>
      <c r="AK86" s="45"/>
      <c r="AL86" s="45"/>
      <c r="AM86" s="45"/>
      <c r="AN86" s="45"/>
      <c r="AO86" s="45"/>
      <c r="AP86" s="51"/>
    </row>
    <row r="87" spans="1:42" ht="21" customHeight="1" thickTop="1" thickBot="1" x14ac:dyDescent="0.35">
      <c r="A87" s="63"/>
      <c r="B87" s="78"/>
      <c r="C87" s="53">
        <v>9</v>
      </c>
      <c r="D87" s="45">
        <v>141.13</v>
      </c>
      <c r="E87" s="45"/>
      <c r="F87" s="45"/>
      <c r="G87" s="45"/>
      <c r="H87" s="45"/>
      <c r="I87" s="45"/>
      <c r="J87" s="51"/>
      <c r="K87" s="53">
        <v>9</v>
      </c>
      <c r="L87" s="45">
        <v>141.88999999999999</v>
      </c>
      <c r="M87" s="45"/>
      <c r="N87" s="45"/>
      <c r="O87" s="45"/>
      <c r="P87" s="45"/>
      <c r="Q87" s="45"/>
      <c r="R87" s="51"/>
      <c r="S87" s="53">
        <v>9</v>
      </c>
      <c r="T87" s="45">
        <v>141.81</v>
      </c>
      <c r="U87" s="45"/>
      <c r="V87" s="45"/>
      <c r="W87" s="45"/>
      <c r="X87" s="45"/>
      <c r="Y87" s="45"/>
      <c r="Z87" s="51"/>
      <c r="AA87" s="53">
        <v>9</v>
      </c>
      <c r="AB87" s="45">
        <v>141.59</v>
      </c>
      <c r="AC87" s="45"/>
      <c r="AD87" s="45"/>
      <c r="AE87" s="45"/>
      <c r="AF87" s="45"/>
      <c r="AG87" s="45"/>
      <c r="AH87" s="51"/>
      <c r="AI87" s="53">
        <v>9</v>
      </c>
      <c r="AJ87" s="45">
        <v>140.78</v>
      </c>
      <c r="AK87" s="45"/>
      <c r="AL87" s="45"/>
      <c r="AM87" s="45"/>
      <c r="AN87" s="45"/>
      <c r="AO87" s="45"/>
      <c r="AP87" s="51"/>
    </row>
    <row r="88" spans="1:42" ht="21" customHeight="1" thickTop="1" thickBot="1" x14ac:dyDescent="0.35">
      <c r="A88" s="63"/>
      <c r="B88" s="78"/>
      <c r="C88" s="53">
        <v>10</v>
      </c>
      <c r="D88" s="45">
        <v>139.22</v>
      </c>
      <c r="E88" s="45"/>
      <c r="F88" s="45"/>
      <c r="G88" s="45"/>
      <c r="H88" s="45"/>
      <c r="I88" s="45"/>
      <c r="J88" s="51"/>
      <c r="K88" s="53">
        <v>10</v>
      </c>
      <c r="L88" s="45">
        <v>141.56</v>
      </c>
      <c r="M88" s="45"/>
      <c r="N88" s="45"/>
      <c r="O88" s="45"/>
      <c r="P88" s="45"/>
      <c r="Q88" s="45"/>
      <c r="R88" s="51"/>
      <c r="S88" s="53">
        <v>10</v>
      </c>
      <c r="T88" s="45">
        <v>141.57</v>
      </c>
      <c r="U88" s="45"/>
      <c r="V88" s="45"/>
      <c r="W88" s="45"/>
      <c r="X88" s="45"/>
      <c r="Y88" s="45"/>
      <c r="Z88" s="51"/>
      <c r="AA88" s="53">
        <v>10</v>
      </c>
      <c r="AB88" s="45">
        <v>142.47999999999999</v>
      </c>
      <c r="AC88" s="45"/>
      <c r="AD88" s="45"/>
      <c r="AE88" s="45"/>
      <c r="AF88" s="45"/>
      <c r="AG88" s="45"/>
      <c r="AH88" s="51"/>
      <c r="AI88" s="53">
        <v>10</v>
      </c>
      <c r="AJ88" s="45">
        <v>139.66999999999999</v>
      </c>
      <c r="AK88" s="45"/>
      <c r="AL88" s="45"/>
      <c r="AM88" s="45"/>
      <c r="AN88" s="45"/>
      <c r="AO88" s="45"/>
      <c r="AP88" s="51"/>
    </row>
    <row r="89" spans="1:42" ht="21" customHeight="1" thickTop="1" thickBot="1" x14ac:dyDescent="0.35">
      <c r="A89" s="63"/>
      <c r="B89" s="78"/>
      <c r="C89" s="53"/>
      <c r="D89" s="45"/>
      <c r="E89" s="45"/>
      <c r="F89" s="45"/>
      <c r="G89" s="45"/>
      <c r="H89" s="45"/>
      <c r="I89" s="45"/>
      <c r="J89" s="51"/>
      <c r="K89" s="53"/>
      <c r="L89" s="45"/>
      <c r="M89" s="45"/>
      <c r="N89" s="45"/>
      <c r="O89" s="45"/>
      <c r="P89" s="45"/>
      <c r="Q89" s="45"/>
      <c r="R89" s="51"/>
      <c r="S89" s="53"/>
      <c r="T89" s="45"/>
      <c r="U89" s="45"/>
      <c r="V89" s="45"/>
      <c r="W89" s="45"/>
      <c r="X89" s="45"/>
      <c r="Y89" s="45"/>
      <c r="Z89" s="51"/>
      <c r="AA89" s="53"/>
      <c r="AB89" s="45"/>
      <c r="AC89" s="45"/>
      <c r="AD89" s="45"/>
      <c r="AE89" s="45"/>
      <c r="AF89" s="45"/>
      <c r="AG89" s="45"/>
      <c r="AH89" s="51"/>
      <c r="AI89" s="53"/>
      <c r="AJ89" s="45"/>
      <c r="AK89" s="45"/>
      <c r="AL89" s="45"/>
      <c r="AM89" s="45"/>
      <c r="AN89" s="45"/>
      <c r="AO89" s="45"/>
      <c r="AP89" s="51"/>
    </row>
    <row r="90" spans="1:42" ht="21" customHeight="1" thickTop="1" thickBot="1" x14ac:dyDescent="0.35">
      <c r="A90" s="63"/>
      <c r="B90" s="78"/>
      <c r="C90" s="54" t="s">
        <v>16</v>
      </c>
      <c r="D90" s="49">
        <f>MIN(D79:D88)</f>
        <v>138.47</v>
      </c>
      <c r="E90" s="45"/>
      <c r="F90" s="55" t="s">
        <v>17</v>
      </c>
      <c r="G90" s="49" t="s">
        <v>18</v>
      </c>
      <c r="H90" s="49" t="s">
        <v>19</v>
      </c>
      <c r="I90" s="45"/>
      <c r="J90" s="51"/>
      <c r="K90" s="54" t="s">
        <v>16</v>
      </c>
      <c r="L90" s="49">
        <f>MIN(L79:L88)</f>
        <v>139.66999999999999</v>
      </c>
      <c r="M90" s="45"/>
      <c r="N90" s="55" t="s">
        <v>17</v>
      </c>
      <c r="O90" s="49" t="s">
        <v>18</v>
      </c>
      <c r="P90" s="49" t="s">
        <v>19</v>
      </c>
      <c r="Q90" s="45"/>
      <c r="R90" s="51"/>
      <c r="S90" s="54" t="s">
        <v>16</v>
      </c>
      <c r="T90" s="49">
        <f>MIN(T79:T88)</f>
        <v>140.24</v>
      </c>
      <c r="U90" s="45"/>
      <c r="V90" s="55" t="s">
        <v>17</v>
      </c>
      <c r="W90" s="49" t="s">
        <v>18</v>
      </c>
      <c r="X90" s="49" t="s">
        <v>19</v>
      </c>
      <c r="Y90" s="45"/>
      <c r="Z90" s="51"/>
      <c r="AA90" s="54" t="s">
        <v>16</v>
      </c>
      <c r="AB90" s="49">
        <f>MIN(AB79:AB88)</f>
        <v>139.66999999999999</v>
      </c>
      <c r="AC90" s="45"/>
      <c r="AD90" s="55" t="s">
        <v>17</v>
      </c>
      <c r="AE90" s="49" t="s">
        <v>18</v>
      </c>
      <c r="AF90" s="49" t="s">
        <v>19</v>
      </c>
      <c r="AG90" s="45"/>
      <c r="AH90" s="51"/>
      <c r="AI90" s="54" t="s">
        <v>16</v>
      </c>
      <c r="AJ90" s="49">
        <f>MIN(AJ79:AJ88)</f>
        <v>139.37</v>
      </c>
      <c r="AK90" s="45"/>
      <c r="AL90" s="55" t="s">
        <v>17</v>
      </c>
      <c r="AM90" s="49" t="s">
        <v>18</v>
      </c>
      <c r="AN90" s="49" t="s">
        <v>19</v>
      </c>
      <c r="AO90" s="45"/>
      <c r="AP90" s="51"/>
    </row>
    <row r="91" spans="1:42" ht="21" customHeight="1" thickTop="1" thickBot="1" x14ac:dyDescent="0.35">
      <c r="A91" s="63"/>
      <c r="B91" s="78"/>
      <c r="C91" s="54" t="s">
        <v>20</v>
      </c>
      <c r="D91" s="48">
        <f>AVERAGE(D79:D88)</f>
        <v>140.19199999999998</v>
      </c>
      <c r="E91" s="47"/>
      <c r="F91" s="48">
        <f>_xlfn.STDEV.S(D79:D88) / AVERAGE(D79:D88) * 100%</f>
        <v>9.0614570409873977E-3</v>
      </c>
      <c r="G91" s="48">
        <f t="array" ref="G91">MIN((D79:D88 - MIN(D79:D88,L79:L88,T79:T88,AB79:AB88,AJ79:AJ88))/MIN(D79:D88,L79:L88,T79:T88,AB79:AB88,AJ79:AJ88)*100%)</f>
        <v>0</v>
      </c>
      <c r="H91" s="48">
        <f t="array" ref="H91">AVERAGE((D79:D88 - MIN(D79:D88,L79:L88,T79:T88,AB79:AB88,AJ79:AJ88))/MIN(D79:D88,L79:L88,T79:T88,AB79:AB88,AJ79:AJ88)*100%)</f>
        <v>1.2435906694590864E-2</v>
      </c>
      <c r="I91" s="45"/>
      <c r="J91" s="51"/>
      <c r="K91" s="54" t="s">
        <v>20</v>
      </c>
      <c r="L91" s="48">
        <f>AVERAGE(L79:L88)</f>
        <v>140.98699999999999</v>
      </c>
      <c r="M91" s="47"/>
      <c r="N91" s="48">
        <f>_xlfn.STDEV.S(L79:L88) / AVERAGE(L79:L88) * 100%</f>
        <v>4.6210779492777384E-3</v>
      </c>
      <c r="O91" s="48">
        <f t="array" ref="O91">MIN((L79:L88 - MIN(D79:D88,L79:L88,T79:T88,AB79:AB88,AJ79:AJ88))/MIN(D79:D88,L79:L88,T79:T88,AB79:AB88,AJ79:AJ88)*100%)</f>
        <v>8.6661370694012321E-3</v>
      </c>
      <c r="P91" s="48">
        <f t="array" ref="P91">AVERAGE((L79:L88 - MIN(D79:D88,L79:L88,T79:T88,AB79:AB88,AJ79:AJ88))/MIN(D79:D88,L79:L88,T79:T88,AB79:AB88,AJ79:AJ88)*100%)</f>
        <v>1.8177222503069249E-2</v>
      </c>
      <c r="Q91" s="44"/>
      <c r="R91" s="51"/>
      <c r="S91" s="54" t="s">
        <v>20</v>
      </c>
      <c r="T91" s="48">
        <f>AVERAGE(T79:T88)</f>
        <v>141.55099999999999</v>
      </c>
      <c r="U91" s="47"/>
      <c r="V91" s="48">
        <f>_xlfn.STDEV.S(T79:T88) / AVERAGE(T79:T88) * 100%</f>
        <v>5.5591198719732015E-3</v>
      </c>
      <c r="W91" s="48">
        <f t="array" ref="W91">MIN((T79:T88 - MIN(D79:D88,L79:L88,T79:T88,AB79:AB88,AJ79:AJ88))/MIN(D79:D88,L79:L88,T79:T88,AB79:AB88,AJ79:AJ88)*100%)</f>
        <v>1.2782552177367013E-2</v>
      </c>
      <c r="X91" s="48">
        <f t="array" ref="X91">AVERAGE((T79:T88 - MIN(D79:D88,L79:L88,T79:T88,AB79:AB88,AJ79:AJ88))/MIN(D79:D88,L79:L88,T79:T88,AB79:AB88,AJ79:AJ88)*100%)</f>
        <v>2.2250306925687878E-2</v>
      </c>
      <c r="Y91" s="44"/>
      <c r="Z91" s="51"/>
      <c r="AA91" s="54" t="s">
        <v>20</v>
      </c>
      <c r="AB91" s="48">
        <f>AVERAGE(AB79:AB88)</f>
        <v>140.91</v>
      </c>
      <c r="AC91" s="47"/>
      <c r="AD91" s="48">
        <f>_xlfn.STDEV.S(AB79:AB88) / AVERAGE(AB79:AB88) * 100%</f>
        <v>8.7386828696549412E-3</v>
      </c>
      <c r="AE91" s="48">
        <f t="array" ref="AE91">MIN((AB79:AB88 - MIN(D79:D88,L79:L88,T79:T88,AB79:AB88,AJ79:AJ88))/MIN(D79:D88,L79:L88,T79:T88,AB79:AB88,AJ79:AJ88)*100%)</f>
        <v>8.6661370694012321E-3</v>
      </c>
      <c r="AF91" s="48">
        <f t="array" ref="AF91">AVERAGE((AB79:AB88 - MIN(D79:D88,L79:L88,T79:T88,AB79:AB88,AJ79:AJ88))/MIN(D79:D88,L79:L88,T79:T88,AB79:AB88,AJ79:AJ88)*100%)</f>
        <v>1.7621145374449365E-2</v>
      </c>
      <c r="AG91" s="44"/>
      <c r="AH91" s="51"/>
      <c r="AI91" s="54" t="s">
        <v>20</v>
      </c>
      <c r="AJ91" s="48">
        <f>AVERAGE(AJ79:AJ88)</f>
        <v>140.011</v>
      </c>
      <c r="AK91" s="47"/>
      <c r="AL91" s="48">
        <f>_xlfn.STDEV.S(AJ79:AJ88) / AVERAGE(AJ79:AJ88) * 100%</f>
        <v>3.9514178195083627E-3</v>
      </c>
      <c r="AM91" s="48">
        <f t="array" ref="AM91">MIN((AJ79:AJ88 - MIN(D79:D88,L79:L88,T79:T88,AB79:AB88,AJ79:AJ88))/MIN(D79:D88,L79:L88,T79:T88,AB79:AB88,AJ79:AJ88)*100%)</f>
        <v>6.4996028020510264E-3</v>
      </c>
      <c r="AN91" s="48">
        <f t="array" ref="AN91">AVERAGE((AJ79:AJ88 - MIN(D79:D88,L79:L88,T79:T88,AB79:AB88,AJ79:AJ88))/MIN(D79:D88,L79:L88,T79:T88,AB79:AB88,AJ79:AJ88)*100%)</f>
        <v>1.1128764353289498E-2</v>
      </c>
      <c r="AO91" s="44"/>
      <c r="AP91" s="51"/>
    </row>
    <row r="92" spans="1:42" ht="21" customHeight="1" thickTop="1" thickBot="1" x14ac:dyDescent="0.35">
      <c r="A92" s="63"/>
      <c r="B92" s="79"/>
      <c r="C92" s="53" t="s">
        <v>32</v>
      </c>
      <c r="D92" s="44"/>
      <c r="E92" s="44"/>
      <c r="F92" s="44"/>
      <c r="G92" s="44"/>
      <c r="H92" s="44"/>
      <c r="I92" s="44"/>
      <c r="J92" s="51"/>
      <c r="K92" s="53"/>
      <c r="L92" s="44"/>
      <c r="M92" s="44"/>
      <c r="N92" s="44"/>
      <c r="O92" s="44"/>
      <c r="P92" s="44"/>
      <c r="Q92" s="44"/>
      <c r="R92" s="51"/>
      <c r="S92" s="53"/>
      <c r="T92" s="44"/>
      <c r="U92" s="44"/>
      <c r="V92" s="44"/>
      <c r="W92" s="44"/>
      <c r="X92" s="44"/>
      <c r="Y92" s="44"/>
      <c r="Z92" s="51"/>
      <c r="AA92" s="53"/>
      <c r="AB92" s="44"/>
      <c r="AC92" s="44"/>
      <c r="AD92" s="44"/>
      <c r="AE92" s="44"/>
      <c r="AF92" s="44"/>
      <c r="AG92" s="44"/>
      <c r="AH92" s="51"/>
      <c r="AI92" s="53"/>
      <c r="AJ92" s="44"/>
      <c r="AK92" s="44"/>
      <c r="AL92" s="44"/>
      <c r="AM92" s="44"/>
      <c r="AN92" s="44"/>
      <c r="AO92" s="44"/>
      <c r="AP92" s="51"/>
    </row>
    <row r="93" spans="1:42" ht="21" customHeight="1" thickTop="1" thickBot="1" x14ac:dyDescent="0.35">
      <c r="A93" s="63"/>
      <c r="B93" s="77" t="s">
        <v>33</v>
      </c>
      <c r="C93" s="59" t="s">
        <v>8</v>
      </c>
      <c r="D93" s="46" t="s">
        <v>9</v>
      </c>
      <c r="E93" s="46" t="s">
        <v>10</v>
      </c>
      <c r="F93" s="46" t="s">
        <v>11</v>
      </c>
      <c r="G93" s="46" t="s">
        <v>12</v>
      </c>
      <c r="H93" s="46" t="s">
        <v>13</v>
      </c>
      <c r="I93" s="46" t="s">
        <v>14</v>
      </c>
      <c r="J93" s="60" t="s">
        <v>15</v>
      </c>
      <c r="K93" s="59" t="s">
        <v>8</v>
      </c>
      <c r="L93" s="46" t="s">
        <v>9</v>
      </c>
      <c r="M93" s="46" t="s">
        <v>10</v>
      </c>
      <c r="N93" s="46" t="s">
        <v>11</v>
      </c>
      <c r="O93" s="46" t="s">
        <v>12</v>
      </c>
      <c r="P93" s="46" t="s">
        <v>13</v>
      </c>
      <c r="Q93" s="46" t="s">
        <v>14</v>
      </c>
      <c r="R93" s="60" t="s">
        <v>15</v>
      </c>
      <c r="S93" s="59" t="s">
        <v>8</v>
      </c>
      <c r="T93" s="46" t="s">
        <v>9</v>
      </c>
      <c r="U93" s="46" t="s">
        <v>10</v>
      </c>
      <c r="V93" s="46" t="s">
        <v>11</v>
      </c>
      <c r="W93" s="46" t="s">
        <v>12</v>
      </c>
      <c r="X93" s="46" t="s">
        <v>13</v>
      </c>
      <c r="Y93" s="46" t="s">
        <v>14</v>
      </c>
      <c r="Z93" s="60" t="s">
        <v>15</v>
      </c>
      <c r="AA93" s="59" t="s">
        <v>8</v>
      </c>
      <c r="AB93" s="46" t="s">
        <v>9</v>
      </c>
      <c r="AC93" s="46" t="s">
        <v>10</v>
      </c>
      <c r="AD93" s="46" t="s">
        <v>11</v>
      </c>
      <c r="AE93" s="46" t="s">
        <v>12</v>
      </c>
      <c r="AF93" s="46" t="s">
        <v>13</v>
      </c>
      <c r="AG93" s="46" t="s">
        <v>14</v>
      </c>
      <c r="AH93" s="60" t="s">
        <v>15</v>
      </c>
      <c r="AI93" s="59" t="s">
        <v>8</v>
      </c>
      <c r="AJ93" s="46" t="s">
        <v>9</v>
      </c>
      <c r="AK93" s="46" t="s">
        <v>10</v>
      </c>
      <c r="AL93" s="46" t="s">
        <v>11</v>
      </c>
      <c r="AM93" s="46" t="s">
        <v>12</v>
      </c>
      <c r="AN93" s="46" t="s">
        <v>13</v>
      </c>
      <c r="AO93" s="46" t="s">
        <v>14</v>
      </c>
      <c r="AP93" s="60" t="s">
        <v>15</v>
      </c>
    </row>
    <row r="94" spans="1:42" ht="21" customHeight="1" thickTop="1" thickBot="1" x14ac:dyDescent="0.35">
      <c r="A94" s="63"/>
      <c r="B94" s="78"/>
      <c r="C94" s="52">
        <v>1</v>
      </c>
      <c r="D94" s="44">
        <v>139.62</v>
      </c>
      <c r="E94" s="44"/>
      <c r="F94" s="44"/>
      <c r="G94" s="44"/>
      <c r="H94" s="44"/>
      <c r="I94" s="44"/>
      <c r="J94" s="51"/>
      <c r="K94" s="52">
        <v>1</v>
      </c>
      <c r="L94" s="44">
        <v>141.37</v>
      </c>
      <c r="M94" s="44"/>
      <c r="N94" s="44"/>
      <c r="O94" s="44"/>
      <c r="P94" s="44"/>
      <c r="Q94" s="44"/>
      <c r="R94" s="51"/>
      <c r="S94" s="52">
        <v>1</v>
      </c>
      <c r="T94" s="44">
        <v>141.82</v>
      </c>
      <c r="U94" s="44"/>
      <c r="V94" s="44"/>
      <c r="W94" s="44"/>
      <c r="X94" s="44"/>
      <c r="Y94" s="44"/>
      <c r="Z94" s="51"/>
      <c r="AA94" s="52">
        <v>1</v>
      </c>
      <c r="AB94" s="44">
        <v>140.38</v>
      </c>
      <c r="AC94" s="44"/>
      <c r="AD94" s="44"/>
      <c r="AE94" s="44"/>
      <c r="AF94" s="44"/>
      <c r="AG94" s="44"/>
      <c r="AH94" s="51"/>
      <c r="AI94" s="52">
        <v>1</v>
      </c>
      <c r="AJ94" s="44">
        <v>141.35</v>
      </c>
      <c r="AK94" s="44"/>
      <c r="AL94" s="44"/>
      <c r="AM94" s="44"/>
      <c r="AN94" s="44"/>
      <c r="AO94" s="44"/>
      <c r="AP94" s="51"/>
    </row>
    <row r="95" spans="1:42" ht="21" customHeight="1" thickTop="1" thickBot="1" x14ac:dyDescent="0.35">
      <c r="A95" s="63"/>
      <c r="B95" s="78"/>
      <c r="C95" s="53">
        <v>2</v>
      </c>
      <c r="D95" s="45">
        <v>141.16</v>
      </c>
      <c r="E95" s="45"/>
      <c r="F95" s="45"/>
      <c r="G95" s="45"/>
      <c r="H95" s="45"/>
      <c r="I95" s="45"/>
      <c r="J95" s="51"/>
      <c r="K95" s="53">
        <v>2</v>
      </c>
      <c r="L95" s="45">
        <v>141.32</v>
      </c>
      <c r="M95" s="45"/>
      <c r="N95" s="45"/>
      <c r="O95" s="45"/>
      <c r="P95" s="45"/>
      <c r="Q95" s="45"/>
      <c r="R95" s="51"/>
      <c r="S95" s="53">
        <v>2</v>
      </c>
      <c r="T95" s="45">
        <v>144.35</v>
      </c>
      <c r="U95" s="45"/>
      <c r="V95" s="45"/>
      <c r="W95" s="45"/>
      <c r="X95" s="45"/>
      <c r="Y95" s="45"/>
      <c r="Z95" s="51"/>
      <c r="AA95" s="53">
        <v>2</v>
      </c>
      <c r="AB95" s="45">
        <v>142.27000000000001</v>
      </c>
      <c r="AC95" s="45"/>
      <c r="AD95" s="45"/>
      <c r="AE95" s="45"/>
      <c r="AF95" s="45"/>
      <c r="AG95" s="45"/>
      <c r="AH95" s="51"/>
      <c r="AI95" s="53">
        <v>2</v>
      </c>
      <c r="AJ95" s="45">
        <v>141.28</v>
      </c>
      <c r="AK95" s="45"/>
      <c r="AL95" s="45"/>
      <c r="AM95" s="45"/>
      <c r="AN95" s="45"/>
      <c r="AO95" s="45"/>
      <c r="AP95" s="51"/>
    </row>
    <row r="96" spans="1:42" ht="21" customHeight="1" thickTop="1" thickBot="1" x14ac:dyDescent="0.35">
      <c r="A96" s="63"/>
      <c r="B96" s="78"/>
      <c r="C96" s="53">
        <v>3</v>
      </c>
      <c r="D96" s="45">
        <v>141.22</v>
      </c>
      <c r="E96" s="45"/>
      <c r="F96" s="45"/>
      <c r="G96" s="44"/>
      <c r="H96" s="44"/>
      <c r="I96" s="44"/>
      <c r="J96" s="51"/>
      <c r="K96" s="53">
        <v>3</v>
      </c>
      <c r="L96" s="45">
        <v>141.65</v>
      </c>
      <c r="M96" s="45"/>
      <c r="N96" s="45"/>
      <c r="O96" s="44"/>
      <c r="P96" s="44"/>
      <c r="Q96" s="44"/>
      <c r="R96" s="51"/>
      <c r="S96" s="53">
        <v>3</v>
      </c>
      <c r="T96" s="45">
        <v>143.41999999999999</v>
      </c>
      <c r="U96" s="45"/>
      <c r="V96" s="45"/>
      <c r="W96" s="44"/>
      <c r="X96" s="44"/>
      <c r="Y96" s="44"/>
      <c r="Z96" s="51"/>
      <c r="AA96" s="53">
        <v>3</v>
      </c>
      <c r="AB96" s="45">
        <v>141.26</v>
      </c>
      <c r="AC96" s="45"/>
      <c r="AD96" s="45"/>
      <c r="AE96" s="44"/>
      <c r="AF96" s="44"/>
      <c r="AG96" s="44"/>
      <c r="AH96" s="51"/>
      <c r="AI96" s="53">
        <v>3</v>
      </c>
      <c r="AJ96" s="45">
        <v>140.52000000000001</v>
      </c>
      <c r="AK96" s="45"/>
      <c r="AL96" s="45"/>
      <c r="AM96" s="44"/>
      <c r="AN96" s="44"/>
      <c r="AO96" s="44"/>
      <c r="AP96" s="51"/>
    </row>
    <row r="97" spans="1:42" ht="21" customHeight="1" thickTop="1" thickBot="1" x14ac:dyDescent="0.35">
      <c r="A97" s="63"/>
      <c r="B97" s="78"/>
      <c r="C97" s="53">
        <v>4</v>
      </c>
      <c r="D97" s="45">
        <v>139.72</v>
      </c>
      <c r="E97" s="45"/>
      <c r="F97" s="45"/>
      <c r="G97" s="45"/>
      <c r="H97" s="45"/>
      <c r="I97" s="45"/>
      <c r="J97" s="51"/>
      <c r="K97" s="53">
        <v>4</v>
      </c>
      <c r="L97" s="45">
        <v>141.44999999999999</v>
      </c>
      <c r="M97" s="45"/>
      <c r="N97" s="45"/>
      <c r="O97" s="45"/>
      <c r="P97" s="45"/>
      <c r="Q97" s="45"/>
      <c r="R97" s="51"/>
      <c r="S97" s="53">
        <v>4</v>
      </c>
      <c r="T97" s="45">
        <v>142.91999999999999</v>
      </c>
      <c r="U97" s="45"/>
      <c r="V97" s="45"/>
      <c r="W97" s="45"/>
      <c r="X97" s="45"/>
      <c r="Y97" s="45"/>
      <c r="Z97" s="51"/>
      <c r="AA97" s="53">
        <v>4</v>
      </c>
      <c r="AB97" s="45">
        <v>143.5</v>
      </c>
      <c r="AC97" s="45"/>
      <c r="AD97" s="45"/>
      <c r="AE97" s="45"/>
      <c r="AF97" s="45"/>
      <c r="AG97" s="45"/>
      <c r="AH97" s="51"/>
      <c r="AI97" s="53">
        <v>4</v>
      </c>
      <c r="AJ97" s="45">
        <v>140.68</v>
      </c>
      <c r="AK97" s="45"/>
      <c r="AL97" s="45"/>
      <c r="AM97" s="45"/>
      <c r="AN97" s="45"/>
      <c r="AO97" s="45"/>
      <c r="AP97" s="51"/>
    </row>
    <row r="98" spans="1:42" ht="21" customHeight="1" thickTop="1" thickBot="1" x14ac:dyDescent="0.35">
      <c r="A98" s="63"/>
      <c r="B98" s="78"/>
      <c r="C98" s="53">
        <v>5</v>
      </c>
      <c r="D98" s="45">
        <v>141.18</v>
      </c>
      <c r="E98" s="45"/>
      <c r="F98" s="45"/>
      <c r="G98" s="45"/>
      <c r="H98" s="45"/>
      <c r="I98" s="45"/>
      <c r="J98" s="51"/>
      <c r="K98" s="53">
        <v>5</v>
      </c>
      <c r="L98" s="45">
        <v>140.49</v>
      </c>
      <c r="M98" s="45"/>
      <c r="N98" s="45"/>
      <c r="O98" s="45"/>
      <c r="P98" s="45"/>
      <c r="Q98" s="45"/>
      <c r="R98" s="51"/>
      <c r="S98" s="53">
        <v>5</v>
      </c>
      <c r="T98" s="45">
        <v>141.82</v>
      </c>
      <c r="U98" s="45"/>
      <c r="V98" s="45"/>
      <c r="W98" s="45"/>
      <c r="X98" s="45"/>
      <c r="Y98" s="45"/>
      <c r="Z98" s="51"/>
      <c r="AA98" s="53">
        <v>5</v>
      </c>
      <c r="AB98" s="45">
        <v>140.79</v>
      </c>
      <c r="AC98" s="45"/>
      <c r="AD98" s="45"/>
      <c r="AE98" s="45"/>
      <c r="AF98" s="45"/>
      <c r="AG98" s="45"/>
      <c r="AH98" s="51"/>
      <c r="AI98" s="53">
        <v>5</v>
      </c>
      <c r="AJ98" s="45">
        <v>140.52000000000001</v>
      </c>
      <c r="AK98" s="45"/>
      <c r="AL98" s="45"/>
      <c r="AM98" s="45"/>
      <c r="AN98" s="45"/>
      <c r="AO98" s="45"/>
      <c r="AP98" s="51"/>
    </row>
    <row r="99" spans="1:42" ht="21" customHeight="1" thickTop="1" thickBot="1" x14ac:dyDescent="0.35">
      <c r="A99" s="63"/>
      <c r="B99" s="78"/>
      <c r="C99" s="53">
        <v>6</v>
      </c>
      <c r="D99" s="45">
        <v>140.34</v>
      </c>
      <c r="E99" s="45"/>
      <c r="F99" s="45"/>
      <c r="G99" s="45"/>
      <c r="H99" s="45"/>
      <c r="I99" s="45"/>
      <c r="J99" s="51"/>
      <c r="K99" s="53">
        <v>6</v>
      </c>
      <c r="L99" s="45">
        <v>140.62</v>
      </c>
      <c r="M99" s="45"/>
      <c r="N99" s="45"/>
      <c r="O99" s="45"/>
      <c r="P99" s="45"/>
      <c r="Q99" s="45"/>
      <c r="R99" s="51"/>
      <c r="S99" s="53">
        <v>6</v>
      </c>
      <c r="T99" s="45">
        <v>143.19</v>
      </c>
      <c r="U99" s="45"/>
      <c r="V99" s="45"/>
      <c r="W99" s="45"/>
      <c r="X99" s="45"/>
      <c r="Y99" s="45"/>
      <c r="Z99" s="51"/>
      <c r="AA99" s="53">
        <v>6</v>
      </c>
      <c r="AB99" s="45">
        <v>141.12</v>
      </c>
      <c r="AC99" s="45"/>
      <c r="AD99" s="45"/>
      <c r="AE99" s="45"/>
      <c r="AF99" s="45"/>
      <c r="AG99" s="45"/>
      <c r="AH99" s="51"/>
      <c r="AI99" s="53">
        <v>6</v>
      </c>
      <c r="AJ99" s="45">
        <v>139.97</v>
      </c>
      <c r="AK99" s="45"/>
      <c r="AL99" s="45"/>
      <c r="AM99" s="45"/>
      <c r="AN99" s="45"/>
      <c r="AO99" s="45"/>
      <c r="AP99" s="51"/>
    </row>
    <row r="100" spans="1:42" ht="21" customHeight="1" thickTop="1" thickBot="1" x14ac:dyDescent="0.35">
      <c r="A100" s="63"/>
      <c r="B100" s="78"/>
      <c r="C100" s="53">
        <v>7</v>
      </c>
      <c r="D100" s="45">
        <v>139.69</v>
      </c>
      <c r="E100" s="45"/>
      <c r="F100" s="45"/>
      <c r="G100" s="45"/>
      <c r="H100" s="45"/>
      <c r="I100" s="45"/>
      <c r="J100" s="51"/>
      <c r="K100" s="53">
        <v>7</v>
      </c>
      <c r="L100" s="45">
        <v>141.08000000000001</v>
      </c>
      <c r="M100" s="45"/>
      <c r="N100" s="45"/>
      <c r="O100" s="45"/>
      <c r="P100" s="45"/>
      <c r="Q100" s="45"/>
      <c r="R100" s="51"/>
      <c r="S100" s="53">
        <v>7</v>
      </c>
      <c r="T100" s="45">
        <v>142.09</v>
      </c>
      <c r="U100" s="45"/>
      <c r="V100" s="45"/>
      <c r="W100" s="45"/>
      <c r="X100" s="45"/>
      <c r="Y100" s="45"/>
      <c r="Z100" s="51"/>
      <c r="AA100" s="53">
        <v>7</v>
      </c>
      <c r="AB100" s="45">
        <v>142.22</v>
      </c>
      <c r="AC100" s="45"/>
      <c r="AD100" s="45"/>
      <c r="AE100" s="45"/>
      <c r="AF100" s="45"/>
      <c r="AG100" s="45"/>
      <c r="AH100" s="51"/>
      <c r="AI100" s="53">
        <v>7</v>
      </c>
      <c r="AJ100" s="45">
        <v>141.69</v>
      </c>
      <c r="AK100" s="45"/>
      <c r="AL100" s="45"/>
      <c r="AM100" s="45"/>
      <c r="AN100" s="45"/>
      <c r="AO100" s="45"/>
      <c r="AP100" s="51"/>
    </row>
    <row r="101" spans="1:42" ht="21" customHeight="1" thickTop="1" thickBot="1" x14ac:dyDescent="0.35">
      <c r="A101" s="63"/>
      <c r="B101" s="78"/>
      <c r="C101" s="53">
        <v>8</v>
      </c>
      <c r="D101" s="45">
        <v>140.31</v>
      </c>
      <c r="E101" s="45"/>
      <c r="F101" s="45"/>
      <c r="G101" s="45"/>
      <c r="H101" s="45"/>
      <c r="I101" s="45"/>
      <c r="J101" s="51"/>
      <c r="K101" s="53">
        <v>8</v>
      </c>
      <c r="L101" s="45">
        <v>142.03</v>
      </c>
      <c r="M101" s="45"/>
      <c r="N101" s="45"/>
      <c r="O101" s="45"/>
      <c r="P101" s="45"/>
      <c r="Q101" s="45"/>
      <c r="R101" s="51"/>
      <c r="S101" s="53">
        <v>8</v>
      </c>
      <c r="T101" s="45">
        <v>140.97999999999999</v>
      </c>
      <c r="U101" s="45"/>
      <c r="V101" s="45"/>
      <c r="W101" s="45"/>
      <c r="X101" s="45"/>
      <c r="Y101" s="45"/>
      <c r="Z101" s="51"/>
      <c r="AA101" s="53">
        <v>8</v>
      </c>
      <c r="AB101" s="45">
        <v>138.94999999999999</v>
      </c>
      <c r="AC101" s="45"/>
      <c r="AD101" s="45"/>
      <c r="AE101" s="45"/>
      <c r="AF101" s="45"/>
      <c r="AG101" s="45"/>
      <c r="AH101" s="51"/>
      <c r="AI101" s="53">
        <v>8</v>
      </c>
      <c r="AJ101" s="45">
        <v>140.4</v>
      </c>
      <c r="AK101" s="45"/>
      <c r="AL101" s="45"/>
      <c r="AM101" s="45"/>
      <c r="AN101" s="45"/>
      <c r="AO101" s="45"/>
      <c r="AP101" s="51"/>
    </row>
    <row r="102" spans="1:42" ht="21" customHeight="1" thickTop="1" thickBot="1" x14ac:dyDescent="0.35">
      <c r="A102" s="63"/>
      <c r="B102" s="78"/>
      <c r="C102" s="53">
        <v>9</v>
      </c>
      <c r="D102" s="45">
        <v>140.88999999999999</v>
      </c>
      <c r="E102" s="45"/>
      <c r="F102" s="45"/>
      <c r="G102" s="45"/>
      <c r="H102" s="45"/>
      <c r="I102" s="45"/>
      <c r="J102" s="51"/>
      <c r="K102" s="53">
        <v>9</v>
      </c>
      <c r="L102" s="45">
        <v>142.74</v>
      </c>
      <c r="M102" s="45"/>
      <c r="N102" s="45"/>
      <c r="O102" s="45"/>
      <c r="P102" s="45"/>
      <c r="Q102" s="45"/>
      <c r="R102" s="51"/>
      <c r="S102" s="53">
        <v>9</v>
      </c>
      <c r="T102" s="45">
        <v>142.27000000000001</v>
      </c>
      <c r="U102" s="45"/>
      <c r="V102" s="45"/>
      <c r="W102" s="45"/>
      <c r="X102" s="45"/>
      <c r="Y102" s="45"/>
      <c r="Z102" s="51"/>
      <c r="AA102" s="53">
        <v>9</v>
      </c>
      <c r="AB102" s="45">
        <v>141.83000000000001</v>
      </c>
      <c r="AC102" s="45"/>
      <c r="AD102" s="45"/>
      <c r="AE102" s="45"/>
      <c r="AF102" s="45"/>
      <c r="AG102" s="45"/>
      <c r="AH102" s="51"/>
      <c r="AI102" s="53">
        <v>9</v>
      </c>
      <c r="AJ102" s="45">
        <v>141.13999999999999</v>
      </c>
      <c r="AK102" s="45"/>
      <c r="AL102" s="45"/>
      <c r="AM102" s="45"/>
      <c r="AN102" s="45"/>
      <c r="AO102" s="45"/>
      <c r="AP102" s="51"/>
    </row>
    <row r="103" spans="1:42" ht="21" customHeight="1" thickTop="1" thickBot="1" x14ac:dyDescent="0.35">
      <c r="A103" s="63"/>
      <c r="B103" s="78"/>
      <c r="C103" s="53">
        <v>10</v>
      </c>
      <c r="D103" s="45">
        <v>139.62</v>
      </c>
      <c r="E103" s="45"/>
      <c r="F103" s="45"/>
      <c r="G103" s="45"/>
      <c r="H103" s="45"/>
      <c r="I103" s="45"/>
      <c r="J103" s="51"/>
      <c r="K103" s="53">
        <v>10</v>
      </c>
      <c r="L103" s="45">
        <v>142.01</v>
      </c>
      <c r="M103" s="45"/>
      <c r="N103" s="45"/>
      <c r="O103" s="45"/>
      <c r="P103" s="45"/>
      <c r="Q103" s="45"/>
      <c r="R103" s="51"/>
      <c r="S103" s="53">
        <v>10</v>
      </c>
      <c r="T103" s="45">
        <v>142.27000000000001</v>
      </c>
      <c r="U103" s="45"/>
      <c r="V103" s="45"/>
      <c r="W103" s="45"/>
      <c r="X103" s="45"/>
      <c r="Y103" s="45"/>
      <c r="Z103" s="51"/>
      <c r="AA103" s="53">
        <v>10</v>
      </c>
      <c r="AB103" s="45">
        <v>140.15</v>
      </c>
      <c r="AC103" s="45"/>
      <c r="AD103" s="45"/>
      <c r="AE103" s="45"/>
      <c r="AF103" s="45"/>
      <c r="AG103" s="45"/>
      <c r="AH103" s="51"/>
      <c r="AI103" s="53">
        <v>10</v>
      </c>
      <c r="AJ103" s="45">
        <v>141.31</v>
      </c>
      <c r="AK103" s="45"/>
      <c r="AL103" s="45"/>
      <c r="AM103" s="45"/>
      <c r="AN103" s="45"/>
      <c r="AO103" s="45"/>
      <c r="AP103" s="51"/>
    </row>
    <row r="104" spans="1:42" ht="21" customHeight="1" thickTop="1" thickBot="1" x14ac:dyDescent="0.35">
      <c r="A104" s="63"/>
      <c r="B104" s="78"/>
      <c r="C104" s="53"/>
      <c r="D104" s="45"/>
      <c r="E104" s="45"/>
      <c r="F104" s="45"/>
      <c r="G104" s="45"/>
      <c r="H104" s="45"/>
      <c r="I104" s="45"/>
      <c r="J104" s="51"/>
      <c r="K104" s="53"/>
      <c r="L104" s="45"/>
      <c r="M104" s="45"/>
      <c r="N104" s="45"/>
      <c r="O104" s="45"/>
      <c r="P104" s="45"/>
      <c r="Q104" s="45"/>
      <c r="R104" s="51"/>
      <c r="S104" s="53"/>
      <c r="T104" s="45"/>
      <c r="U104" s="45"/>
      <c r="V104" s="45"/>
      <c r="W104" s="45"/>
      <c r="X104" s="45"/>
      <c r="Y104" s="45"/>
      <c r="Z104" s="51"/>
      <c r="AA104" s="53"/>
      <c r="AB104" s="45"/>
      <c r="AC104" s="45"/>
      <c r="AD104" s="45"/>
      <c r="AE104" s="45"/>
      <c r="AF104" s="45"/>
      <c r="AG104" s="45"/>
      <c r="AH104" s="51"/>
      <c r="AI104" s="53"/>
      <c r="AJ104" s="45"/>
      <c r="AK104" s="45"/>
      <c r="AL104" s="45"/>
      <c r="AM104" s="45"/>
      <c r="AN104" s="45"/>
      <c r="AO104" s="45"/>
      <c r="AP104" s="51"/>
    </row>
    <row r="105" spans="1:42" ht="21" customHeight="1" thickTop="1" thickBot="1" x14ac:dyDescent="0.35">
      <c r="A105" s="63"/>
      <c r="B105" s="78"/>
      <c r="C105" s="54" t="s">
        <v>16</v>
      </c>
      <c r="D105" s="49">
        <f>MIN(D94:D103)</f>
        <v>139.62</v>
      </c>
      <c r="E105" s="45"/>
      <c r="F105" s="55" t="s">
        <v>17</v>
      </c>
      <c r="G105" s="49" t="s">
        <v>18</v>
      </c>
      <c r="H105" s="49" t="s">
        <v>19</v>
      </c>
      <c r="I105" s="45"/>
      <c r="J105" s="51"/>
      <c r="K105" s="54" t="s">
        <v>16</v>
      </c>
      <c r="L105" s="49">
        <f>MIN(L94:L103)</f>
        <v>140.49</v>
      </c>
      <c r="M105" s="45"/>
      <c r="N105" s="55" t="s">
        <v>17</v>
      </c>
      <c r="O105" s="49" t="s">
        <v>18</v>
      </c>
      <c r="P105" s="49" t="s">
        <v>19</v>
      </c>
      <c r="Q105" s="45"/>
      <c r="R105" s="51"/>
      <c r="S105" s="54" t="s">
        <v>16</v>
      </c>
      <c r="T105" s="49">
        <f>MIN(T94:T103)</f>
        <v>140.97999999999999</v>
      </c>
      <c r="U105" s="45"/>
      <c r="V105" s="55" t="s">
        <v>17</v>
      </c>
      <c r="W105" s="49" t="s">
        <v>18</v>
      </c>
      <c r="X105" s="49" t="s">
        <v>19</v>
      </c>
      <c r="Y105" s="45"/>
      <c r="Z105" s="51"/>
      <c r="AA105" s="54" t="s">
        <v>16</v>
      </c>
      <c r="AB105" s="49">
        <f>MIN(AB94:AB103)</f>
        <v>138.94999999999999</v>
      </c>
      <c r="AC105" s="45"/>
      <c r="AD105" s="55" t="s">
        <v>17</v>
      </c>
      <c r="AE105" s="49" t="s">
        <v>18</v>
      </c>
      <c r="AF105" s="49" t="s">
        <v>19</v>
      </c>
      <c r="AG105" s="45"/>
      <c r="AH105" s="51"/>
      <c r="AI105" s="54" t="s">
        <v>16</v>
      </c>
      <c r="AJ105" s="49">
        <f>MIN(AJ94:AJ103)</f>
        <v>139.97</v>
      </c>
      <c r="AK105" s="45"/>
      <c r="AL105" s="55" t="s">
        <v>17</v>
      </c>
      <c r="AM105" s="49" t="s">
        <v>18</v>
      </c>
      <c r="AN105" s="49" t="s">
        <v>19</v>
      </c>
      <c r="AO105" s="45"/>
      <c r="AP105" s="51"/>
    </row>
    <row r="106" spans="1:42" ht="21" customHeight="1" thickTop="1" thickBot="1" x14ac:dyDescent="0.35">
      <c r="A106" s="63"/>
      <c r="B106" s="78"/>
      <c r="C106" s="54" t="s">
        <v>20</v>
      </c>
      <c r="D106" s="48">
        <f>AVERAGE(D94:D103)</f>
        <v>140.375</v>
      </c>
      <c r="E106" s="47"/>
      <c r="F106" s="48">
        <f>_xlfn.STDEV.S(D94:D103) / AVERAGE(D94:D103) * 100%</f>
        <v>4.9167528763283605E-3</v>
      </c>
      <c r="G106" s="48">
        <f t="array" ref="G106">MIN((D94:D103 - MIN(D94:D103,L94:L103,T94:T103,AB94:AB103,AJ94:AJ103))/MIN(D94:D103,L94:L103,T94:T103,AB94:AB103,AJ94:AJ103)*100%)</f>
        <v>4.8218783735157677E-3</v>
      </c>
      <c r="H106" s="48">
        <f t="array" ref="H106">AVERAGE((D94:D103 - MIN(D94:D103,L94:L103,T94:T103,AB94:AB103,AJ94:AJ103))/MIN(D94:D103,L94:L103,T94:T103,AB94:AB103,AJ94:AJ103)*100%)</f>
        <v>1.0255487585462478E-2</v>
      </c>
      <c r="I106" s="45"/>
      <c r="J106" s="51"/>
      <c r="K106" s="54" t="s">
        <v>20</v>
      </c>
      <c r="L106" s="48">
        <f>AVERAGE(L94:L103)</f>
        <v>141.476</v>
      </c>
      <c r="M106" s="47"/>
      <c r="N106" s="48">
        <f>_xlfn.STDEV.S(L94:L103) / AVERAGE(L94:L103) * 100%</f>
        <v>4.7812478070173E-3</v>
      </c>
      <c r="O106" s="48">
        <f t="array" ref="O106">MIN((L94:L103 - MIN(D94:D103,L94:L103,T94:T103,AB94:AB103,AJ94:AJ103))/MIN(D94:D103,L94:L103,T94:T103,AB94:AB103,AJ94:AJ103)*100%)</f>
        <v>1.1083123425692844E-2</v>
      </c>
      <c r="P106" s="48">
        <f t="array" ref="P106">AVERAGE((L94:L103 - MIN(D94:D103,L94:L103,T94:T103,AB94:AB103,AJ94:AJ103))/MIN(D94:D103,L94:L103,T94:T103,AB94:AB103,AJ94:AJ103)*100%)</f>
        <v>1.8179201151493442E-2</v>
      </c>
      <c r="Q106" s="44"/>
      <c r="R106" s="51"/>
      <c r="S106" s="54" t="s">
        <v>20</v>
      </c>
      <c r="T106" s="48">
        <f>AVERAGE(T94:T103)</f>
        <v>142.51299999999998</v>
      </c>
      <c r="U106" s="47"/>
      <c r="V106" s="48">
        <f>_xlfn.STDEV.S(T94:T103) / AVERAGE(T94:T103) * 100%</f>
        <v>6.7905882084988581E-3</v>
      </c>
      <c r="W106" s="48">
        <f t="array" ref="W106">MIN((T94:T103 - MIN(D94:D103,L94:L103,T94:T103,AB94:AB103,AJ94:AJ103))/MIN(D94:D103,L94:L103,T94:T103,AB94:AB103,AJ94:AJ103)*100%)</f>
        <v>1.4609571788413107E-2</v>
      </c>
      <c r="X106" s="48">
        <f t="array" ref="X106">AVERAGE((T94:T103 - MIN(D94:D103,L94:L103,T94:T103,AB94:AB103,AJ94:AJ103))/MIN(D94:D103,L94:L103,T94:T103,AB94:AB103,AJ94:AJ103)*100%)</f>
        <v>2.5642317380352702E-2</v>
      </c>
      <c r="Y106" s="44"/>
      <c r="Z106" s="51"/>
      <c r="AA106" s="54" t="s">
        <v>20</v>
      </c>
      <c r="AB106" s="48">
        <f>AVERAGE(AB94:AB103)</f>
        <v>141.24700000000001</v>
      </c>
      <c r="AC106" s="47"/>
      <c r="AD106" s="48">
        <f>_xlfn.STDEV.S(AB94:AB103) / AVERAGE(AB94:AB103) * 100%</f>
        <v>9.0989416562696265E-3</v>
      </c>
      <c r="AE106" s="48">
        <f t="array" ref="AE106">MIN((AB94:AB103 - MIN(D94:D103,L94:L103,T94:T103,AB94:AB103,AJ94:AJ103))/MIN(D94:D103,L94:L103,T94:T103,AB94:AB103,AJ94:AJ103)*100%)</f>
        <v>0</v>
      </c>
      <c r="AF106" s="48">
        <f t="array" ref="AF106">AVERAGE((AB94:AB103 - MIN(D94:D103,L94:L103,T94:T103,AB94:AB103,AJ94:AJ103))/MIN(D94:D103,L94:L103,T94:T103,AB94:AB103,AJ94:AJ103)*100%)</f>
        <v>1.6531126304426137E-2</v>
      </c>
      <c r="AG106" s="44"/>
      <c r="AH106" s="51"/>
      <c r="AI106" s="54" t="s">
        <v>20</v>
      </c>
      <c r="AJ106" s="48">
        <f>AVERAGE(AJ94:AJ103)</f>
        <v>140.88600000000002</v>
      </c>
      <c r="AK106" s="47"/>
      <c r="AL106" s="48">
        <f>_xlfn.STDEV.S(AJ94:AJ103) / AVERAGE(AJ94:AJ103) * 100%</f>
        <v>3.8492378798180276E-3</v>
      </c>
      <c r="AM106" s="48">
        <f t="array" ref="AM106">MIN((AJ94:AJ103 - MIN(D94:D103,L94:L103,T94:T103,AB94:AB103,AJ94:AJ103))/MIN(D94:D103,L94:L103,T94:T103,AB94:AB103,AJ94:AJ103)*100%)</f>
        <v>7.3407700611731585E-3</v>
      </c>
      <c r="AN106" s="48">
        <f t="array" ref="AN106">AVERAGE((AJ94:AJ103 - MIN(D94:D103,L94:L103,T94:T103,AB94:AB103,AJ94:AJ103))/MIN(D94:D103,L94:L103,T94:T103,AB94:AB103,AJ94:AJ103)*100%)</f>
        <v>1.3933069449442337E-2</v>
      </c>
      <c r="AO106" s="44"/>
      <c r="AP106" s="51"/>
    </row>
    <row r="107" spans="1:42" ht="21" customHeight="1" thickTop="1" thickBot="1" x14ac:dyDescent="0.35">
      <c r="A107" s="63"/>
      <c r="B107" s="79"/>
      <c r="C107" s="53"/>
      <c r="D107" s="44"/>
      <c r="E107" s="44"/>
      <c r="F107" s="44"/>
      <c r="G107" s="44"/>
      <c r="H107" s="44"/>
      <c r="I107" s="44"/>
      <c r="J107" s="51"/>
      <c r="K107" s="53"/>
      <c r="L107" s="44"/>
      <c r="M107" s="44"/>
      <c r="N107" s="44"/>
      <c r="O107" s="44"/>
      <c r="P107" s="44"/>
      <c r="Q107" s="44"/>
      <c r="R107" s="51"/>
      <c r="S107" s="53"/>
      <c r="T107" s="44"/>
      <c r="U107" s="44"/>
      <c r="V107" s="44"/>
      <c r="W107" s="44"/>
      <c r="X107" s="44"/>
      <c r="Y107" s="44"/>
      <c r="Z107" s="51"/>
      <c r="AA107" s="53"/>
      <c r="AB107" s="44"/>
      <c r="AC107" s="44"/>
      <c r="AD107" s="44"/>
      <c r="AE107" s="44"/>
      <c r="AF107" s="44"/>
      <c r="AG107" s="44"/>
      <c r="AH107" s="51"/>
      <c r="AI107" s="53"/>
      <c r="AJ107" s="44"/>
      <c r="AK107" s="44"/>
      <c r="AL107" s="44"/>
      <c r="AM107" s="44"/>
      <c r="AN107" s="44"/>
      <c r="AO107" s="44"/>
      <c r="AP107" s="51"/>
    </row>
    <row r="108" spans="1:42" ht="21" customHeight="1" thickTop="1" thickBot="1" x14ac:dyDescent="0.35">
      <c r="A108" s="63"/>
      <c r="B108" s="77" t="s">
        <v>34</v>
      </c>
      <c r="C108" s="59" t="s">
        <v>8</v>
      </c>
      <c r="D108" s="46" t="s">
        <v>9</v>
      </c>
      <c r="E108" s="46" t="s">
        <v>10</v>
      </c>
      <c r="F108" s="46" t="s">
        <v>11</v>
      </c>
      <c r="G108" s="46" t="s">
        <v>12</v>
      </c>
      <c r="H108" s="46" t="s">
        <v>13</v>
      </c>
      <c r="I108" s="46" t="s">
        <v>14</v>
      </c>
      <c r="J108" s="60" t="s">
        <v>15</v>
      </c>
      <c r="K108" s="59" t="s">
        <v>8</v>
      </c>
      <c r="L108" s="46" t="s">
        <v>9</v>
      </c>
      <c r="M108" s="46" t="s">
        <v>10</v>
      </c>
      <c r="N108" s="46" t="s">
        <v>11</v>
      </c>
      <c r="O108" s="46" t="s">
        <v>12</v>
      </c>
      <c r="P108" s="46" t="s">
        <v>13</v>
      </c>
      <c r="Q108" s="46" t="s">
        <v>14</v>
      </c>
      <c r="R108" s="60" t="s">
        <v>15</v>
      </c>
      <c r="S108" s="59" t="s">
        <v>8</v>
      </c>
      <c r="T108" s="46" t="s">
        <v>9</v>
      </c>
      <c r="U108" s="46" t="s">
        <v>10</v>
      </c>
      <c r="V108" s="46" t="s">
        <v>11</v>
      </c>
      <c r="W108" s="46" t="s">
        <v>12</v>
      </c>
      <c r="X108" s="46" t="s">
        <v>13</v>
      </c>
      <c r="Y108" s="46" t="s">
        <v>14</v>
      </c>
      <c r="Z108" s="60" t="s">
        <v>15</v>
      </c>
      <c r="AA108" s="59" t="s">
        <v>8</v>
      </c>
      <c r="AB108" s="46" t="s">
        <v>9</v>
      </c>
      <c r="AC108" s="46" t="s">
        <v>10</v>
      </c>
      <c r="AD108" s="46" t="s">
        <v>11</v>
      </c>
      <c r="AE108" s="46" t="s">
        <v>12</v>
      </c>
      <c r="AF108" s="46" t="s">
        <v>13</v>
      </c>
      <c r="AG108" s="46" t="s">
        <v>14</v>
      </c>
      <c r="AH108" s="60" t="s">
        <v>15</v>
      </c>
      <c r="AI108" s="59" t="s">
        <v>8</v>
      </c>
      <c r="AJ108" s="46" t="s">
        <v>9</v>
      </c>
      <c r="AK108" s="46" t="s">
        <v>10</v>
      </c>
      <c r="AL108" s="46" t="s">
        <v>11</v>
      </c>
      <c r="AM108" s="46" t="s">
        <v>12</v>
      </c>
      <c r="AN108" s="46" t="s">
        <v>13</v>
      </c>
      <c r="AO108" s="46" t="s">
        <v>14</v>
      </c>
      <c r="AP108" s="60" t="s">
        <v>15</v>
      </c>
    </row>
    <row r="109" spans="1:42" ht="21" customHeight="1" thickTop="1" thickBot="1" x14ac:dyDescent="0.35">
      <c r="A109" s="63"/>
      <c r="B109" s="78"/>
      <c r="C109" s="52">
        <v>1</v>
      </c>
      <c r="D109" s="44">
        <v>154.32</v>
      </c>
      <c r="E109" s="44"/>
      <c r="F109" s="44"/>
      <c r="G109" s="44"/>
      <c r="H109" s="44"/>
      <c r="I109" s="44"/>
      <c r="J109" s="51"/>
      <c r="K109" s="52">
        <v>1</v>
      </c>
      <c r="L109" s="44">
        <v>155.29</v>
      </c>
      <c r="M109" s="44"/>
      <c r="N109" s="44"/>
      <c r="O109" s="44"/>
      <c r="P109" s="44"/>
      <c r="Q109" s="44"/>
      <c r="R109" s="51"/>
      <c r="S109" s="52">
        <v>1</v>
      </c>
      <c r="T109" s="44">
        <v>156.72999999999999</v>
      </c>
      <c r="U109" s="44"/>
      <c r="V109" s="44"/>
      <c r="W109" s="44"/>
      <c r="X109" s="44"/>
      <c r="Y109" s="44"/>
      <c r="Z109" s="51"/>
      <c r="AA109" s="52">
        <v>1</v>
      </c>
      <c r="AB109" s="44">
        <v>155.78</v>
      </c>
      <c r="AC109" s="44"/>
      <c r="AD109" s="44"/>
      <c r="AE109" s="44"/>
      <c r="AF109" s="44"/>
      <c r="AG109" s="44"/>
      <c r="AH109" s="51"/>
      <c r="AI109" s="52">
        <v>1</v>
      </c>
      <c r="AJ109" s="44">
        <v>153.1</v>
      </c>
      <c r="AK109" s="44"/>
      <c r="AL109" s="44"/>
      <c r="AM109" s="44"/>
      <c r="AN109" s="44"/>
      <c r="AO109" s="44"/>
      <c r="AP109" s="51"/>
    </row>
    <row r="110" spans="1:42" ht="21" customHeight="1" thickTop="1" thickBot="1" x14ac:dyDescent="0.35">
      <c r="A110" s="63"/>
      <c r="B110" s="78"/>
      <c r="C110" s="53">
        <v>2</v>
      </c>
      <c r="D110" s="45">
        <v>153.43</v>
      </c>
      <c r="E110" s="45"/>
      <c r="F110" s="45"/>
      <c r="G110" s="45"/>
      <c r="H110" s="45"/>
      <c r="I110" s="45"/>
      <c r="J110" s="51"/>
      <c r="K110" s="53">
        <v>2</v>
      </c>
      <c r="L110" s="45">
        <v>155.09</v>
      </c>
      <c r="M110" s="45"/>
      <c r="N110" s="45"/>
      <c r="O110" s="45"/>
      <c r="P110" s="45"/>
      <c r="Q110" s="45"/>
      <c r="R110" s="51"/>
      <c r="S110" s="53">
        <v>2</v>
      </c>
      <c r="T110" s="45">
        <v>154.02000000000001</v>
      </c>
      <c r="U110" s="45"/>
      <c r="V110" s="45"/>
      <c r="W110" s="45"/>
      <c r="X110" s="45"/>
      <c r="Y110" s="45"/>
      <c r="Z110" s="51"/>
      <c r="AA110" s="53">
        <v>2</v>
      </c>
      <c r="AB110" s="45">
        <v>154.66</v>
      </c>
      <c r="AC110" s="45"/>
      <c r="AD110" s="45"/>
      <c r="AE110" s="45"/>
      <c r="AF110" s="45"/>
      <c r="AG110" s="45"/>
      <c r="AH110" s="51"/>
      <c r="AI110" s="53">
        <v>2</v>
      </c>
      <c r="AJ110" s="45">
        <v>153.88999999999999</v>
      </c>
      <c r="AK110" s="45"/>
      <c r="AL110" s="45"/>
      <c r="AM110" s="45"/>
      <c r="AN110" s="45"/>
      <c r="AO110" s="45"/>
      <c r="AP110" s="51"/>
    </row>
    <row r="111" spans="1:42" ht="21" customHeight="1" thickTop="1" thickBot="1" x14ac:dyDescent="0.35">
      <c r="A111" s="63"/>
      <c r="B111" s="78"/>
      <c r="C111" s="53">
        <v>3</v>
      </c>
      <c r="D111" s="45">
        <v>151.41</v>
      </c>
      <c r="E111" s="45"/>
      <c r="F111" s="45"/>
      <c r="G111" s="44"/>
      <c r="H111" s="44"/>
      <c r="I111" s="44"/>
      <c r="J111" s="51"/>
      <c r="K111" s="53">
        <v>3</v>
      </c>
      <c r="L111" s="45">
        <v>155.68</v>
      </c>
      <c r="M111" s="45"/>
      <c r="N111" s="45"/>
      <c r="O111" s="44"/>
      <c r="P111" s="44"/>
      <c r="Q111" s="44"/>
      <c r="R111" s="51"/>
      <c r="S111" s="53">
        <v>3</v>
      </c>
      <c r="T111" s="45">
        <v>156.28</v>
      </c>
      <c r="U111" s="45"/>
      <c r="V111" s="45"/>
      <c r="W111" s="44"/>
      <c r="X111" s="44"/>
      <c r="Y111" s="44"/>
      <c r="Z111" s="51"/>
      <c r="AA111" s="53">
        <v>3</v>
      </c>
      <c r="AB111" s="45">
        <v>156.47</v>
      </c>
      <c r="AC111" s="45"/>
      <c r="AD111" s="45"/>
      <c r="AE111" s="44"/>
      <c r="AF111" s="44"/>
      <c r="AG111" s="44"/>
      <c r="AH111" s="51"/>
      <c r="AI111" s="53">
        <v>3</v>
      </c>
      <c r="AJ111" s="45">
        <v>154.04</v>
      </c>
      <c r="AK111" s="45"/>
      <c r="AL111" s="45"/>
      <c r="AM111" s="44"/>
      <c r="AN111" s="44"/>
      <c r="AO111" s="44"/>
      <c r="AP111" s="51"/>
    </row>
    <row r="112" spans="1:42" ht="21" customHeight="1" thickTop="1" thickBot="1" x14ac:dyDescent="0.35">
      <c r="A112" s="63"/>
      <c r="B112" s="78"/>
      <c r="C112" s="53">
        <v>4</v>
      </c>
      <c r="D112" s="45">
        <v>154.86000000000001</v>
      </c>
      <c r="E112" s="45"/>
      <c r="F112" s="45"/>
      <c r="G112" s="45"/>
      <c r="H112" s="45"/>
      <c r="I112" s="45"/>
      <c r="J112" s="51"/>
      <c r="K112" s="53">
        <v>4</v>
      </c>
      <c r="L112" s="45">
        <v>153.69</v>
      </c>
      <c r="M112" s="45"/>
      <c r="N112" s="45"/>
      <c r="O112" s="45"/>
      <c r="P112" s="45"/>
      <c r="Q112" s="45"/>
      <c r="R112" s="51"/>
      <c r="S112" s="53">
        <v>4</v>
      </c>
      <c r="T112" s="45">
        <v>155.13</v>
      </c>
      <c r="U112" s="45"/>
      <c r="V112" s="45"/>
      <c r="W112" s="45"/>
      <c r="X112" s="45"/>
      <c r="Y112" s="45"/>
      <c r="Z112" s="51"/>
      <c r="AA112" s="53">
        <v>4</v>
      </c>
      <c r="AB112" s="45">
        <v>153.96</v>
      </c>
      <c r="AC112" s="45"/>
      <c r="AD112" s="45"/>
      <c r="AE112" s="45"/>
      <c r="AF112" s="45"/>
      <c r="AG112" s="45"/>
      <c r="AH112" s="51"/>
      <c r="AI112" s="53">
        <v>4</v>
      </c>
      <c r="AJ112" s="45">
        <v>154.99</v>
      </c>
      <c r="AK112" s="45"/>
      <c r="AL112" s="45"/>
      <c r="AM112" s="45"/>
      <c r="AN112" s="45"/>
      <c r="AO112" s="45"/>
      <c r="AP112" s="51"/>
    </row>
    <row r="113" spans="1:42" ht="21" customHeight="1" thickTop="1" thickBot="1" x14ac:dyDescent="0.35">
      <c r="A113" s="63"/>
      <c r="B113" s="78"/>
      <c r="C113" s="53">
        <v>5</v>
      </c>
      <c r="D113" s="45">
        <v>153.52000000000001</v>
      </c>
      <c r="E113" s="45"/>
      <c r="F113" s="45"/>
      <c r="G113" s="45"/>
      <c r="H113" s="45"/>
      <c r="I113" s="45"/>
      <c r="J113" s="51"/>
      <c r="K113" s="53">
        <v>5</v>
      </c>
      <c r="L113" s="45">
        <v>154.19999999999999</v>
      </c>
      <c r="M113" s="45"/>
      <c r="N113" s="45"/>
      <c r="O113" s="45"/>
      <c r="P113" s="45"/>
      <c r="Q113" s="45"/>
      <c r="R113" s="51"/>
      <c r="S113" s="53">
        <v>5</v>
      </c>
      <c r="T113" s="45">
        <v>155.06</v>
      </c>
      <c r="U113" s="45"/>
      <c r="V113" s="45"/>
      <c r="W113" s="45"/>
      <c r="X113" s="45"/>
      <c r="Y113" s="45"/>
      <c r="Z113" s="51"/>
      <c r="AA113" s="53">
        <v>5</v>
      </c>
      <c r="AB113" s="45">
        <v>154.30000000000001</v>
      </c>
      <c r="AC113" s="45"/>
      <c r="AD113" s="45"/>
      <c r="AE113" s="45"/>
      <c r="AF113" s="45"/>
      <c r="AG113" s="45"/>
      <c r="AH113" s="51"/>
      <c r="AI113" s="53">
        <v>5</v>
      </c>
      <c r="AJ113" s="45">
        <v>154.74</v>
      </c>
      <c r="AK113" s="45"/>
      <c r="AL113" s="45"/>
      <c r="AM113" s="45"/>
      <c r="AN113" s="45"/>
      <c r="AO113" s="45"/>
      <c r="AP113" s="51"/>
    </row>
    <row r="114" spans="1:42" ht="21" customHeight="1" thickTop="1" thickBot="1" x14ac:dyDescent="0.35">
      <c r="A114" s="63"/>
      <c r="B114" s="78"/>
      <c r="C114" s="53">
        <v>6</v>
      </c>
      <c r="D114" s="45">
        <v>153.52000000000001</v>
      </c>
      <c r="E114" s="45"/>
      <c r="F114" s="45"/>
      <c r="G114" s="45"/>
      <c r="H114" s="45"/>
      <c r="I114" s="45"/>
      <c r="J114" s="51"/>
      <c r="K114" s="53">
        <v>6</v>
      </c>
      <c r="L114" s="45">
        <v>155.47999999999999</v>
      </c>
      <c r="M114" s="45"/>
      <c r="N114" s="45"/>
      <c r="O114" s="45"/>
      <c r="P114" s="45"/>
      <c r="Q114" s="45"/>
      <c r="R114" s="51"/>
      <c r="S114" s="53">
        <v>6</v>
      </c>
      <c r="T114" s="45">
        <v>154.31</v>
      </c>
      <c r="U114" s="45"/>
      <c r="V114" s="45"/>
      <c r="W114" s="45"/>
      <c r="X114" s="45"/>
      <c r="Y114" s="45"/>
      <c r="Z114" s="51"/>
      <c r="AA114" s="53">
        <v>6</v>
      </c>
      <c r="AB114" s="45">
        <v>156.24</v>
      </c>
      <c r="AC114" s="45"/>
      <c r="AD114" s="45"/>
      <c r="AE114" s="45"/>
      <c r="AF114" s="45"/>
      <c r="AG114" s="45"/>
      <c r="AH114" s="51"/>
      <c r="AI114" s="53">
        <v>6</v>
      </c>
      <c r="AJ114" s="45">
        <v>155.30000000000001</v>
      </c>
      <c r="AK114" s="45"/>
      <c r="AL114" s="45"/>
      <c r="AM114" s="45"/>
      <c r="AN114" s="45"/>
      <c r="AO114" s="45"/>
      <c r="AP114" s="51"/>
    </row>
    <row r="115" spans="1:42" ht="21" customHeight="1" thickTop="1" thickBot="1" x14ac:dyDescent="0.35">
      <c r="A115" s="63"/>
      <c r="B115" s="78"/>
      <c r="C115" s="53">
        <v>7</v>
      </c>
      <c r="D115" s="45">
        <v>152.63</v>
      </c>
      <c r="E115" s="45"/>
      <c r="F115" s="45"/>
      <c r="G115" s="45"/>
      <c r="H115" s="45"/>
      <c r="I115" s="45"/>
      <c r="J115" s="51"/>
      <c r="K115" s="53">
        <v>7</v>
      </c>
      <c r="L115" s="45">
        <v>153.65</v>
      </c>
      <c r="M115" s="45"/>
      <c r="N115" s="45"/>
      <c r="O115" s="45"/>
      <c r="P115" s="45"/>
      <c r="Q115" s="45"/>
      <c r="R115" s="51"/>
      <c r="S115" s="53">
        <v>7</v>
      </c>
      <c r="T115" s="45">
        <v>156.27000000000001</v>
      </c>
      <c r="U115" s="45"/>
      <c r="V115" s="45"/>
      <c r="W115" s="45"/>
      <c r="X115" s="45"/>
      <c r="Y115" s="45"/>
      <c r="Z115" s="51"/>
      <c r="AA115" s="53">
        <v>7</v>
      </c>
      <c r="AB115" s="45">
        <v>154.24</v>
      </c>
      <c r="AC115" s="45"/>
      <c r="AD115" s="45"/>
      <c r="AE115" s="45"/>
      <c r="AF115" s="45"/>
      <c r="AG115" s="45"/>
      <c r="AH115" s="51"/>
      <c r="AI115" s="53">
        <v>7</v>
      </c>
      <c r="AJ115" s="45">
        <v>155.84</v>
      </c>
      <c r="AK115" s="45"/>
      <c r="AL115" s="45"/>
      <c r="AM115" s="45"/>
      <c r="AN115" s="45"/>
      <c r="AO115" s="45"/>
      <c r="AP115" s="51"/>
    </row>
    <row r="116" spans="1:42" ht="21" customHeight="1" thickTop="1" thickBot="1" x14ac:dyDescent="0.35">
      <c r="A116" s="63"/>
      <c r="B116" s="78"/>
      <c r="C116" s="53">
        <v>8</v>
      </c>
      <c r="D116" s="45">
        <v>152.36000000000001</v>
      </c>
      <c r="E116" s="45"/>
      <c r="F116" s="45"/>
      <c r="G116" s="45"/>
      <c r="H116" s="45"/>
      <c r="I116" s="45"/>
      <c r="J116" s="51"/>
      <c r="K116" s="53">
        <v>8</v>
      </c>
      <c r="L116" s="45">
        <v>154.22999999999999</v>
      </c>
      <c r="M116" s="45"/>
      <c r="N116" s="45"/>
      <c r="O116" s="45"/>
      <c r="P116" s="45"/>
      <c r="Q116" s="45"/>
      <c r="R116" s="51"/>
      <c r="S116" s="53">
        <v>8</v>
      </c>
      <c r="T116" s="45">
        <v>155.66</v>
      </c>
      <c r="U116" s="45"/>
      <c r="V116" s="45"/>
      <c r="W116" s="45"/>
      <c r="X116" s="45"/>
      <c r="Y116" s="45"/>
      <c r="Z116" s="51"/>
      <c r="AA116" s="53">
        <v>8</v>
      </c>
      <c r="AB116" s="45">
        <v>155.47</v>
      </c>
      <c r="AC116" s="45"/>
      <c r="AD116" s="45"/>
      <c r="AE116" s="45"/>
      <c r="AF116" s="45"/>
      <c r="AG116" s="45"/>
      <c r="AH116" s="51"/>
      <c r="AI116" s="53">
        <v>8</v>
      </c>
      <c r="AJ116" s="45">
        <v>154.97999999999999</v>
      </c>
      <c r="AK116" s="45"/>
      <c r="AL116" s="45"/>
      <c r="AM116" s="45"/>
      <c r="AN116" s="45"/>
      <c r="AO116" s="45"/>
      <c r="AP116" s="51"/>
    </row>
    <row r="117" spans="1:42" ht="21" customHeight="1" thickTop="1" thickBot="1" x14ac:dyDescent="0.35">
      <c r="A117" s="63"/>
      <c r="B117" s="78"/>
      <c r="C117" s="53">
        <v>9</v>
      </c>
      <c r="D117" s="45">
        <v>153.71</v>
      </c>
      <c r="E117" s="45"/>
      <c r="F117" s="45"/>
      <c r="G117" s="45"/>
      <c r="H117" s="45"/>
      <c r="I117" s="45"/>
      <c r="J117" s="51"/>
      <c r="K117" s="53">
        <v>9</v>
      </c>
      <c r="L117" s="45">
        <v>154.36000000000001</v>
      </c>
      <c r="M117" s="45"/>
      <c r="N117" s="45"/>
      <c r="O117" s="45"/>
      <c r="P117" s="45"/>
      <c r="Q117" s="45"/>
      <c r="R117" s="51"/>
      <c r="S117" s="53">
        <v>9</v>
      </c>
      <c r="T117" s="45">
        <v>155.63</v>
      </c>
      <c r="U117" s="45"/>
      <c r="V117" s="45"/>
      <c r="W117" s="45"/>
      <c r="X117" s="45"/>
      <c r="Y117" s="45"/>
      <c r="Z117" s="51"/>
      <c r="AA117" s="53">
        <v>9</v>
      </c>
      <c r="AB117" s="45">
        <v>154.11000000000001</v>
      </c>
      <c r="AC117" s="45"/>
      <c r="AD117" s="45"/>
      <c r="AE117" s="45"/>
      <c r="AF117" s="45"/>
      <c r="AG117" s="45"/>
      <c r="AH117" s="51"/>
      <c r="AI117" s="53">
        <v>9</v>
      </c>
      <c r="AJ117" s="45">
        <v>153.44</v>
      </c>
      <c r="AK117" s="45"/>
      <c r="AL117" s="45"/>
      <c r="AM117" s="45"/>
      <c r="AN117" s="45"/>
      <c r="AO117" s="45"/>
      <c r="AP117" s="51"/>
    </row>
    <row r="118" spans="1:42" ht="21" customHeight="1" thickTop="1" thickBot="1" x14ac:dyDescent="0.35">
      <c r="A118" s="63"/>
      <c r="B118" s="78"/>
      <c r="C118" s="53">
        <v>10</v>
      </c>
      <c r="D118" s="45">
        <v>152.99</v>
      </c>
      <c r="E118" s="45"/>
      <c r="F118" s="45"/>
      <c r="G118" s="45"/>
      <c r="H118" s="45"/>
      <c r="I118" s="45"/>
      <c r="J118" s="51"/>
      <c r="K118" s="53">
        <v>10</v>
      </c>
      <c r="L118" s="45">
        <v>153.78</v>
      </c>
      <c r="M118" s="45"/>
      <c r="N118" s="45"/>
      <c r="O118" s="45"/>
      <c r="P118" s="45"/>
      <c r="Q118" s="45"/>
      <c r="R118" s="51"/>
      <c r="S118" s="53">
        <v>10</v>
      </c>
      <c r="T118" s="45">
        <v>157.55000000000001</v>
      </c>
      <c r="U118" s="45"/>
      <c r="V118" s="45"/>
      <c r="W118" s="45"/>
      <c r="X118" s="45"/>
      <c r="Y118" s="45"/>
      <c r="Z118" s="51"/>
      <c r="AA118" s="53">
        <v>10</v>
      </c>
      <c r="AB118" s="45">
        <v>153.43</v>
      </c>
      <c r="AC118" s="45"/>
      <c r="AD118" s="45"/>
      <c r="AE118" s="45"/>
      <c r="AF118" s="45"/>
      <c r="AG118" s="45"/>
      <c r="AH118" s="51"/>
      <c r="AI118" s="53">
        <v>10</v>
      </c>
      <c r="AJ118" s="45">
        <v>154.03</v>
      </c>
      <c r="AK118" s="45"/>
      <c r="AL118" s="45"/>
      <c r="AM118" s="45"/>
      <c r="AN118" s="45"/>
      <c r="AO118" s="45"/>
      <c r="AP118" s="51"/>
    </row>
    <row r="119" spans="1:42" ht="21" customHeight="1" thickTop="1" thickBot="1" x14ac:dyDescent="0.35">
      <c r="A119" s="63"/>
      <c r="B119" s="78"/>
      <c r="C119" s="53"/>
      <c r="D119" s="45"/>
      <c r="E119" s="45"/>
      <c r="F119" s="45"/>
      <c r="G119" s="45"/>
      <c r="H119" s="45"/>
      <c r="I119" s="45"/>
      <c r="J119" s="51"/>
      <c r="K119" s="53"/>
      <c r="L119" s="45"/>
      <c r="M119" s="45"/>
      <c r="N119" s="45"/>
      <c r="O119" s="45"/>
      <c r="P119" s="45"/>
      <c r="Q119" s="45"/>
      <c r="R119" s="51"/>
      <c r="S119" s="53"/>
      <c r="T119" s="45"/>
      <c r="U119" s="45"/>
      <c r="V119" s="45"/>
      <c r="W119" s="45"/>
      <c r="X119" s="45"/>
      <c r="Y119" s="45"/>
      <c r="Z119" s="51"/>
      <c r="AA119" s="53"/>
      <c r="AB119" s="45"/>
      <c r="AC119" s="45"/>
      <c r="AD119" s="45"/>
      <c r="AE119" s="45"/>
      <c r="AF119" s="45"/>
      <c r="AG119" s="45"/>
      <c r="AH119" s="51"/>
      <c r="AI119" s="53"/>
      <c r="AJ119" s="45"/>
      <c r="AK119" s="45"/>
      <c r="AL119" s="45"/>
      <c r="AM119" s="45"/>
      <c r="AN119" s="45"/>
      <c r="AO119" s="45"/>
      <c r="AP119" s="51"/>
    </row>
    <row r="120" spans="1:42" ht="21" customHeight="1" thickTop="1" thickBot="1" x14ac:dyDescent="0.35">
      <c r="A120" s="63"/>
      <c r="B120" s="78"/>
      <c r="C120" s="54" t="s">
        <v>16</v>
      </c>
      <c r="D120" s="49">
        <f>MIN(D109:D118)</f>
        <v>151.41</v>
      </c>
      <c r="E120" s="45"/>
      <c r="F120" s="55" t="s">
        <v>17</v>
      </c>
      <c r="G120" s="49" t="s">
        <v>18</v>
      </c>
      <c r="H120" s="49" t="s">
        <v>19</v>
      </c>
      <c r="I120" s="45"/>
      <c r="J120" s="51"/>
      <c r="K120" s="54" t="s">
        <v>16</v>
      </c>
      <c r="L120" s="49">
        <f>MIN(L109:L118)</f>
        <v>153.65</v>
      </c>
      <c r="M120" s="45"/>
      <c r="N120" s="55" t="s">
        <v>17</v>
      </c>
      <c r="O120" s="49" t="s">
        <v>18</v>
      </c>
      <c r="P120" s="49" t="s">
        <v>19</v>
      </c>
      <c r="Q120" s="45"/>
      <c r="R120" s="51"/>
      <c r="S120" s="54" t="s">
        <v>16</v>
      </c>
      <c r="T120" s="49">
        <f>MIN(T109:T118)</f>
        <v>154.02000000000001</v>
      </c>
      <c r="U120" s="45"/>
      <c r="V120" s="55" t="s">
        <v>17</v>
      </c>
      <c r="W120" s="49" t="s">
        <v>18</v>
      </c>
      <c r="X120" s="49" t="s">
        <v>19</v>
      </c>
      <c r="Y120" s="45"/>
      <c r="Z120" s="51"/>
      <c r="AA120" s="54" t="s">
        <v>16</v>
      </c>
      <c r="AB120" s="49">
        <f>MIN(AB109:AB118)</f>
        <v>153.43</v>
      </c>
      <c r="AC120" s="45"/>
      <c r="AD120" s="55" t="s">
        <v>17</v>
      </c>
      <c r="AE120" s="49" t="s">
        <v>18</v>
      </c>
      <c r="AF120" s="49" t="s">
        <v>19</v>
      </c>
      <c r="AG120" s="45"/>
      <c r="AH120" s="51"/>
      <c r="AI120" s="54" t="s">
        <v>16</v>
      </c>
      <c r="AJ120" s="49">
        <f>MIN(AJ109:AJ118)</f>
        <v>153.1</v>
      </c>
      <c r="AK120" s="45"/>
      <c r="AL120" s="55" t="s">
        <v>17</v>
      </c>
      <c r="AM120" s="49" t="s">
        <v>18</v>
      </c>
      <c r="AN120" s="49" t="s">
        <v>19</v>
      </c>
      <c r="AO120" s="45"/>
      <c r="AP120" s="51"/>
    </row>
    <row r="121" spans="1:42" ht="21" customHeight="1" thickTop="1" thickBot="1" x14ac:dyDescent="0.35">
      <c r="A121" s="63"/>
      <c r="B121" s="78"/>
      <c r="C121" s="54" t="s">
        <v>20</v>
      </c>
      <c r="D121" s="48">
        <f>AVERAGE(D109:D118)</f>
        <v>153.27500000000003</v>
      </c>
      <c r="E121" s="47"/>
      <c r="F121" s="48">
        <f>_xlfn.STDEV.S(D109:D118) / AVERAGE(D109:D118) * 100%</f>
        <v>6.4330607273652219E-3</v>
      </c>
      <c r="G121" s="48">
        <f t="array" ref="G121">MIN((D109:D118 - MIN(D109:D118,L109:L118,T109:T118,AB109:AB118,AJ109:AJ118))/MIN(D109:D118,L109:L118,T109:T118,AB109:AB118,AJ109:AJ118)*100%)</f>
        <v>0</v>
      </c>
      <c r="H121" s="48">
        <f t="array" ref="H121">AVERAGE((D109:D118 - MIN(D109:D118,L109:L118,T109:T118,AB109:AB118,AJ109:AJ118))/MIN(D109:D118,L109:L118,T109:T118,AB109:AB118,AJ109:AJ118)*100%)</f>
        <v>1.2317548378574789E-2</v>
      </c>
      <c r="I121" s="45"/>
      <c r="J121" s="51"/>
      <c r="K121" s="54" t="s">
        <v>20</v>
      </c>
      <c r="L121" s="48">
        <f>AVERAGE(L109:L118)</f>
        <v>154.54500000000002</v>
      </c>
      <c r="M121" s="47"/>
      <c r="N121" s="48">
        <f>_xlfn.STDEV.S(L109:L118) / AVERAGE(L109:L118) * 100%</f>
        <v>5.0047961707857811E-3</v>
      </c>
      <c r="O121" s="48">
        <f t="array" ref="O121">MIN((L109:L118 - MIN(D109:D118,L109:L118,T109:T118,AB109:AB118,AJ109:AJ118))/MIN(D109:D118,L109:L118,T109:T118,AB109:AB118,AJ109:AJ118)*100%)</f>
        <v>1.4794267221451747E-2</v>
      </c>
      <c r="P121" s="48">
        <f t="array" ref="P121">AVERAGE((L109:L118 - MIN(D109:D118,L109:L118,T109:T118,AB109:AB118,AJ109:AJ118))/MIN(D109:D118,L109:L118,T109:T118,AB109:AB118,AJ109:AJ118)*100%)</f>
        <v>2.0705369526451373E-2</v>
      </c>
      <c r="Q121" s="44"/>
      <c r="R121" s="51"/>
      <c r="S121" s="54" t="s">
        <v>20</v>
      </c>
      <c r="T121" s="48">
        <f>AVERAGE(T109:T118)</f>
        <v>155.66400000000002</v>
      </c>
      <c r="U121" s="47"/>
      <c r="V121" s="48">
        <f>_xlfn.STDEV.S(T109:T118) / AVERAGE(T109:T118) * 100%</f>
        <v>6.9807294018066233E-3</v>
      </c>
      <c r="W121" s="48">
        <f t="array" ref="W121">MIN((T109:T118 - MIN(D109:D118,L109:L118,T109:T118,AB109:AB118,AJ109:AJ118))/MIN(D109:D118,L109:L118,T109:T118,AB109:AB118,AJ109:AJ118)*100%)</f>
        <v>1.7237963146423708E-2</v>
      </c>
      <c r="X121" s="48">
        <f t="array" ref="X121">AVERAGE((T109:T118 - MIN(D109:D118,L109:L118,T109:T118,AB109:AB118,AJ109:AJ118))/MIN(D109:D118,L109:L118,T109:T118,AB109:AB118,AJ109:AJ118)*100%)</f>
        <v>2.8095898553596226E-2</v>
      </c>
      <c r="Y121" s="44"/>
      <c r="Z121" s="51"/>
      <c r="AA121" s="54" t="s">
        <v>20</v>
      </c>
      <c r="AB121" s="48">
        <f>AVERAGE(AB109:AB118)</f>
        <v>154.86600000000001</v>
      </c>
      <c r="AC121" s="47"/>
      <c r="AD121" s="48">
        <f>_xlfn.STDEV.S(AB109:AB118) / AVERAGE(AB109:AB118) * 100%</f>
        <v>6.7621082754223726E-3</v>
      </c>
      <c r="AE121" s="48">
        <f t="array" ref="AE121">MIN((AB109:AB118 - MIN(D109:D118,L109:L118,T109:T118,AB109:AB118,AJ109:AJ118))/MIN(D109:D118,L109:L118,T109:T118,AB109:AB118,AJ109:AJ118)*100%)</f>
        <v>1.3341258833630607E-2</v>
      </c>
      <c r="AF121" s="48">
        <f t="array" ref="AF121">AVERAGE((AB109:AB118 - MIN(D109:D118,L109:L118,T109:T118,AB109:AB118,AJ109:AJ118))/MIN(D109:D118,L109:L118,T109:T118,AB109:AB118,AJ109:AJ118)*100%)</f>
        <v>2.2825440855954088E-2</v>
      </c>
      <c r="AG121" s="44"/>
      <c r="AH121" s="51"/>
      <c r="AI121" s="54" t="s">
        <v>20</v>
      </c>
      <c r="AJ121" s="48">
        <f>AVERAGE(AJ109:AJ118)</f>
        <v>154.435</v>
      </c>
      <c r="AK121" s="47"/>
      <c r="AL121" s="48">
        <f>_xlfn.STDEV.S(AJ109:AJ118) / AVERAGE(AJ109:AJ118) * 100%</f>
        <v>5.6324248802249541E-3</v>
      </c>
      <c r="AM121" s="48">
        <f t="array" ref="AM121">MIN((AJ109:AJ118 - MIN(D109:D118,L109:L118,T109:T118,AB109:AB118,AJ109:AJ118))/MIN(D109:D118,L109:L118,T109:T118,AB109:AB118,AJ109:AJ118)*100%)</f>
        <v>1.1161746251898802E-2</v>
      </c>
      <c r="AN121" s="48">
        <f t="array" ref="AN121">AVERAGE((AJ109:AJ118 - MIN(D109:D118,L109:L118,T109:T118,AB109:AB118,AJ109:AJ118))/MIN(D109:D118,L109:L118,T109:T118,AB109:AB118,AJ109:AJ118)*100%)</f>
        <v>1.9978865332540806E-2</v>
      </c>
      <c r="AO121" s="44"/>
      <c r="AP121" s="51"/>
    </row>
    <row r="122" spans="1:42" ht="21" customHeight="1" thickTop="1" thickBot="1" x14ac:dyDescent="0.35">
      <c r="A122" s="64"/>
      <c r="B122" s="79"/>
      <c r="C122" s="56"/>
      <c r="D122" s="57"/>
      <c r="E122" s="57"/>
      <c r="F122" s="57"/>
      <c r="G122" s="57"/>
      <c r="H122" s="57"/>
      <c r="I122" s="57"/>
      <c r="J122" s="58"/>
      <c r="K122" s="56"/>
      <c r="L122" s="57"/>
      <c r="M122" s="57"/>
      <c r="N122" s="57"/>
      <c r="O122" s="57"/>
      <c r="P122" s="57"/>
      <c r="Q122" s="57"/>
      <c r="R122" s="58"/>
      <c r="S122" s="56"/>
      <c r="T122" s="57"/>
      <c r="U122" s="57"/>
      <c r="V122" s="57"/>
      <c r="W122" s="57"/>
      <c r="X122" s="57"/>
      <c r="Y122" s="57"/>
      <c r="Z122" s="58"/>
      <c r="AA122" s="56"/>
      <c r="AB122" s="57"/>
      <c r="AC122" s="57"/>
      <c r="AD122" s="57"/>
      <c r="AE122" s="57"/>
      <c r="AF122" s="57"/>
      <c r="AG122" s="57"/>
      <c r="AH122" s="58"/>
      <c r="AI122" s="56"/>
      <c r="AJ122" s="57"/>
      <c r="AK122" s="57"/>
      <c r="AL122" s="57"/>
      <c r="AM122" s="57"/>
      <c r="AN122" s="57"/>
      <c r="AO122" s="57"/>
      <c r="AP122" s="58"/>
    </row>
    <row r="123" spans="1:42" ht="21" customHeight="1" thickTop="1" thickBot="1" x14ac:dyDescent="0.35">
      <c r="A123" s="62">
        <v>2</v>
      </c>
      <c r="B123" s="77" t="s">
        <v>35</v>
      </c>
      <c r="C123" s="59" t="s">
        <v>8</v>
      </c>
      <c r="D123" s="46" t="s">
        <v>9</v>
      </c>
      <c r="E123" s="46" t="s">
        <v>10</v>
      </c>
      <c r="F123" s="46" t="s">
        <v>11</v>
      </c>
      <c r="G123" s="46" t="s">
        <v>12</v>
      </c>
      <c r="H123" s="46" t="s">
        <v>13</v>
      </c>
      <c r="I123" s="46" t="s">
        <v>14</v>
      </c>
      <c r="J123" s="60" t="s">
        <v>15</v>
      </c>
      <c r="K123" s="59" t="s">
        <v>8</v>
      </c>
      <c r="L123" s="46" t="s">
        <v>9</v>
      </c>
      <c r="M123" s="46" t="s">
        <v>10</v>
      </c>
      <c r="N123" s="46" t="s">
        <v>11</v>
      </c>
      <c r="O123" s="46" t="s">
        <v>12</v>
      </c>
      <c r="P123" s="46" t="s">
        <v>13</v>
      </c>
      <c r="Q123" s="46" t="s">
        <v>14</v>
      </c>
      <c r="R123" s="60" t="s">
        <v>15</v>
      </c>
      <c r="S123" s="59" t="s">
        <v>8</v>
      </c>
      <c r="T123" s="46" t="s">
        <v>9</v>
      </c>
      <c r="U123" s="46" t="s">
        <v>10</v>
      </c>
      <c r="V123" s="46" t="s">
        <v>11</v>
      </c>
      <c r="W123" s="46" t="s">
        <v>12</v>
      </c>
      <c r="X123" s="46" t="s">
        <v>13</v>
      </c>
      <c r="Y123" s="46" t="s">
        <v>14</v>
      </c>
      <c r="Z123" s="60" t="s">
        <v>15</v>
      </c>
      <c r="AA123" s="59" t="s">
        <v>8</v>
      </c>
      <c r="AB123" s="46" t="s">
        <v>9</v>
      </c>
      <c r="AC123" s="46" t="s">
        <v>10</v>
      </c>
      <c r="AD123" s="46" t="s">
        <v>11</v>
      </c>
      <c r="AE123" s="46" t="s">
        <v>12</v>
      </c>
      <c r="AF123" s="46" t="s">
        <v>13</v>
      </c>
      <c r="AG123" s="46" t="s">
        <v>14</v>
      </c>
      <c r="AH123" s="60" t="s">
        <v>15</v>
      </c>
      <c r="AI123" s="59" t="s">
        <v>8</v>
      </c>
      <c r="AJ123" s="46" t="s">
        <v>9</v>
      </c>
      <c r="AK123" s="46" t="s">
        <v>10</v>
      </c>
      <c r="AL123" s="46" t="s">
        <v>11</v>
      </c>
      <c r="AM123" s="46" t="s">
        <v>12</v>
      </c>
      <c r="AN123" s="46" t="s">
        <v>13</v>
      </c>
      <c r="AO123" s="46" t="s">
        <v>14</v>
      </c>
      <c r="AP123" s="60" t="s">
        <v>15</v>
      </c>
    </row>
    <row r="124" spans="1:42" ht="21" customHeight="1" thickTop="1" thickBot="1" x14ac:dyDescent="0.35">
      <c r="A124" s="63"/>
      <c r="B124" s="78"/>
      <c r="C124" s="52">
        <v>1</v>
      </c>
      <c r="D124" s="44">
        <v>78.59</v>
      </c>
      <c r="E124" s="44"/>
      <c r="F124" s="44"/>
      <c r="G124" s="44"/>
      <c r="H124" s="44"/>
      <c r="I124" s="44"/>
      <c r="J124" s="51"/>
      <c r="K124" s="52">
        <v>1</v>
      </c>
      <c r="L124" s="44">
        <v>78.92</v>
      </c>
      <c r="M124" s="44"/>
      <c r="N124" s="44"/>
      <c r="O124" s="44"/>
      <c r="P124" s="44"/>
      <c r="Q124" s="44"/>
      <c r="R124" s="51"/>
      <c r="S124" s="52">
        <v>1</v>
      </c>
      <c r="T124" s="44">
        <v>82</v>
      </c>
      <c r="U124" s="44"/>
      <c r="V124" s="44"/>
      <c r="W124" s="44"/>
      <c r="X124" s="44"/>
      <c r="Y124" s="44"/>
      <c r="Z124" s="51"/>
      <c r="AA124" s="52">
        <v>1</v>
      </c>
      <c r="AB124" s="44">
        <v>79.600000000000009</v>
      </c>
      <c r="AC124" s="44"/>
      <c r="AD124" s="44"/>
      <c r="AE124" s="44"/>
      <c r="AF124" s="44"/>
      <c r="AG124" s="44"/>
      <c r="AH124" s="51"/>
      <c r="AI124" s="52">
        <v>1</v>
      </c>
      <c r="AJ124" s="44">
        <v>80.080000000000013</v>
      </c>
      <c r="AK124" s="44"/>
      <c r="AL124" s="44"/>
      <c r="AM124" s="44"/>
      <c r="AN124" s="44"/>
      <c r="AO124" s="44"/>
      <c r="AP124" s="51"/>
    </row>
    <row r="125" spans="1:42" ht="21" customHeight="1" thickTop="1" thickBot="1" x14ac:dyDescent="0.35">
      <c r="A125" s="63"/>
      <c r="B125" s="78"/>
      <c r="C125" s="53">
        <v>2</v>
      </c>
      <c r="D125" s="45">
        <v>79.509999999999991</v>
      </c>
      <c r="E125" s="45"/>
      <c r="F125" s="45"/>
      <c r="G125" s="45"/>
      <c r="H125" s="45"/>
      <c r="I125" s="45"/>
      <c r="J125" s="51"/>
      <c r="K125" s="53">
        <v>2</v>
      </c>
      <c r="L125" s="45">
        <v>79.44</v>
      </c>
      <c r="M125" s="45"/>
      <c r="N125" s="45"/>
      <c r="O125" s="45"/>
      <c r="P125" s="45"/>
      <c r="Q125" s="45"/>
      <c r="R125" s="51"/>
      <c r="S125" s="53">
        <v>2</v>
      </c>
      <c r="T125" s="45">
        <v>85.220000000000013</v>
      </c>
      <c r="U125" s="45"/>
      <c r="V125" s="45"/>
      <c r="W125" s="45"/>
      <c r="X125" s="45"/>
      <c r="Y125" s="45"/>
      <c r="Z125" s="51"/>
      <c r="AA125" s="53">
        <v>2</v>
      </c>
      <c r="AB125" s="45">
        <v>79.7</v>
      </c>
      <c r="AC125" s="45"/>
      <c r="AD125" s="45"/>
      <c r="AE125" s="45"/>
      <c r="AF125" s="45"/>
      <c r="AG125" s="45"/>
      <c r="AH125" s="51"/>
      <c r="AI125" s="53">
        <v>2</v>
      </c>
      <c r="AJ125" s="45">
        <v>81.31</v>
      </c>
      <c r="AK125" s="45"/>
      <c r="AL125" s="45"/>
      <c r="AM125" s="45"/>
      <c r="AN125" s="45"/>
      <c r="AO125" s="45"/>
      <c r="AP125" s="51"/>
    </row>
    <row r="126" spans="1:42" ht="21" customHeight="1" thickTop="1" thickBot="1" x14ac:dyDescent="0.35">
      <c r="A126" s="63"/>
      <c r="B126" s="78"/>
      <c r="C126" s="53">
        <v>3</v>
      </c>
      <c r="D126" s="45">
        <v>78.98</v>
      </c>
      <c r="E126" s="45"/>
      <c r="F126" s="45"/>
      <c r="G126" s="44"/>
      <c r="H126" s="44"/>
      <c r="I126" s="44"/>
      <c r="J126" s="51"/>
      <c r="K126" s="53">
        <v>3</v>
      </c>
      <c r="L126" s="45">
        <v>79.92</v>
      </c>
      <c r="M126" s="45"/>
      <c r="N126" s="45"/>
      <c r="O126" s="44"/>
      <c r="P126" s="44"/>
      <c r="Q126" s="44"/>
      <c r="R126" s="51"/>
      <c r="S126" s="53">
        <v>3</v>
      </c>
      <c r="T126" s="45">
        <v>81.990000000000009</v>
      </c>
      <c r="U126" s="45"/>
      <c r="V126" s="45"/>
      <c r="W126" s="44"/>
      <c r="X126" s="44"/>
      <c r="Y126" s="44"/>
      <c r="Z126" s="51"/>
      <c r="AA126" s="53">
        <v>3</v>
      </c>
      <c r="AB126" s="45">
        <v>81.83</v>
      </c>
      <c r="AC126" s="45"/>
      <c r="AD126" s="45"/>
      <c r="AE126" s="44"/>
      <c r="AF126" s="44"/>
      <c r="AG126" s="44"/>
      <c r="AH126" s="51"/>
      <c r="AI126" s="53">
        <v>3</v>
      </c>
      <c r="AJ126" s="45">
        <v>80.63000000000001</v>
      </c>
      <c r="AK126" s="45"/>
      <c r="AL126" s="45"/>
      <c r="AM126" s="44"/>
      <c r="AN126" s="44"/>
      <c r="AO126" s="44"/>
      <c r="AP126" s="51"/>
    </row>
    <row r="127" spans="1:42" ht="21" customHeight="1" thickTop="1" thickBot="1" x14ac:dyDescent="0.35">
      <c r="A127" s="63"/>
      <c r="B127" s="78"/>
      <c r="C127" s="53">
        <v>4</v>
      </c>
      <c r="D127" s="45">
        <v>79.42</v>
      </c>
      <c r="E127" s="45"/>
      <c r="F127" s="45"/>
      <c r="G127" s="45"/>
      <c r="H127" s="45"/>
      <c r="I127" s="45"/>
      <c r="J127" s="51"/>
      <c r="K127" s="53">
        <v>4</v>
      </c>
      <c r="L127" s="45">
        <v>78.92</v>
      </c>
      <c r="M127" s="45"/>
      <c r="N127" s="45"/>
      <c r="O127" s="45"/>
      <c r="P127" s="45"/>
      <c r="Q127" s="45"/>
      <c r="R127" s="51"/>
      <c r="S127" s="53">
        <v>4</v>
      </c>
      <c r="T127" s="45">
        <v>82.97</v>
      </c>
      <c r="U127" s="45"/>
      <c r="V127" s="45"/>
      <c r="W127" s="45"/>
      <c r="X127" s="45"/>
      <c r="Y127" s="45"/>
      <c r="Z127" s="51"/>
      <c r="AA127" s="53">
        <v>4</v>
      </c>
      <c r="AB127" s="45">
        <v>81.570000000000007</v>
      </c>
      <c r="AC127" s="45"/>
      <c r="AD127" s="45"/>
      <c r="AE127" s="45"/>
      <c r="AF127" s="45"/>
      <c r="AG127" s="45"/>
      <c r="AH127" s="51"/>
      <c r="AI127" s="53">
        <v>4</v>
      </c>
      <c r="AJ127" s="45">
        <v>81.560000000000016</v>
      </c>
      <c r="AK127" s="45"/>
      <c r="AL127" s="45"/>
      <c r="AM127" s="45"/>
      <c r="AN127" s="45"/>
      <c r="AO127" s="45"/>
      <c r="AP127" s="51"/>
    </row>
    <row r="128" spans="1:42" ht="21" customHeight="1" thickTop="1" thickBot="1" x14ac:dyDescent="0.35">
      <c r="A128" s="63"/>
      <c r="B128" s="78"/>
      <c r="C128" s="53">
        <v>5</v>
      </c>
      <c r="D128" s="45">
        <v>78.59</v>
      </c>
      <c r="E128" s="45"/>
      <c r="F128" s="45"/>
      <c r="G128" s="45"/>
      <c r="H128" s="45"/>
      <c r="I128" s="45"/>
      <c r="J128" s="51"/>
      <c r="K128" s="53">
        <v>5</v>
      </c>
      <c r="L128" s="45">
        <v>79.28</v>
      </c>
      <c r="M128" s="45"/>
      <c r="N128" s="45"/>
      <c r="O128" s="45"/>
      <c r="P128" s="45"/>
      <c r="Q128" s="45"/>
      <c r="R128" s="51"/>
      <c r="S128" s="53">
        <v>5</v>
      </c>
      <c r="T128" s="45">
        <v>80.92</v>
      </c>
      <c r="U128" s="45"/>
      <c r="V128" s="45"/>
      <c r="W128" s="45"/>
      <c r="X128" s="45"/>
      <c r="Y128" s="45"/>
      <c r="Z128" s="51"/>
      <c r="AA128" s="53">
        <v>5</v>
      </c>
      <c r="AB128" s="45">
        <v>79.47999999999999</v>
      </c>
      <c r="AC128" s="45"/>
      <c r="AD128" s="45"/>
      <c r="AE128" s="45"/>
      <c r="AF128" s="45"/>
      <c r="AG128" s="45"/>
      <c r="AH128" s="51"/>
      <c r="AI128" s="53">
        <v>5</v>
      </c>
      <c r="AJ128" s="45">
        <v>81.28</v>
      </c>
      <c r="AK128" s="45"/>
      <c r="AL128" s="45"/>
      <c r="AM128" s="45"/>
      <c r="AN128" s="45"/>
      <c r="AO128" s="45"/>
      <c r="AP128" s="51"/>
    </row>
    <row r="129" spans="1:42" ht="21" customHeight="1" thickTop="1" thickBot="1" x14ac:dyDescent="0.35">
      <c r="A129" s="63"/>
      <c r="B129" s="78"/>
      <c r="C129" s="53">
        <v>6</v>
      </c>
      <c r="D129" s="45">
        <v>79.48</v>
      </c>
      <c r="E129" s="45"/>
      <c r="F129" s="45"/>
      <c r="G129" s="45"/>
      <c r="H129" s="45"/>
      <c r="I129" s="45"/>
      <c r="J129" s="51"/>
      <c r="K129" s="53">
        <v>6</v>
      </c>
      <c r="L129" s="45">
        <v>79.34</v>
      </c>
      <c r="M129" s="45"/>
      <c r="N129" s="45"/>
      <c r="O129" s="45"/>
      <c r="P129" s="45"/>
      <c r="Q129" s="45"/>
      <c r="R129" s="51"/>
      <c r="S129" s="53">
        <v>6</v>
      </c>
      <c r="T129" s="45">
        <v>80.63000000000001</v>
      </c>
      <c r="U129" s="45"/>
      <c r="V129" s="45"/>
      <c r="W129" s="45"/>
      <c r="X129" s="45"/>
      <c r="Y129" s="45"/>
      <c r="Z129" s="51"/>
      <c r="AA129" s="53">
        <v>6</v>
      </c>
      <c r="AB129" s="45">
        <v>81.39</v>
      </c>
      <c r="AC129" s="45"/>
      <c r="AD129" s="45"/>
      <c r="AE129" s="45"/>
      <c r="AF129" s="45"/>
      <c r="AG129" s="45"/>
      <c r="AH129" s="51"/>
      <c r="AI129" s="53">
        <v>6</v>
      </c>
      <c r="AJ129" s="45">
        <v>79.900000000000006</v>
      </c>
      <c r="AK129" s="45"/>
      <c r="AL129" s="45"/>
      <c r="AM129" s="45"/>
      <c r="AN129" s="45"/>
      <c r="AO129" s="45"/>
      <c r="AP129" s="51"/>
    </row>
    <row r="130" spans="1:42" ht="21" customHeight="1" thickTop="1" thickBot="1" x14ac:dyDescent="0.35">
      <c r="A130" s="63"/>
      <c r="B130" s="78"/>
      <c r="C130" s="53">
        <v>7</v>
      </c>
      <c r="D130" s="45">
        <v>78.59</v>
      </c>
      <c r="E130" s="45"/>
      <c r="F130" s="45"/>
      <c r="G130" s="45"/>
      <c r="H130" s="45"/>
      <c r="I130" s="45"/>
      <c r="J130" s="51"/>
      <c r="K130" s="53">
        <v>7</v>
      </c>
      <c r="L130" s="45">
        <v>78.59</v>
      </c>
      <c r="M130" s="45"/>
      <c r="N130" s="45"/>
      <c r="O130" s="45"/>
      <c r="P130" s="45"/>
      <c r="Q130" s="45"/>
      <c r="R130" s="51"/>
      <c r="S130" s="53">
        <v>7</v>
      </c>
      <c r="T130" s="45">
        <v>83.070000000000007</v>
      </c>
      <c r="U130" s="45"/>
      <c r="V130" s="45"/>
      <c r="W130" s="45"/>
      <c r="X130" s="45"/>
      <c r="Y130" s="45"/>
      <c r="Z130" s="51"/>
      <c r="AA130" s="53">
        <v>7</v>
      </c>
      <c r="AB130" s="45">
        <v>80.63</v>
      </c>
      <c r="AC130" s="45"/>
      <c r="AD130" s="45"/>
      <c r="AE130" s="45"/>
      <c r="AF130" s="45"/>
      <c r="AG130" s="45"/>
      <c r="AH130" s="51"/>
      <c r="AI130" s="53">
        <v>7</v>
      </c>
      <c r="AJ130" s="45">
        <v>79.84</v>
      </c>
      <c r="AK130" s="45"/>
      <c r="AL130" s="45"/>
      <c r="AM130" s="45"/>
      <c r="AN130" s="45"/>
      <c r="AO130" s="45"/>
      <c r="AP130" s="51"/>
    </row>
    <row r="131" spans="1:42" ht="21" customHeight="1" thickTop="1" thickBot="1" x14ac:dyDescent="0.35">
      <c r="A131" s="63"/>
      <c r="B131" s="78"/>
      <c r="C131" s="53">
        <v>8</v>
      </c>
      <c r="D131" s="45">
        <v>78.59</v>
      </c>
      <c r="E131" s="45"/>
      <c r="F131" s="45"/>
      <c r="G131" s="45"/>
      <c r="H131" s="45"/>
      <c r="I131" s="45"/>
      <c r="J131" s="51"/>
      <c r="K131" s="53">
        <v>8</v>
      </c>
      <c r="L131" s="45">
        <v>79.28</v>
      </c>
      <c r="M131" s="45"/>
      <c r="N131" s="45"/>
      <c r="O131" s="45"/>
      <c r="P131" s="45"/>
      <c r="Q131" s="45"/>
      <c r="R131" s="51"/>
      <c r="S131" s="53">
        <v>8</v>
      </c>
      <c r="T131" s="45">
        <v>85.440000000000012</v>
      </c>
      <c r="U131" s="45"/>
      <c r="V131" s="45"/>
      <c r="W131" s="45"/>
      <c r="X131" s="45"/>
      <c r="Y131" s="45"/>
      <c r="Z131" s="51"/>
      <c r="AA131" s="53">
        <v>8</v>
      </c>
      <c r="AB131" s="45">
        <v>80.73</v>
      </c>
      <c r="AC131" s="45"/>
      <c r="AD131" s="45"/>
      <c r="AE131" s="45"/>
      <c r="AF131" s="45"/>
      <c r="AG131" s="45"/>
      <c r="AH131" s="51"/>
      <c r="AI131" s="53">
        <v>8</v>
      </c>
      <c r="AJ131" s="45">
        <v>81.170000000000016</v>
      </c>
      <c r="AK131" s="45"/>
      <c r="AL131" s="45"/>
      <c r="AM131" s="45"/>
      <c r="AN131" s="45"/>
      <c r="AO131" s="45"/>
      <c r="AP131" s="51"/>
    </row>
    <row r="132" spans="1:42" ht="21" customHeight="1" thickTop="1" thickBot="1" x14ac:dyDescent="0.35">
      <c r="A132" s="63"/>
      <c r="B132" s="78"/>
      <c r="C132" s="53">
        <v>9</v>
      </c>
      <c r="D132" s="45">
        <v>79.2</v>
      </c>
      <c r="E132" s="45"/>
      <c r="F132" s="45"/>
      <c r="G132" s="45"/>
      <c r="H132" s="45"/>
      <c r="I132" s="45"/>
      <c r="J132" s="51"/>
      <c r="K132" s="53">
        <v>9</v>
      </c>
      <c r="L132" s="45">
        <v>79.2</v>
      </c>
      <c r="M132" s="45"/>
      <c r="N132" s="45"/>
      <c r="O132" s="45"/>
      <c r="P132" s="45"/>
      <c r="Q132" s="45"/>
      <c r="R132" s="51"/>
      <c r="S132" s="53">
        <v>9</v>
      </c>
      <c r="T132" s="45">
        <v>85.22</v>
      </c>
      <c r="U132" s="45"/>
      <c r="V132" s="45"/>
      <c r="W132" s="45"/>
      <c r="X132" s="45"/>
      <c r="Y132" s="45"/>
      <c r="Z132" s="51"/>
      <c r="AA132" s="53">
        <v>9</v>
      </c>
      <c r="AB132" s="45">
        <v>80.59</v>
      </c>
      <c r="AC132" s="45"/>
      <c r="AD132" s="45"/>
      <c r="AE132" s="45"/>
      <c r="AF132" s="45"/>
      <c r="AG132" s="45"/>
      <c r="AH132" s="51"/>
      <c r="AI132" s="53">
        <v>9</v>
      </c>
      <c r="AJ132" s="45">
        <v>81.560000000000016</v>
      </c>
      <c r="AK132" s="45"/>
      <c r="AL132" s="45"/>
      <c r="AM132" s="45"/>
      <c r="AN132" s="45"/>
      <c r="AO132" s="45"/>
      <c r="AP132" s="51"/>
    </row>
    <row r="133" spans="1:42" ht="21" customHeight="1" thickTop="1" thickBot="1" x14ac:dyDescent="0.35">
      <c r="A133" s="63"/>
      <c r="B133" s="78"/>
      <c r="C133" s="53">
        <v>10</v>
      </c>
      <c r="D133" s="45">
        <v>79.48</v>
      </c>
      <c r="E133" s="45"/>
      <c r="F133" s="45"/>
      <c r="G133" s="45"/>
      <c r="H133" s="45"/>
      <c r="I133" s="45"/>
      <c r="J133" s="51"/>
      <c r="K133" s="53">
        <v>10</v>
      </c>
      <c r="L133" s="45">
        <v>79.28</v>
      </c>
      <c r="M133" s="45"/>
      <c r="N133" s="45"/>
      <c r="O133" s="45"/>
      <c r="P133" s="45"/>
      <c r="Q133" s="45"/>
      <c r="R133" s="51"/>
      <c r="S133" s="53">
        <v>10</v>
      </c>
      <c r="T133" s="45">
        <v>81.050000000000011</v>
      </c>
      <c r="U133" s="45"/>
      <c r="V133" s="45"/>
      <c r="W133" s="45"/>
      <c r="X133" s="45"/>
      <c r="Y133" s="45"/>
      <c r="Z133" s="51"/>
      <c r="AA133" s="53">
        <v>10</v>
      </c>
      <c r="AB133" s="45">
        <v>82.039999999999992</v>
      </c>
      <c r="AC133" s="45"/>
      <c r="AD133" s="45"/>
      <c r="AE133" s="45"/>
      <c r="AF133" s="45"/>
      <c r="AG133" s="45"/>
      <c r="AH133" s="51"/>
      <c r="AI133" s="53">
        <v>10</v>
      </c>
      <c r="AJ133" s="45">
        <v>81.12</v>
      </c>
      <c r="AK133" s="45"/>
      <c r="AL133" s="45"/>
      <c r="AM133" s="45"/>
      <c r="AN133" s="45"/>
      <c r="AO133" s="45"/>
      <c r="AP133" s="51"/>
    </row>
    <row r="134" spans="1:42" ht="21" customHeight="1" thickTop="1" thickBot="1" x14ac:dyDescent="0.35">
      <c r="A134" s="63"/>
      <c r="B134" s="78"/>
      <c r="C134" s="53"/>
      <c r="D134" s="45"/>
      <c r="E134" s="45"/>
      <c r="F134" s="45"/>
      <c r="G134" s="45"/>
      <c r="H134" s="45"/>
      <c r="I134" s="45"/>
      <c r="J134" s="51"/>
      <c r="K134" s="53"/>
      <c r="L134" s="45"/>
      <c r="M134" s="45"/>
      <c r="N134" s="45"/>
      <c r="O134" s="45"/>
      <c r="P134" s="45"/>
      <c r="Q134" s="45"/>
      <c r="R134" s="51"/>
      <c r="S134" s="53"/>
      <c r="T134" s="45"/>
      <c r="U134" s="45"/>
      <c r="V134" s="45"/>
      <c r="W134" s="45"/>
      <c r="X134" s="45"/>
      <c r="Y134" s="45"/>
      <c r="Z134" s="51"/>
      <c r="AA134" s="53"/>
      <c r="AB134" s="45"/>
      <c r="AC134" s="45"/>
      <c r="AD134" s="45"/>
      <c r="AE134" s="45"/>
      <c r="AF134" s="45"/>
      <c r="AG134" s="45"/>
      <c r="AH134" s="51"/>
      <c r="AI134" s="53"/>
      <c r="AJ134" s="45"/>
      <c r="AK134" s="45"/>
      <c r="AL134" s="45"/>
      <c r="AM134" s="45"/>
      <c r="AN134" s="45"/>
      <c r="AO134" s="45"/>
      <c r="AP134" s="51"/>
    </row>
    <row r="135" spans="1:42" ht="41" customHeight="1" thickTop="1" thickBot="1" x14ac:dyDescent="0.35">
      <c r="A135" s="63"/>
      <c r="B135" s="78"/>
      <c r="C135" s="54" t="s">
        <v>16</v>
      </c>
      <c r="D135" s="49">
        <f>MIN(D124:D133)</f>
        <v>78.59</v>
      </c>
      <c r="E135" s="45"/>
      <c r="F135" s="55" t="s">
        <v>17</v>
      </c>
      <c r="G135" s="49" t="s">
        <v>18</v>
      </c>
      <c r="H135" s="49" t="s">
        <v>19</v>
      </c>
      <c r="I135" s="45"/>
      <c r="J135" s="51"/>
      <c r="K135" s="54" t="s">
        <v>16</v>
      </c>
      <c r="L135" s="49">
        <f>MIN(L124:L133)</f>
        <v>78.59</v>
      </c>
      <c r="M135" s="45"/>
      <c r="N135" s="55" t="s">
        <v>17</v>
      </c>
      <c r="O135" s="49" t="s">
        <v>18</v>
      </c>
      <c r="P135" s="49" t="s">
        <v>19</v>
      </c>
      <c r="Q135" s="45"/>
      <c r="R135" s="51"/>
      <c r="S135" s="54" t="s">
        <v>16</v>
      </c>
      <c r="T135" s="49">
        <f>MIN(T124:T133)</f>
        <v>80.63000000000001</v>
      </c>
      <c r="U135" s="45"/>
      <c r="V135" s="55" t="s">
        <v>17</v>
      </c>
      <c r="W135" s="49" t="s">
        <v>18</v>
      </c>
      <c r="X135" s="49" t="s">
        <v>19</v>
      </c>
      <c r="Y135" s="45"/>
      <c r="Z135" s="51"/>
      <c r="AA135" s="54" t="s">
        <v>16</v>
      </c>
      <c r="AB135" s="49">
        <f>MIN(AB124:AB133)</f>
        <v>79.47999999999999</v>
      </c>
      <c r="AC135" s="45"/>
      <c r="AD135" s="55" t="s">
        <v>17</v>
      </c>
      <c r="AE135" s="49" t="s">
        <v>18</v>
      </c>
      <c r="AF135" s="49" t="s">
        <v>19</v>
      </c>
      <c r="AG135" s="45"/>
      <c r="AH135" s="51"/>
      <c r="AI135" s="54" t="s">
        <v>16</v>
      </c>
      <c r="AJ135" s="49">
        <f>MIN(AJ124:AJ133)</f>
        <v>79.84</v>
      </c>
      <c r="AK135" s="45"/>
      <c r="AL135" s="55" t="s">
        <v>17</v>
      </c>
      <c r="AM135" s="49" t="s">
        <v>18</v>
      </c>
      <c r="AN135" s="49" t="s">
        <v>19</v>
      </c>
      <c r="AO135" s="45"/>
      <c r="AP135" s="51"/>
    </row>
    <row r="136" spans="1:42" ht="21" customHeight="1" thickTop="1" thickBot="1" x14ac:dyDescent="0.35">
      <c r="A136" s="63"/>
      <c r="B136" s="78"/>
      <c r="C136" s="54" t="s">
        <v>20</v>
      </c>
      <c r="D136" s="48">
        <f>AVERAGE(D124:D133)</f>
        <v>79.043000000000021</v>
      </c>
      <c r="E136" s="47"/>
      <c r="F136" s="48">
        <f>_xlfn.STDEV.S(D124:D133) / AVERAGE(D124:D133) * 100%</f>
        <v>5.3202698374762982E-3</v>
      </c>
      <c r="G136" s="48">
        <f t="array" ref="G136">MIN((D124:D133 - MIN(D124:D133,L124:L133,T124:T133,AB124:AB133,AJ124:AJ133))/MIN(D124:D133,L124:L133,T124:T133,AB124:AB133,AJ124:AJ133)*100%)</f>
        <v>0</v>
      </c>
      <c r="H136" s="48">
        <f t="array" ref="H136">AVERAGE((D124:D133 - MIN(D124:D133,L124:L133,T124:T133,AB124:AB133,AJ124:AJ133))/MIN(D124:D133,L124:L133,T124:T133,AB124:AB133,AJ124:AJ133)*100%)</f>
        <v>5.7640921236798408E-3</v>
      </c>
      <c r="I136" s="45"/>
      <c r="J136" s="51"/>
      <c r="K136" s="54" t="s">
        <v>20</v>
      </c>
      <c r="L136" s="48">
        <f>AVERAGE(L124:L133)</f>
        <v>79.217000000000013</v>
      </c>
      <c r="M136" s="47"/>
      <c r="N136" s="48">
        <f>_xlfn.STDEV.S(L124:L133) / AVERAGE(L124:L133) * 100%</f>
        <v>4.4943512760393335E-3</v>
      </c>
      <c r="O136" s="48">
        <f t="array" ref="O136">MIN((L124:L133 - MIN(D124:D133,L124:L133,T124:T133,AB124:AB133,AJ124:AJ133))/MIN(D124:D133,L124:L133,T124:T133,AB124:AB133,AJ124:AJ133)*100%)</f>
        <v>0</v>
      </c>
      <c r="P136" s="48">
        <f t="array" ref="P136">AVERAGE((L124:L133 - MIN(D124:D133,L124:L133,T124:T133,AB124:AB133,AJ124:AJ133))/MIN(D124:D133,L124:L133,T124:T133,AB124:AB133,AJ124:AJ133)*100%)</f>
        <v>7.9781142639012356E-3</v>
      </c>
      <c r="Q136" s="44"/>
      <c r="R136" s="51"/>
      <c r="S136" s="54" t="s">
        <v>20</v>
      </c>
      <c r="T136" s="48">
        <f>AVERAGE(T124:T133)</f>
        <v>82.851000000000028</v>
      </c>
      <c r="U136" s="47"/>
      <c r="V136" s="48">
        <f>_xlfn.STDEV.S(T124:T133) / AVERAGE(T124:T133) * 100%</f>
        <v>2.2530438319829253E-2</v>
      </c>
      <c r="W136" s="48">
        <f t="array" ref="W136">MIN((T124:T133 - MIN(D124:D133,L124:L133,T124:T133,AB124:AB133,AJ124:AJ133))/MIN(D124:D133,L124:L133,T124:T133,AB124:AB133,AJ124:AJ133)*100%)</f>
        <v>2.5957500954319965E-2</v>
      </c>
      <c r="X136" s="48">
        <f t="array" ref="X136">AVERAGE((T124:T133 - MIN(D124:D133,L124:L133,T124:T133,AB124:AB133,AJ124:AJ133))/MIN(D124:D133,L124:L133,T124:T133,AB124:AB133,AJ124:AJ133)*100%)</f>
        <v>5.4218093905077015E-2</v>
      </c>
      <c r="Y136" s="44"/>
      <c r="Z136" s="51"/>
      <c r="AA136" s="54" t="s">
        <v>20</v>
      </c>
      <c r="AB136" s="48">
        <f>AVERAGE(AB124:AB133)</f>
        <v>80.756</v>
      </c>
      <c r="AC136" s="47"/>
      <c r="AD136" s="48">
        <f>_xlfn.STDEV.S(AB124:AB133) / AVERAGE(AB124:AB133) * 100%</f>
        <v>1.1667808519301676E-2</v>
      </c>
      <c r="AE136" s="48">
        <f t="array" ref="AE136">MIN((AB124:AB133 - MIN(D124:D133,L124:L133,T124:T133,AB124:AB133,AJ124:AJ133))/MIN(D124:D133,L124:L133,T124:T133,AB124:AB133,AJ124:AJ133)*100%)</f>
        <v>1.1324596004580561E-2</v>
      </c>
      <c r="AF136" s="48">
        <f t="array" ref="AF136">AVERAGE((AB124:AB133 - MIN(D124:D133,L124:L133,T124:T133,AB124:AB133,AJ124:AJ133))/MIN(D124:D133,L124:L133,T124:T133,AB124:AB133,AJ124:AJ133)*100%)</f>
        <v>2.7560758366204308E-2</v>
      </c>
      <c r="AG136" s="44"/>
      <c r="AH136" s="51"/>
      <c r="AI136" s="54" t="s">
        <v>20</v>
      </c>
      <c r="AJ136" s="48">
        <f>AVERAGE(AJ124:AJ133)</f>
        <v>80.844999999999999</v>
      </c>
      <c r="AK136" s="47"/>
      <c r="AL136" s="48">
        <f>_xlfn.STDEV.S(AJ124:AJ133) / AVERAGE(AJ124:AJ133) * 100%</f>
        <v>8.3929978596759321E-3</v>
      </c>
      <c r="AM136" s="48">
        <f t="array" ref="AM136">MIN((AJ124:AJ133 - MIN(D124:D133,L124:L133,T124:T133,AB124:AB133,AJ124:AJ133))/MIN(D124:D133,L124:L133,T124:T133,AB124:AB133,AJ124:AJ133)*100%)</f>
        <v>1.5905331467107774E-2</v>
      </c>
      <c r="AN136" s="48">
        <f t="array" ref="AN136">AVERAGE((AJ124:AJ133 - MIN(D124:D133,L124:L133,T124:T133,AB124:AB133,AJ124:AJ133))/MIN(D124:D133,L124:L133,T124:T133,AB124:AB133,AJ124:AJ133)*100%)</f>
        <v>2.8693217966662486E-2</v>
      </c>
      <c r="AO136" s="44"/>
      <c r="AP136" s="51"/>
    </row>
    <row r="137" spans="1:42" ht="21" customHeight="1" thickTop="1" thickBot="1" x14ac:dyDescent="0.35">
      <c r="A137" s="63"/>
      <c r="B137" s="79"/>
      <c r="C137" s="53"/>
      <c r="D137" s="44"/>
      <c r="E137" s="44"/>
      <c r="F137" s="44"/>
      <c r="G137" s="44"/>
      <c r="H137" s="44"/>
      <c r="I137" s="44"/>
      <c r="J137" s="51"/>
      <c r="K137" s="53"/>
      <c r="L137" s="44"/>
      <c r="M137" s="44"/>
      <c r="N137" s="44"/>
      <c r="O137" s="44"/>
      <c r="P137" s="44"/>
      <c r="Q137" s="44"/>
      <c r="R137" s="51"/>
      <c r="S137" s="53"/>
      <c r="T137" s="44"/>
      <c r="U137" s="44"/>
      <c r="V137" s="44"/>
      <c r="W137" s="44"/>
      <c r="X137" s="44"/>
      <c r="Y137" s="44"/>
      <c r="Z137" s="51"/>
      <c r="AA137" s="53"/>
      <c r="AB137" s="44"/>
      <c r="AC137" s="44"/>
      <c r="AD137" s="44"/>
      <c r="AE137" s="44"/>
      <c r="AF137" s="44"/>
      <c r="AG137" s="44"/>
      <c r="AH137" s="51"/>
      <c r="AI137" s="53"/>
      <c r="AJ137" s="44"/>
      <c r="AK137" s="44"/>
      <c r="AL137" s="44"/>
      <c r="AM137" s="44"/>
      <c r="AN137" s="44"/>
      <c r="AO137" s="44"/>
      <c r="AP137" s="51"/>
    </row>
    <row r="138" spans="1:42" ht="21" customHeight="1" thickTop="1" thickBot="1" x14ac:dyDescent="0.35">
      <c r="A138" s="63"/>
      <c r="B138" s="77" t="s">
        <v>36</v>
      </c>
      <c r="C138" s="59" t="s">
        <v>8</v>
      </c>
      <c r="D138" s="46" t="s">
        <v>9</v>
      </c>
      <c r="E138" s="46" t="s">
        <v>10</v>
      </c>
      <c r="F138" s="46" t="s">
        <v>11</v>
      </c>
      <c r="G138" s="46" t="s">
        <v>12</v>
      </c>
      <c r="H138" s="46" t="s">
        <v>13</v>
      </c>
      <c r="I138" s="46" t="s">
        <v>14</v>
      </c>
      <c r="J138" s="60" t="s">
        <v>15</v>
      </c>
      <c r="K138" s="59" t="s">
        <v>8</v>
      </c>
      <c r="L138" s="46" t="s">
        <v>9</v>
      </c>
      <c r="M138" s="46" t="s">
        <v>10</v>
      </c>
      <c r="N138" s="46" t="s">
        <v>11</v>
      </c>
      <c r="O138" s="46" t="s">
        <v>12</v>
      </c>
      <c r="P138" s="46" t="s">
        <v>13</v>
      </c>
      <c r="Q138" s="46" t="s">
        <v>14</v>
      </c>
      <c r="R138" s="60" t="s">
        <v>15</v>
      </c>
      <c r="S138" s="59" t="s">
        <v>8</v>
      </c>
      <c r="T138" s="46" t="s">
        <v>9</v>
      </c>
      <c r="U138" s="46" t="s">
        <v>10</v>
      </c>
      <c r="V138" s="46" t="s">
        <v>11</v>
      </c>
      <c r="W138" s="46" t="s">
        <v>12</v>
      </c>
      <c r="X138" s="46" t="s">
        <v>13</v>
      </c>
      <c r="Y138" s="46" t="s">
        <v>14</v>
      </c>
      <c r="Z138" s="60" t="s">
        <v>15</v>
      </c>
      <c r="AA138" s="59" t="s">
        <v>8</v>
      </c>
      <c r="AB138" s="46" t="s">
        <v>9</v>
      </c>
      <c r="AC138" s="46" t="s">
        <v>10</v>
      </c>
      <c r="AD138" s="46" t="s">
        <v>11</v>
      </c>
      <c r="AE138" s="46" t="s">
        <v>12</v>
      </c>
      <c r="AF138" s="46" t="s">
        <v>13</v>
      </c>
      <c r="AG138" s="46" t="s">
        <v>14</v>
      </c>
      <c r="AH138" s="60" t="s">
        <v>15</v>
      </c>
      <c r="AI138" s="59" t="s">
        <v>8</v>
      </c>
      <c r="AJ138" s="46" t="s">
        <v>9</v>
      </c>
      <c r="AK138" s="46" t="s">
        <v>10</v>
      </c>
      <c r="AL138" s="46" t="s">
        <v>11</v>
      </c>
      <c r="AM138" s="46" t="s">
        <v>12</v>
      </c>
      <c r="AN138" s="46" t="s">
        <v>13</v>
      </c>
      <c r="AO138" s="46" t="s">
        <v>14</v>
      </c>
      <c r="AP138" s="60" t="s">
        <v>15</v>
      </c>
    </row>
    <row r="139" spans="1:42" ht="21" customHeight="1" thickTop="1" thickBot="1" x14ac:dyDescent="0.35">
      <c r="A139" s="63"/>
      <c r="B139" s="78"/>
      <c r="C139" s="52">
        <v>1</v>
      </c>
      <c r="D139" s="44">
        <v>90.920000000000016</v>
      </c>
      <c r="E139" s="44"/>
      <c r="F139" s="44"/>
      <c r="G139" s="44"/>
      <c r="H139" s="44"/>
      <c r="I139" s="44"/>
      <c r="J139" s="51"/>
      <c r="K139" s="52">
        <v>1</v>
      </c>
      <c r="L139" s="44">
        <v>91.77000000000001</v>
      </c>
      <c r="M139" s="44"/>
      <c r="N139" s="44"/>
      <c r="O139" s="44"/>
      <c r="P139" s="44"/>
      <c r="Q139" s="44"/>
      <c r="R139" s="51"/>
      <c r="S139" s="52">
        <v>1</v>
      </c>
      <c r="T139" s="44">
        <v>94.22</v>
      </c>
      <c r="U139" s="44"/>
      <c r="V139" s="44"/>
      <c r="W139" s="44"/>
      <c r="X139" s="44"/>
      <c r="Y139" s="44"/>
      <c r="Z139" s="51"/>
      <c r="AA139" s="52">
        <v>1</v>
      </c>
      <c r="AB139" s="44">
        <v>94.390000000000015</v>
      </c>
      <c r="AC139" s="44"/>
      <c r="AD139" s="44"/>
      <c r="AE139" s="44"/>
      <c r="AF139" s="44"/>
      <c r="AG139" s="44"/>
      <c r="AH139" s="51"/>
      <c r="AI139" s="52">
        <v>1</v>
      </c>
      <c r="AJ139" s="44">
        <v>92.17</v>
      </c>
      <c r="AK139" s="44"/>
      <c r="AL139" s="44"/>
      <c r="AM139" s="44"/>
      <c r="AN139" s="44"/>
      <c r="AO139" s="44"/>
      <c r="AP139" s="51"/>
    </row>
    <row r="140" spans="1:42" ht="21" customHeight="1" thickTop="1" thickBot="1" x14ac:dyDescent="0.35">
      <c r="A140" s="63"/>
      <c r="B140" s="78"/>
      <c r="C140" s="53">
        <v>2</v>
      </c>
      <c r="D140" s="45">
        <v>90.950000000000017</v>
      </c>
      <c r="E140" s="45"/>
      <c r="F140" s="45"/>
      <c r="G140" s="45"/>
      <c r="H140" s="45"/>
      <c r="I140" s="45"/>
      <c r="J140" s="51"/>
      <c r="K140" s="53">
        <v>2</v>
      </c>
      <c r="L140" s="45">
        <v>90.970000000000013</v>
      </c>
      <c r="M140" s="45"/>
      <c r="N140" s="45"/>
      <c r="O140" s="45"/>
      <c r="P140" s="45"/>
      <c r="Q140" s="45"/>
      <c r="R140" s="51"/>
      <c r="S140" s="53">
        <v>2</v>
      </c>
      <c r="T140" s="45">
        <v>93.79</v>
      </c>
      <c r="U140" s="45"/>
      <c r="V140" s="45"/>
      <c r="W140" s="45"/>
      <c r="X140" s="45"/>
      <c r="Y140" s="45"/>
      <c r="Z140" s="51"/>
      <c r="AA140" s="53">
        <v>2</v>
      </c>
      <c r="AB140" s="45">
        <v>92.83</v>
      </c>
      <c r="AC140" s="45"/>
      <c r="AD140" s="45"/>
      <c r="AE140" s="45"/>
      <c r="AF140" s="45"/>
      <c r="AG140" s="45"/>
      <c r="AH140" s="51"/>
      <c r="AI140" s="53">
        <v>2</v>
      </c>
      <c r="AJ140" s="45">
        <v>91.9</v>
      </c>
      <c r="AK140" s="45"/>
      <c r="AL140" s="45"/>
      <c r="AM140" s="45"/>
      <c r="AN140" s="45"/>
      <c r="AO140" s="45"/>
      <c r="AP140" s="51"/>
    </row>
    <row r="141" spans="1:42" ht="21" customHeight="1" thickTop="1" thickBot="1" x14ac:dyDescent="0.35">
      <c r="A141" s="63"/>
      <c r="B141" s="78"/>
      <c r="C141" s="53">
        <v>3</v>
      </c>
      <c r="D141" s="45">
        <v>90.970000000000013</v>
      </c>
      <c r="E141" s="45"/>
      <c r="F141" s="45"/>
      <c r="G141" s="44"/>
      <c r="H141" s="44"/>
      <c r="I141" s="44"/>
      <c r="J141" s="51"/>
      <c r="K141" s="53">
        <v>3</v>
      </c>
      <c r="L141" s="45">
        <v>92.550000000000011</v>
      </c>
      <c r="M141" s="45"/>
      <c r="N141" s="45"/>
      <c r="O141" s="44"/>
      <c r="P141" s="44"/>
      <c r="Q141" s="44"/>
      <c r="R141" s="51"/>
      <c r="S141" s="53">
        <v>3</v>
      </c>
      <c r="T141" s="45">
        <v>93.98</v>
      </c>
      <c r="U141" s="45"/>
      <c r="V141" s="45"/>
      <c r="W141" s="44"/>
      <c r="X141" s="44"/>
      <c r="Y141" s="44"/>
      <c r="Z141" s="51"/>
      <c r="AA141" s="53">
        <v>3</v>
      </c>
      <c r="AB141" s="45">
        <v>94.300000000000011</v>
      </c>
      <c r="AC141" s="45"/>
      <c r="AD141" s="45"/>
      <c r="AE141" s="44"/>
      <c r="AF141" s="44"/>
      <c r="AG141" s="44"/>
      <c r="AH141" s="51"/>
      <c r="AI141" s="53">
        <v>3</v>
      </c>
      <c r="AJ141" s="45">
        <v>91.04</v>
      </c>
      <c r="AK141" s="45"/>
      <c r="AL141" s="45"/>
      <c r="AM141" s="44"/>
      <c r="AN141" s="44"/>
      <c r="AO141" s="44"/>
      <c r="AP141" s="51"/>
    </row>
    <row r="142" spans="1:42" ht="21" customHeight="1" thickTop="1" thickBot="1" x14ac:dyDescent="0.35">
      <c r="A142" s="63"/>
      <c r="B142" s="78"/>
      <c r="C142" s="53">
        <v>4</v>
      </c>
      <c r="D142" s="45">
        <v>91.08</v>
      </c>
      <c r="E142" s="45"/>
      <c r="F142" s="45"/>
      <c r="G142" s="45"/>
      <c r="H142" s="45"/>
      <c r="I142" s="45"/>
      <c r="J142" s="51"/>
      <c r="K142" s="53">
        <v>4</v>
      </c>
      <c r="L142" s="45">
        <v>90.73</v>
      </c>
      <c r="M142" s="45"/>
      <c r="N142" s="45"/>
      <c r="O142" s="45"/>
      <c r="P142" s="45"/>
      <c r="Q142" s="45"/>
      <c r="R142" s="51"/>
      <c r="S142" s="53">
        <v>4</v>
      </c>
      <c r="T142" s="45">
        <v>93.800000000000011</v>
      </c>
      <c r="U142" s="45"/>
      <c r="V142" s="45"/>
      <c r="W142" s="45"/>
      <c r="X142" s="45"/>
      <c r="Y142" s="45"/>
      <c r="Z142" s="51"/>
      <c r="AA142" s="53">
        <v>4</v>
      </c>
      <c r="AB142" s="45">
        <v>91.560000000000016</v>
      </c>
      <c r="AC142" s="45"/>
      <c r="AD142" s="45"/>
      <c r="AE142" s="45"/>
      <c r="AF142" s="45"/>
      <c r="AG142" s="45"/>
      <c r="AH142" s="51"/>
      <c r="AI142" s="53">
        <v>4</v>
      </c>
      <c r="AJ142" s="45">
        <v>91.9</v>
      </c>
      <c r="AK142" s="45"/>
      <c r="AL142" s="45"/>
      <c r="AM142" s="45"/>
      <c r="AN142" s="45"/>
      <c r="AO142" s="45"/>
      <c r="AP142" s="51"/>
    </row>
    <row r="143" spans="1:42" ht="21" customHeight="1" thickTop="1" thickBot="1" x14ac:dyDescent="0.35">
      <c r="A143" s="63"/>
      <c r="B143" s="78"/>
      <c r="C143" s="53">
        <v>5</v>
      </c>
      <c r="D143" s="45">
        <v>89.730000000000018</v>
      </c>
      <c r="E143" s="45"/>
      <c r="F143" s="45"/>
      <c r="G143" s="45"/>
      <c r="H143" s="45"/>
      <c r="I143" s="45"/>
      <c r="J143" s="51"/>
      <c r="K143" s="53">
        <v>5</v>
      </c>
      <c r="L143" s="45">
        <v>90.69</v>
      </c>
      <c r="M143" s="45"/>
      <c r="N143" s="45"/>
      <c r="O143" s="45"/>
      <c r="P143" s="45"/>
      <c r="Q143" s="45"/>
      <c r="R143" s="51"/>
      <c r="S143" s="53">
        <v>5</v>
      </c>
      <c r="T143" s="45">
        <v>94.12</v>
      </c>
      <c r="U143" s="45"/>
      <c r="V143" s="45"/>
      <c r="W143" s="45"/>
      <c r="X143" s="45"/>
      <c r="Y143" s="45"/>
      <c r="Z143" s="51"/>
      <c r="AA143" s="53">
        <v>5</v>
      </c>
      <c r="AB143" s="45">
        <v>91.12</v>
      </c>
      <c r="AC143" s="45"/>
      <c r="AD143" s="45"/>
      <c r="AE143" s="45"/>
      <c r="AF143" s="45"/>
      <c r="AG143" s="45"/>
      <c r="AH143" s="51"/>
      <c r="AI143" s="53">
        <v>5</v>
      </c>
      <c r="AJ143" s="45">
        <v>91.9</v>
      </c>
      <c r="AK143" s="45"/>
      <c r="AL143" s="45"/>
      <c r="AM143" s="45"/>
      <c r="AN143" s="45"/>
      <c r="AO143" s="45"/>
      <c r="AP143" s="51"/>
    </row>
    <row r="144" spans="1:42" ht="21" customHeight="1" thickTop="1" thickBot="1" x14ac:dyDescent="0.35">
      <c r="A144" s="63"/>
      <c r="B144" s="78"/>
      <c r="C144" s="53">
        <v>6</v>
      </c>
      <c r="D144" s="45">
        <v>90.920000000000016</v>
      </c>
      <c r="E144" s="45"/>
      <c r="F144" s="45"/>
      <c r="G144" s="45"/>
      <c r="H144" s="45"/>
      <c r="I144" s="45"/>
      <c r="J144" s="51"/>
      <c r="K144" s="53">
        <v>6</v>
      </c>
      <c r="L144" s="45">
        <v>90.8</v>
      </c>
      <c r="M144" s="45"/>
      <c r="N144" s="45"/>
      <c r="O144" s="45"/>
      <c r="P144" s="45"/>
      <c r="Q144" s="45"/>
      <c r="R144" s="51"/>
      <c r="S144" s="53">
        <v>6</v>
      </c>
      <c r="T144" s="45">
        <v>93.84</v>
      </c>
      <c r="U144" s="45"/>
      <c r="V144" s="45"/>
      <c r="W144" s="45"/>
      <c r="X144" s="45"/>
      <c r="Y144" s="45"/>
      <c r="Z144" s="51"/>
      <c r="AA144" s="53">
        <v>6</v>
      </c>
      <c r="AB144" s="45">
        <v>91.36</v>
      </c>
      <c r="AC144" s="45"/>
      <c r="AD144" s="45"/>
      <c r="AE144" s="45"/>
      <c r="AF144" s="45"/>
      <c r="AG144" s="45"/>
      <c r="AH144" s="51"/>
      <c r="AI144" s="53">
        <v>6</v>
      </c>
      <c r="AJ144" s="45">
        <v>92.190000000000012</v>
      </c>
      <c r="AK144" s="45"/>
      <c r="AL144" s="45"/>
      <c r="AM144" s="45"/>
      <c r="AN144" s="45"/>
      <c r="AO144" s="45"/>
      <c r="AP144" s="51"/>
    </row>
    <row r="145" spans="1:42" ht="21" customHeight="1" thickTop="1" thickBot="1" x14ac:dyDescent="0.35">
      <c r="A145" s="63"/>
      <c r="B145" s="78"/>
      <c r="C145" s="53">
        <v>7</v>
      </c>
      <c r="D145" s="45">
        <v>89.940000000000012</v>
      </c>
      <c r="E145" s="45"/>
      <c r="F145" s="45"/>
      <c r="G145" s="45"/>
      <c r="H145" s="45"/>
      <c r="I145" s="45"/>
      <c r="J145" s="51"/>
      <c r="K145" s="53">
        <v>7</v>
      </c>
      <c r="L145" s="45">
        <v>90.8</v>
      </c>
      <c r="M145" s="45"/>
      <c r="N145" s="45"/>
      <c r="O145" s="45"/>
      <c r="P145" s="45"/>
      <c r="Q145" s="45"/>
      <c r="R145" s="51"/>
      <c r="S145" s="53">
        <v>7</v>
      </c>
      <c r="T145" s="45">
        <v>93.4</v>
      </c>
      <c r="U145" s="45"/>
      <c r="V145" s="45"/>
      <c r="W145" s="45"/>
      <c r="X145" s="45"/>
      <c r="Y145" s="45"/>
      <c r="Z145" s="51"/>
      <c r="AA145" s="53">
        <v>7</v>
      </c>
      <c r="AB145" s="45">
        <v>91.91</v>
      </c>
      <c r="AC145" s="45"/>
      <c r="AD145" s="45"/>
      <c r="AE145" s="45"/>
      <c r="AF145" s="45"/>
      <c r="AG145" s="45"/>
      <c r="AH145" s="51"/>
      <c r="AI145" s="53">
        <v>7</v>
      </c>
      <c r="AJ145" s="45">
        <v>92.190000000000012</v>
      </c>
      <c r="AK145" s="45"/>
      <c r="AL145" s="45"/>
      <c r="AM145" s="45"/>
      <c r="AN145" s="45"/>
      <c r="AO145" s="45"/>
      <c r="AP145" s="51"/>
    </row>
    <row r="146" spans="1:42" ht="21" customHeight="1" thickTop="1" thickBot="1" x14ac:dyDescent="0.35">
      <c r="A146" s="63"/>
      <c r="B146" s="78"/>
      <c r="C146" s="53">
        <v>8</v>
      </c>
      <c r="D146" s="45">
        <v>90.450000000000017</v>
      </c>
      <c r="E146" s="45"/>
      <c r="F146" s="45"/>
      <c r="G146" s="45"/>
      <c r="H146" s="45"/>
      <c r="I146" s="45"/>
      <c r="J146" s="51"/>
      <c r="K146" s="53">
        <v>8</v>
      </c>
      <c r="L146" s="45">
        <v>91.56</v>
      </c>
      <c r="M146" s="45"/>
      <c r="N146" s="45"/>
      <c r="O146" s="45"/>
      <c r="P146" s="45"/>
      <c r="Q146" s="45"/>
      <c r="R146" s="51"/>
      <c r="S146" s="53">
        <v>8</v>
      </c>
      <c r="T146" s="45">
        <v>94.120000000000019</v>
      </c>
      <c r="U146" s="45"/>
      <c r="V146" s="45"/>
      <c r="W146" s="45"/>
      <c r="X146" s="45"/>
      <c r="Y146" s="45"/>
      <c r="Z146" s="51"/>
      <c r="AA146" s="53">
        <v>8</v>
      </c>
      <c r="AB146" s="45">
        <v>91.910000000000011</v>
      </c>
      <c r="AC146" s="45"/>
      <c r="AD146" s="45"/>
      <c r="AE146" s="45"/>
      <c r="AF146" s="45"/>
      <c r="AG146" s="45"/>
      <c r="AH146" s="51"/>
      <c r="AI146" s="53">
        <v>8</v>
      </c>
      <c r="AJ146" s="45">
        <v>93.190000000000012</v>
      </c>
      <c r="AK146" s="45"/>
      <c r="AL146" s="45"/>
      <c r="AM146" s="45"/>
      <c r="AN146" s="45"/>
      <c r="AO146" s="45"/>
      <c r="AP146" s="51"/>
    </row>
    <row r="147" spans="1:42" ht="21" customHeight="1" thickTop="1" thickBot="1" x14ac:dyDescent="0.35">
      <c r="A147" s="63"/>
      <c r="B147" s="78"/>
      <c r="C147" s="53">
        <v>9</v>
      </c>
      <c r="D147" s="45">
        <v>90.95</v>
      </c>
      <c r="E147" s="45"/>
      <c r="F147" s="45"/>
      <c r="G147" s="45"/>
      <c r="H147" s="45"/>
      <c r="I147" s="45"/>
      <c r="J147" s="51"/>
      <c r="K147" s="53">
        <v>9</v>
      </c>
      <c r="L147" s="45">
        <v>91.780000000000015</v>
      </c>
      <c r="M147" s="45"/>
      <c r="N147" s="45"/>
      <c r="O147" s="45"/>
      <c r="P147" s="45"/>
      <c r="Q147" s="45"/>
      <c r="R147" s="51"/>
      <c r="S147" s="53">
        <v>9</v>
      </c>
      <c r="T147" s="45">
        <v>94.31</v>
      </c>
      <c r="U147" s="45"/>
      <c r="V147" s="45"/>
      <c r="W147" s="45"/>
      <c r="X147" s="45"/>
      <c r="Y147" s="45"/>
      <c r="Z147" s="51"/>
      <c r="AA147" s="53">
        <v>9</v>
      </c>
      <c r="AB147" s="45">
        <v>93.09</v>
      </c>
      <c r="AC147" s="45"/>
      <c r="AD147" s="45"/>
      <c r="AE147" s="45"/>
      <c r="AF147" s="45"/>
      <c r="AG147" s="45"/>
      <c r="AH147" s="51"/>
      <c r="AI147" s="53">
        <v>9</v>
      </c>
      <c r="AJ147" s="45">
        <v>91.79</v>
      </c>
      <c r="AK147" s="45"/>
      <c r="AL147" s="45"/>
      <c r="AM147" s="45"/>
      <c r="AN147" s="45"/>
      <c r="AO147" s="45"/>
      <c r="AP147" s="51"/>
    </row>
    <row r="148" spans="1:42" ht="21" customHeight="1" thickTop="1" thickBot="1" x14ac:dyDescent="0.35">
      <c r="A148" s="63"/>
      <c r="B148" s="78"/>
      <c r="C148" s="53">
        <v>10</v>
      </c>
      <c r="D148" s="45">
        <v>90.440000000000012</v>
      </c>
      <c r="E148" s="45"/>
      <c r="F148" s="45"/>
      <c r="G148" s="45"/>
      <c r="H148" s="45"/>
      <c r="I148" s="45"/>
      <c r="J148" s="51"/>
      <c r="K148" s="53">
        <v>10</v>
      </c>
      <c r="L148" s="45">
        <v>90.740000000000009</v>
      </c>
      <c r="M148" s="45"/>
      <c r="N148" s="45"/>
      <c r="O148" s="45"/>
      <c r="P148" s="45"/>
      <c r="Q148" s="45"/>
      <c r="R148" s="51"/>
      <c r="S148" s="53">
        <v>10</v>
      </c>
      <c r="T148" s="45">
        <v>95.18</v>
      </c>
      <c r="U148" s="45"/>
      <c r="V148" s="45"/>
      <c r="W148" s="45"/>
      <c r="X148" s="45"/>
      <c r="Y148" s="45"/>
      <c r="Z148" s="51"/>
      <c r="AA148" s="53">
        <v>10</v>
      </c>
      <c r="AB148" s="45">
        <v>92.940000000000012</v>
      </c>
      <c r="AC148" s="45"/>
      <c r="AD148" s="45"/>
      <c r="AE148" s="45"/>
      <c r="AF148" s="45"/>
      <c r="AG148" s="45"/>
      <c r="AH148" s="51"/>
      <c r="AI148" s="53">
        <v>10</v>
      </c>
      <c r="AJ148" s="45">
        <v>91.17</v>
      </c>
      <c r="AK148" s="45"/>
      <c r="AL148" s="45"/>
      <c r="AM148" s="45"/>
      <c r="AN148" s="45"/>
      <c r="AO148" s="45"/>
      <c r="AP148" s="51"/>
    </row>
    <row r="149" spans="1:42" ht="21" customHeight="1" thickTop="1" thickBot="1" x14ac:dyDescent="0.35">
      <c r="A149" s="63"/>
      <c r="B149" s="78"/>
      <c r="C149" s="53"/>
      <c r="D149" s="45"/>
      <c r="E149" s="45"/>
      <c r="F149" s="45"/>
      <c r="G149" s="45"/>
      <c r="H149" s="45"/>
      <c r="I149" s="45"/>
      <c r="J149" s="51"/>
      <c r="K149" s="53"/>
      <c r="L149" s="45"/>
      <c r="M149" s="45"/>
      <c r="N149" s="45"/>
      <c r="O149" s="45"/>
      <c r="P149" s="45"/>
      <c r="Q149" s="45"/>
      <c r="R149" s="51"/>
      <c r="S149" s="53"/>
      <c r="T149" s="45"/>
      <c r="U149" s="45"/>
      <c r="V149" s="45"/>
      <c r="W149" s="45"/>
      <c r="X149" s="45"/>
      <c r="Y149" s="45"/>
      <c r="Z149" s="51"/>
      <c r="AA149" s="53"/>
      <c r="AB149" s="45"/>
      <c r="AC149" s="45"/>
      <c r="AD149" s="45"/>
      <c r="AE149" s="45"/>
      <c r="AF149" s="45"/>
      <c r="AG149" s="45"/>
      <c r="AH149" s="51"/>
      <c r="AI149" s="53"/>
      <c r="AJ149" s="45"/>
      <c r="AK149" s="45"/>
      <c r="AL149" s="45"/>
      <c r="AM149" s="45"/>
      <c r="AN149" s="45"/>
      <c r="AO149" s="45"/>
      <c r="AP149" s="51"/>
    </row>
    <row r="150" spans="1:42" ht="41" customHeight="1" thickTop="1" thickBot="1" x14ac:dyDescent="0.35">
      <c r="A150" s="63"/>
      <c r="B150" s="78"/>
      <c r="C150" s="54" t="s">
        <v>16</v>
      </c>
      <c r="D150" s="49">
        <f>MIN(D139:D148)</f>
        <v>89.730000000000018</v>
      </c>
      <c r="E150" s="45"/>
      <c r="F150" s="55" t="s">
        <v>17</v>
      </c>
      <c r="G150" s="49" t="s">
        <v>18</v>
      </c>
      <c r="H150" s="49" t="s">
        <v>19</v>
      </c>
      <c r="I150" s="45"/>
      <c r="J150" s="51"/>
      <c r="K150" s="54" t="s">
        <v>16</v>
      </c>
      <c r="L150" s="49">
        <f>MIN(L139:L148)</f>
        <v>90.69</v>
      </c>
      <c r="M150" s="45"/>
      <c r="N150" s="55" t="s">
        <v>17</v>
      </c>
      <c r="O150" s="49" t="s">
        <v>18</v>
      </c>
      <c r="P150" s="49" t="s">
        <v>19</v>
      </c>
      <c r="Q150" s="45"/>
      <c r="R150" s="51"/>
      <c r="S150" s="54" t="s">
        <v>16</v>
      </c>
      <c r="T150" s="49">
        <f>MIN(T139:T148)</f>
        <v>93.4</v>
      </c>
      <c r="U150" s="45"/>
      <c r="V150" s="55" t="s">
        <v>17</v>
      </c>
      <c r="W150" s="49" t="s">
        <v>18</v>
      </c>
      <c r="X150" s="49" t="s">
        <v>19</v>
      </c>
      <c r="Y150" s="45"/>
      <c r="Z150" s="51"/>
      <c r="AA150" s="54" t="s">
        <v>16</v>
      </c>
      <c r="AB150" s="49">
        <f>MIN(AB139:AB148)</f>
        <v>91.12</v>
      </c>
      <c r="AC150" s="45"/>
      <c r="AD150" s="55" t="s">
        <v>17</v>
      </c>
      <c r="AE150" s="49" t="s">
        <v>18</v>
      </c>
      <c r="AF150" s="49" t="s">
        <v>19</v>
      </c>
      <c r="AG150" s="45"/>
      <c r="AH150" s="51"/>
      <c r="AI150" s="54" t="s">
        <v>16</v>
      </c>
      <c r="AJ150" s="49">
        <f>MIN(AJ139:AJ148)</f>
        <v>91.04</v>
      </c>
      <c r="AK150" s="45"/>
      <c r="AL150" s="55" t="s">
        <v>17</v>
      </c>
      <c r="AM150" s="49" t="s">
        <v>18</v>
      </c>
      <c r="AN150" s="49" t="s">
        <v>19</v>
      </c>
      <c r="AO150" s="45"/>
      <c r="AP150" s="51"/>
    </row>
    <row r="151" spans="1:42" ht="21" customHeight="1" thickTop="1" thickBot="1" x14ac:dyDescent="0.35">
      <c r="A151" s="63"/>
      <c r="B151" s="78"/>
      <c r="C151" s="54" t="s">
        <v>20</v>
      </c>
      <c r="D151" s="48">
        <f>AVERAGE(D139:D148)</f>
        <v>90.635000000000019</v>
      </c>
      <c r="E151" s="47"/>
      <c r="F151" s="48">
        <f>_xlfn.STDEV.S(D139:D148) / AVERAGE(D139:D148) * 100%</f>
        <v>5.2598970035975141E-3</v>
      </c>
      <c r="G151" s="48">
        <f t="array" ref="G151">MIN((D139:D148 - MIN(D139:D148,L139:L148,T139:T148,AB139:AB148,AJ139:AJ148))/MIN(D139:D148,L139:L148,T139:T148,AB139:AB148,AJ139:AJ148)*100%)</f>
        <v>0</v>
      </c>
      <c r="H151" s="48">
        <f t="array" ref="H151">AVERAGE((D139:D148 - MIN(D139:D148,L139:L148,T139:T148,AB139:AB148,AJ139:AJ148))/MIN(D139:D148,L139:L148,T139:T148,AB139:AB148,AJ139:AJ148)*100%)</f>
        <v>1.0085812994539105E-2</v>
      </c>
      <c r="I151" s="45"/>
      <c r="J151" s="51"/>
      <c r="K151" s="54" t="s">
        <v>20</v>
      </c>
      <c r="L151" s="48">
        <f>AVERAGE(L139:L148)</f>
        <v>91.23899999999999</v>
      </c>
      <c r="M151" s="47"/>
      <c r="N151" s="48">
        <f>_xlfn.STDEV.S(L139:L148) / AVERAGE(L139:L148) * 100%</f>
        <v>6.9929043536462671E-3</v>
      </c>
      <c r="O151" s="48">
        <f t="array" ref="O151">MIN((L139:L148 - MIN(D139:D148,L139:L148,T139:T148,AB139:AB148,AJ139:AJ148))/MIN(D139:D148,L139:L148,T139:T148,AB139:AB148,AJ139:AJ148)*100%)</f>
        <v>1.0698762955533037E-2</v>
      </c>
      <c r="P151" s="48">
        <f t="array" ref="P151">AVERAGE((L139:L148 - MIN(D139:D148,L139:L148,T139:T148,AB139:AB148,AJ139:AJ148))/MIN(D139:D148,L139:L148,T139:T148,AB139:AB148,AJ139:AJ148)*100%)</f>
        <v>1.6817118020728709E-2</v>
      </c>
      <c r="Q151" s="44"/>
      <c r="R151" s="51"/>
      <c r="S151" s="54" t="s">
        <v>20</v>
      </c>
      <c r="T151" s="48">
        <f>AVERAGE(T139:T148)</f>
        <v>94.075999999999993</v>
      </c>
      <c r="U151" s="47"/>
      <c r="V151" s="48">
        <f>_xlfn.STDEV.S(T139:T148) / AVERAGE(T139:T148) * 100%</f>
        <v>4.9833046325419451E-3</v>
      </c>
      <c r="W151" s="48">
        <f t="array" ref="W151">MIN((T139:T148 - MIN(D139:D148,L139:L148,T139:T148,AB139:AB148,AJ139:AJ148))/MIN(D139:D148,L139:L148,T139:T148,AB139:AB148,AJ139:AJ148)*100%)</f>
        <v>4.0900479215423904E-2</v>
      </c>
      <c r="X151" s="48">
        <f t="array" ref="X151">AVERAGE((T139:T148 - MIN(D139:D148,L139:L148,T139:T148,AB139:AB148,AJ139:AJ148))/MIN(D139:D148,L139:L148,T139:T148,AB139:AB148,AJ139:AJ148)*100%)</f>
        <v>4.8434191463278584E-2</v>
      </c>
      <c r="Y151" s="44"/>
      <c r="Z151" s="51"/>
      <c r="AA151" s="54" t="s">
        <v>20</v>
      </c>
      <c r="AB151" s="48">
        <f>AVERAGE(AB139:AB148)</f>
        <v>92.541000000000011</v>
      </c>
      <c r="AC151" s="47"/>
      <c r="AD151" s="48">
        <f>_xlfn.STDEV.S(AB139:AB148) / AVERAGE(AB139:AB148) * 100%</f>
        <v>1.2596569332577152E-2</v>
      </c>
      <c r="AE151" s="48">
        <f t="array" ref="AE151">MIN((AB139:AB148 - MIN(D139:D148,L139:L148,T139:T148,AB139:AB148,AJ139:AJ148))/MIN(D139:D148,L139:L148,T139:T148,AB139:AB148,AJ139:AJ148)*100%)</f>
        <v>1.5490917196032386E-2</v>
      </c>
      <c r="AF151" s="48">
        <f t="array" ref="AF151">AVERAGE((AB139:AB148 - MIN(D139:D148,L139:L148,T139:T148,AB139:AB148,AJ139:AJ148))/MIN(D139:D148,L139:L148,T139:T148,AB139:AB148,AJ139:AJ148)*100%)</f>
        <v>3.1327315279170709E-2</v>
      </c>
      <c r="AG151" s="44"/>
      <c r="AH151" s="51"/>
      <c r="AI151" s="54" t="s">
        <v>20</v>
      </c>
      <c r="AJ151" s="48">
        <f>AVERAGE(AJ139:AJ148)</f>
        <v>91.944000000000003</v>
      </c>
      <c r="AK151" s="47"/>
      <c r="AL151" s="48">
        <f>_xlfn.STDEV.S(AJ139:AJ148) / AVERAGE(AJ139:AJ148) * 100%</f>
        <v>6.4552805385142253E-3</v>
      </c>
      <c r="AM151" s="48">
        <f t="array" ref="AM151">MIN((AJ139:AJ148 - MIN(D139:D148,L139:L148,T139:T148,AB139:AB148,AJ139:AJ148))/MIN(D139:D148,L139:L148,T139:T148,AB139:AB148,AJ139:AJ148)*100%)</f>
        <v>1.4599353616404635E-2</v>
      </c>
      <c r="AN151" s="48">
        <f t="array" ref="AN151">AVERAGE((AJ139:AJ148 - MIN(D139:D148,L139:L148,T139:T148,AB139:AB148,AJ139:AJ148))/MIN(D139:D148,L139:L148,T139:T148,AB139:AB148,AJ139:AJ148)*100%)</f>
        <v>2.4674022066198471E-2</v>
      </c>
      <c r="AO151" s="44"/>
      <c r="AP151" s="51"/>
    </row>
    <row r="152" spans="1:42" ht="21" customHeight="1" thickTop="1" thickBot="1" x14ac:dyDescent="0.35">
      <c r="A152" s="63"/>
      <c r="B152" s="79"/>
      <c r="C152" s="53"/>
      <c r="D152" s="44"/>
      <c r="E152" s="44"/>
      <c r="F152" s="44"/>
      <c r="G152" s="44"/>
      <c r="H152" s="44"/>
      <c r="I152" s="44"/>
      <c r="J152" s="51"/>
      <c r="K152" s="53"/>
      <c r="L152" s="44"/>
      <c r="M152" s="44"/>
      <c r="N152" s="44"/>
      <c r="O152" s="44"/>
      <c r="P152" s="44"/>
      <c r="Q152" s="44"/>
      <c r="R152" s="51"/>
      <c r="S152" s="53"/>
      <c r="T152" s="44"/>
      <c r="U152" s="44"/>
      <c r="V152" s="44"/>
      <c r="W152" s="44"/>
      <c r="X152" s="44"/>
      <c r="Y152" s="44"/>
      <c r="Z152" s="51"/>
      <c r="AA152" s="53"/>
      <c r="AB152" s="44"/>
      <c r="AC152" s="44"/>
      <c r="AD152" s="44"/>
      <c r="AE152" s="44"/>
      <c r="AF152" s="44"/>
      <c r="AG152" s="44"/>
      <c r="AH152" s="51"/>
      <c r="AI152" s="53"/>
      <c r="AJ152" s="44"/>
      <c r="AK152" s="44"/>
      <c r="AL152" s="44"/>
      <c r="AM152" s="44"/>
      <c r="AN152" s="44"/>
      <c r="AO152" s="44"/>
      <c r="AP152" s="51"/>
    </row>
    <row r="153" spans="1:42" ht="21" customHeight="1" thickTop="1" thickBot="1" x14ac:dyDescent="0.35">
      <c r="A153" s="63"/>
      <c r="B153" s="77" t="s">
        <v>37</v>
      </c>
      <c r="C153" s="59" t="s">
        <v>8</v>
      </c>
      <c r="D153" s="46" t="s">
        <v>9</v>
      </c>
      <c r="E153" s="46" t="s">
        <v>10</v>
      </c>
      <c r="F153" s="46" t="s">
        <v>11</v>
      </c>
      <c r="G153" s="46" t="s">
        <v>12</v>
      </c>
      <c r="H153" s="46" t="s">
        <v>13</v>
      </c>
      <c r="I153" s="46" t="s">
        <v>14</v>
      </c>
      <c r="J153" s="60" t="s">
        <v>15</v>
      </c>
      <c r="K153" s="59" t="s">
        <v>8</v>
      </c>
      <c r="L153" s="46" t="s">
        <v>9</v>
      </c>
      <c r="M153" s="46" t="s">
        <v>10</v>
      </c>
      <c r="N153" s="46" t="s">
        <v>11</v>
      </c>
      <c r="O153" s="46" t="s">
        <v>12</v>
      </c>
      <c r="P153" s="46" t="s">
        <v>13</v>
      </c>
      <c r="Q153" s="46" t="s">
        <v>14</v>
      </c>
      <c r="R153" s="60" t="s">
        <v>15</v>
      </c>
      <c r="S153" s="59" t="s">
        <v>8</v>
      </c>
      <c r="T153" s="46" t="s">
        <v>9</v>
      </c>
      <c r="U153" s="46" t="s">
        <v>10</v>
      </c>
      <c r="V153" s="46" t="s">
        <v>11</v>
      </c>
      <c r="W153" s="46" t="s">
        <v>12</v>
      </c>
      <c r="X153" s="46" t="s">
        <v>13</v>
      </c>
      <c r="Y153" s="46" t="s">
        <v>14</v>
      </c>
      <c r="Z153" s="60" t="s">
        <v>15</v>
      </c>
      <c r="AA153" s="59" t="s">
        <v>8</v>
      </c>
      <c r="AB153" s="46" t="s">
        <v>9</v>
      </c>
      <c r="AC153" s="46" t="s">
        <v>10</v>
      </c>
      <c r="AD153" s="46" t="s">
        <v>11</v>
      </c>
      <c r="AE153" s="46" t="s">
        <v>12</v>
      </c>
      <c r="AF153" s="46" t="s">
        <v>13</v>
      </c>
      <c r="AG153" s="46" t="s">
        <v>14</v>
      </c>
      <c r="AH153" s="60" t="s">
        <v>15</v>
      </c>
      <c r="AI153" s="59" t="s">
        <v>8</v>
      </c>
      <c r="AJ153" s="46" t="s">
        <v>9</v>
      </c>
      <c r="AK153" s="46" t="s">
        <v>10</v>
      </c>
      <c r="AL153" s="46" t="s">
        <v>11</v>
      </c>
      <c r="AM153" s="46" t="s">
        <v>12</v>
      </c>
      <c r="AN153" s="46" t="s">
        <v>13</v>
      </c>
      <c r="AO153" s="46" t="s">
        <v>14</v>
      </c>
      <c r="AP153" s="60" t="s">
        <v>15</v>
      </c>
    </row>
    <row r="154" spans="1:42" ht="21" customHeight="1" thickTop="1" thickBot="1" x14ac:dyDescent="0.35">
      <c r="A154" s="63"/>
      <c r="B154" s="78"/>
      <c r="C154" s="52">
        <v>1</v>
      </c>
      <c r="D154" s="44">
        <v>88.01</v>
      </c>
      <c r="E154" s="44"/>
      <c r="F154" s="44"/>
      <c r="G154" s="44"/>
      <c r="H154" s="44"/>
      <c r="I154" s="44"/>
      <c r="J154" s="51"/>
      <c r="K154" s="52">
        <v>1</v>
      </c>
      <c r="L154" s="44">
        <v>88.7</v>
      </c>
      <c r="M154" s="44"/>
      <c r="N154" s="44"/>
      <c r="O154" s="44"/>
      <c r="P154" s="44"/>
      <c r="Q154" s="44"/>
      <c r="R154" s="51"/>
      <c r="S154" s="52">
        <v>1</v>
      </c>
      <c r="T154" s="44">
        <v>89.26</v>
      </c>
      <c r="U154" s="44"/>
      <c r="V154" s="44"/>
      <c r="W154" s="44"/>
      <c r="X154" s="44"/>
      <c r="Y154" s="44"/>
      <c r="Z154" s="51"/>
      <c r="AA154" s="52">
        <v>1</v>
      </c>
      <c r="AB154" s="44">
        <v>89.65</v>
      </c>
      <c r="AC154" s="44"/>
      <c r="AD154" s="44"/>
      <c r="AE154" s="44"/>
      <c r="AF154" s="44"/>
      <c r="AG154" s="44"/>
      <c r="AH154" s="51"/>
      <c r="AI154" s="52">
        <v>1</v>
      </c>
      <c r="AJ154" s="44">
        <v>89.2</v>
      </c>
      <c r="AK154" s="44"/>
      <c r="AL154" s="44"/>
      <c r="AM154" s="44"/>
      <c r="AN154" s="44"/>
      <c r="AO154" s="44"/>
      <c r="AP154" s="51"/>
    </row>
    <row r="155" spans="1:42" ht="21" customHeight="1" thickTop="1" thickBot="1" x14ac:dyDescent="0.35">
      <c r="A155" s="63"/>
      <c r="B155" s="78"/>
      <c r="C155" s="53">
        <v>2</v>
      </c>
      <c r="D155" s="45">
        <v>88.89</v>
      </c>
      <c r="E155" s="45"/>
      <c r="F155" s="45"/>
      <c r="G155" s="45"/>
      <c r="H155" s="45"/>
      <c r="I155" s="45"/>
      <c r="J155" s="51"/>
      <c r="K155" s="53">
        <v>2</v>
      </c>
      <c r="L155" s="45">
        <v>88.7</v>
      </c>
      <c r="M155" s="45"/>
      <c r="N155" s="45"/>
      <c r="O155" s="45"/>
      <c r="P155" s="45"/>
      <c r="Q155" s="45"/>
      <c r="R155" s="51"/>
      <c r="S155" s="53">
        <v>2</v>
      </c>
      <c r="T155" s="45">
        <v>90.7</v>
      </c>
      <c r="U155" s="45"/>
      <c r="V155" s="45"/>
      <c r="W155" s="45"/>
      <c r="X155" s="45"/>
      <c r="Y155" s="45"/>
      <c r="Z155" s="51"/>
      <c r="AA155" s="53">
        <v>2</v>
      </c>
      <c r="AB155" s="45">
        <v>90.490000000000009</v>
      </c>
      <c r="AC155" s="45"/>
      <c r="AD155" s="45"/>
      <c r="AE155" s="45"/>
      <c r="AF155" s="45"/>
      <c r="AG155" s="45"/>
      <c r="AH155" s="51"/>
      <c r="AI155" s="53">
        <v>2</v>
      </c>
      <c r="AJ155" s="45">
        <v>89.870000000000019</v>
      </c>
      <c r="AK155" s="45"/>
      <c r="AL155" s="45"/>
      <c r="AM155" s="45"/>
      <c r="AN155" s="45"/>
      <c r="AO155" s="45"/>
      <c r="AP155" s="51"/>
    </row>
    <row r="156" spans="1:42" ht="21" customHeight="1" thickTop="1" thickBot="1" x14ac:dyDescent="0.35">
      <c r="A156" s="63"/>
      <c r="B156" s="78"/>
      <c r="C156" s="53">
        <v>3</v>
      </c>
      <c r="D156" s="45">
        <v>86.92</v>
      </c>
      <c r="E156" s="45"/>
      <c r="F156" s="45"/>
      <c r="G156" s="44"/>
      <c r="H156" s="44"/>
      <c r="I156" s="44"/>
      <c r="J156" s="51"/>
      <c r="K156" s="53">
        <v>3</v>
      </c>
      <c r="L156" s="45">
        <v>88.01</v>
      </c>
      <c r="M156" s="45"/>
      <c r="N156" s="45"/>
      <c r="O156" s="44"/>
      <c r="P156" s="44"/>
      <c r="Q156" s="44"/>
      <c r="R156" s="51"/>
      <c r="S156" s="53">
        <v>3</v>
      </c>
      <c r="T156" s="45">
        <v>90.220000000000013</v>
      </c>
      <c r="U156" s="45"/>
      <c r="V156" s="45"/>
      <c r="W156" s="44"/>
      <c r="X156" s="44"/>
      <c r="Y156" s="44"/>
      <c r="Z156" s="51"/>
      <c r="AA156" s="53">
        <v>3</v>
      </c>
      <c r="AB156" s="45">
        <v>88.700000000000017</v>
      </c>
      <c r="AC156" s="45"/>
      <c r="AD156" s="45"/>
      <c r="AE156" s="44"/>
      <c r="AF156" s="44"/>
      <c r="AG156" s="44"/>
      <c r="AH156" s="51"/>
      <c r="AI156" s="53">
        <v>3</v>
      </c>
      <c r="AJ156" s="45">
        <v>91.08</v>
      </c>
      <c r="AK156" s="45"/>
      <c r="AL156" s="45"/>
      <c r="AM156" s="44"/>
      <c r="AN156" s="44"/>
      <c r="AO156" s="44"/>
      <c r="AP156" s="51"/>
    </row>
    <row r="157" spans="1:42" ht="21" customHeight="1" thickTop="1" thickBot="1" x14ac:dyDescent="0.35">
      <c r="A157" s="63"/>
      <c r="B157" s="78"/>
      <c r="C157" s="53">
        <v>4</v>
      </c>
      <c r="D157" s="45">
        <v>87.09</v>
      </c>
      <c r="E157" s="45"/>
      <c r="F157" s="45"/>
      <c r="G157" s="45"/>
      <c r="H157" s="45"/>
      <c r="I157" s="45"/>
      <c r="J157" s="51"/>
      <c r="K157" s="53">
        <v>4</v>
      </c>
      <c r="L157" s="45">
        <v>90.76</v>
      </c>
      <c r="M157" s="45"/>
      <c r="N157" s="45"/>
      <c r="O157" s="45"/>
      <c r="P157" s="45"/>
      <c r="Q157" s="45"/>
      <c r="R157" s="51"/>
      <c r="S157" s="53">
        <v>4</v>
      </c>
      <c r="T157" s="45">
        <v>89.65</v>
      </c>
      <c r="U157" s="45"/>
      <c r="V157" s="45"/>
      <c r="W157" s="45"/>
      <c r="X157" s="45"/>
      <c r="Y157" s="45"/>
      <c r="Z157" s="51"/>
      <c r="AA157" s="53">
        <v>4</v>
      </c>
      <c r="AB157" s="45">
        <v>90.88000000000001</v>
      </c>
      <c r="AC157" s="45"/>
      <c r="AD157" s="45"/>
      <c r="AE157" s="45"/>
      <c r="AF157" s="45"/>
      <c r="AG157" s="45"/>
      <c r="AH157" s="51"/>
      <c r="AI157" s="53">
        <v>4</v>
      </c>
      <c r="AJ157" s="45">
        <v>90.92</v>
      </c>
      <c r="AK157" s="45"/>
      <c r="AL157" s="45"/>
      <c r="AM157" s="45"/>
      <c r="AN157" s="45"/>
      <c r="AO157" s="45"/>
      <c r="AP157" s="51"/>
    </row>
    <row r="158" spans="1:42" ht="21" customHeight="1" thickTop="1" thickBot="1" x14ac:dyDescent="0.35">
      <c r="A158" s="63"/>
      <c r="B158" s="78"/>
      <c r="C158" s="53">
        <v>5</v>
      </c>
      <c r="D158" s="45">
        <v>87.78</v>
      </c>
      <c r="E158" s="45"/>
      <c r="F158" s="45"/>
      <c r="G158" s="45"/>
      <c r="H158" s="45"/>
      <c r="I158" s="45"/>
      <c r="J158" s="51"/>
      <c r="K158" s="53">
        <v>5</v>
      </c>
      <c r="L158" s="45">
        <v>87.9</v>
      </c>
      <c r="M158" s="45"/>
      <c r="N158" s="45"/>
      <c r="O158" s="45"/>
      <c r="P158" s="45"/>
      <c r="Q158" s="45"/>
      <c r="R158" s="51"/>
      <c r="S158" s="53">
        <v>5</v>
      </c>
      <c r="T158" s="45">
        <v>91.120000000000019</v>
      </c>
      <c r="U158" s="45"/>
      <c r="V158" s="45"/>
      <c r="W158" s="45"/>
      <c r="X158" s="45"/>
      <c r="Y158" s="45"/>
      <c r="Z158" s="51"/>
      <c r="AA158" s="53">
        <v>5</v>
      </c>
      <c r="AB158" s="45">
        <v>89.04</v>
      </c>
      <c r="AC158" s="45"/>
      <c r="AD158" s="45"/>
      <c r="AE158" s="45"/>
      <c r="AF158" s="45"/>
      <c r="AG158" s="45"/>
      <c r="AH158" s="51"/>
      <c r="AI158" s="53">
        <v>5</v>
      </c>
      <c r="AJ158" s="45">
        <v>89.7</v>
      </c>
      <c r="AK158" s="45"/>
      <c r="AL158" s="45"/>
      <c r="AM158" s="45"/>
      <c r="AN158" s="45"/>
      <c r="AO158" s="45"/>
      <c r="AP158" s="51"/>
    </row>
    <row r="159" spans="1:42" ht="21" customHeight="1" thickTop="1" thickBot="1" x14ac:dyDescent="0.35">
      <c r="A159" s="63"/>
      <c r="B159" s="78"/>
      <c r="C159" s="53">
        <v>6</v>
      </c>
      <c r="D159" s="45">
        <v>87.250000000000014</v>
      </c>
      <c r="E159" s="45"/>
      <c r="F159" s="45"/>
      <c r="G159" s="45"/>
      <c r="H159" s="45"/>
      <c r="I159" s="45"/>
      <c r="J159" s="51"/>
      <c r="K159" s="53">
        <v>6</v>
      </c>
      <c r="L159" s="45">
        <v>88.7</v>
      </c>
      <c r="M159" s="45"/>
      <c r="N159" s="45"/>
      <c r="O159" s="45"/>
      <c r="P159" s="45"/>
      <c r="Q159" s="45"/>
      <c r="R159" s="51"/>
      <c r="S159" s="53">
        <v>6</v>
      </c>
      <c r="T159" s="45">
        <v>90.98</v>
      </c>
      <c r="U159" s="45"/>
      <c r="V159" s="45"/>
      <c r="W159" s="45"/>
      <c r="X159" s="45"/>
      <c r="Y159" s="45"/>
      <c r="Z159" s="51"/>
      <c r="AA159" s="53">
        <v>6</v>
      </c>
      <c r="AB159" s="45">
        <v>89.76</v>
      </c>
      <c r="AC159" s="45"/>
      <c r="AD159" s="45"/>
      <c r="AE159" s="45"/>
      <c r="AF159" s="45"/>
      <c r="AG159" s="45"/>
      <c r="AH159" s="51"/>
      <c r="AI159" s="53">
        <v>6</v>
      </c>
      <c r="AJ159" s="45">
        <v>90.320000000000007</v>
      </c>
      <c r="AK159" s="45"/>
      <c r="AL159" s="45"/>
      <c r="AM159" s="45"/>
      <c r="AN159" s="45"/>
      <c r="AO159" s="45"/>
      <c r="AP159" s="51"/>
    </row>
    <row r="160" spans="1:42" ht="21" customHeight="1" thickTop="1" thickBot="1" x14ac:dyDescent="0.35">
      <c r="A160" s="63"/>
      <c r="B160" s="78"/>
      <c r="C160" s="53">
        <v>7</v>
      </c>
      <c r="D160" s="45">
        <v>87.78</v>
      </c>
      <c r="E160" s="45"/>
      <c r="F160" s="45"/>
      <c r="G160" s="45"/>
      <c r="H160" s="45"/>
      <c r="I160" s="45"/>
      <c r="J160" s="51"/>
      <c r="K160" s="53">
        <v>7</v>
      </c>
      <c r="L160" s="45">
        <v>88.3</v>
      </c>
      <c r="M160" s="45"/>
      <c r="N160" s="45"/>
      <c r="O160" s="45"/>
      <c r="P160" s="45"/>
      <c r="Q160" s="45"/>
      <c r="R160" s="51"/>
      <c r="S160" s="53">
        <v>7</v>
      </c>
      <c r="T160" s="45">
        <v>92.070000000000007</v>
      </c>
      <c r="U160" s="45"/>
      <c r="V160" s="45"/>
      <c r="W160" s="45"/>
      <c r="X160" s="45"/>
      <c r="Y160" s="45"/>
      <c r="Z160" s="51"/>
      <c r="AA160" s="53">
        <v>7</v>
      </c>
      <c r="AB160" s="45">
        <v>89.260000000000019</v>
      </c>
      <c r="AC160" s="45"/>
      <c r="AD160" s="45"/>
      <c r="AE160" s="45"/>
      <c r="AF160" s="45"/>
      <c r="AG160" s="45"/>
      <c r="AH160" s="51"/>
      <c r="AI160" s="53">
        <v>7</v>
      </c>
      <c r="AJ160" s="45">
        <v>89.649999999999991</v>
      </c>
      <c r="AK160" s="45"/>
      <c r="AL160" s="45"/>
      <c r="AM160" s="45"/>
      <c r="AN160" s="45"/>
      <c r="AO160" s="45"/>
      <c r="AP160" s="51"/>
    </row>
    <row r="161" spans="1:42" ht="21" customHeight="1" thickTop="1" thickBot="1" x14ac:dyDescent="0.35">
      <c r="A161" s="63"/>
      <c r="B161" s="78"/>
      <c r="C161" s="53">
        <v>8</v>
      </c>
      <c r="D161" s="45">
        <v>87.87</v>
      </c>
      <c r="E161" s="45"/>
      <c r="F161" s="45"/>
      <c r="G161" s="45"/>
      <c r="H161" s="45"/>
      <c r="I161" s="45"/>
      <c r="J161" s="51"/>
      <c r="K161" s="53">
        <v>8</v>
      </c>
      <c r="L161" s="45">
        <v>89.870000000000019</v>
      </c>
      <c r="M161" s="45"/>
      <c r="N161" s="45"/>
      <c r="O161" s="45"/>
      <c r="P161" s="45"/>
      <c r="Q161" s="45"/>
      <c r="R161" s="51"/>
      <c r="S161" s="53">
        <v>8</v>
      </c>
      <c r="T161" s="45">
        <v>91.92</v>
      </c>
      <c r="U161" s="45"/>
      <c r="V161" s="45"/>
      <c r="W161" s="45"/>
      <c r="X161" s="45"/>
      <c r="Y161" s="45"/>
      <c r="Z161" s="51"/>
      <c r="AA161" s="53">
        <v>8</v>
      </c>
      <c r="AB161" s="45">
        <v>91.12</v>
      </c>
      <c r="AC161" s="45"/>
      <c r="AD161" s="45"/>
      <c r="AE161" s="45"/>
      <c r="AF161" s="45"/>
      <c r="AG161" s="45"/>
      <c r="AH161" s="51"/>
      <c r="AI161" s="53">
        <v>8</v>
      </c>
      <c r="AJ161" s="45">
        <v>89.850000000000009</v>
      </c>
      <c r="AK161" s="45"/>
      <c r="AL161" s="45"/>
      <c r="AM161" s="45"/>
      <c r="AN161" s="45"/>
      <c r="AO161" s="45"/>
      <c r="AP161" s="51"/>
    </row>
    <row r="162" spans="1:42" ht="21" customHeight="1" thickTop="1" thickBot="1" x14ac:dyDescent="0.35">
      <c r="A162" s="63"/>
      <c r="B162" s="78"/>
      <c r="C162" s="53">
        <v>9</v>
      </c>
      <c r="D162" s="45">
        <v>88.84</v>
      </c>
      <c r="E162" s="45"/>
      <c r="F162" s="45"/>
      <c r="G162" s="45"/>
      <c r="H162" s="45"/>
      <c r="I162" s="45"/>
      <c r="J162" s="51"/>
      <c r="K162" s="53">
        <v>9</v>
      </c>
      <c r="L162" s="45">
        <v>88.7</v>
      </c>
      <c r="M162" s="45"/>
      <c r="N162" s="45"/>
      <c r="O162" s="45"/>
      <c r="P162" s="45"/>
      <c r="Q162" s="45"/>
      <c r="R162" s="51"/>
      <c r="S162" s="53">
        <v>9</v>
      </c>
      <c r="T162" s="45">
        <v>91.53</v>
      </c>
      <c r="U162" s="45"/>
      <c r="V162" s="45"/>
      <c r="W162" s="45"/>
      <c r="X162" s="45"/>
      <c r="Y162" s="45"/>
      <c r="Z162" s="51"/>
      <c r="AA162" s="53">
        <v>9</v>
      </c>
      <c r="AB162" s="45">
        <v>90.440000000000012</v>
      </c>
      <c r="AC162" s="45"/>
      <c r="AD162" s="45"/>
      <c r="AE162" s="45"/>
      <c r="AF162" s="45"/>
      <c r="AG162" s="45"/>
      <c r="AH162" s="51"/>
      <c r="AI162" s="53">
        <v>9</v>
      </c>
      <c r="AJ162" s="45">
        <v>89.820000000000007</v>
      </c>
      <c r="AK162" s="45"/>
      <c r="AL162" s="45"/>
      <c r="AM162" s="45"/>
      <c r="AN162" s="45"/>
      <c r="AO162" s="45"/>
      <c r="AP162" s="51"/>
    </row>
    <row r="163" spans="1:42" ht="21" customHeight="1" thickTop="1" thickBot="1" x14ac:dyDescent="0.35">
      <c r="A163" s="63"/>
      <c r="B163" s="78"/>
      <c r="C163" s="53">
        <v>10</v>
      </c>
      <c r="D163" s="45">
        <v>88.65</v>
      </c>
      <c r="E163" s="45"/>
      <c r="F163" s="45"/>
      <c r="G163" s="45"/>
      <c r="H163" s="45"/>
      <c r="I163" s="45"/>
      <c r="J163" s="51"/>
      <c r="K163" s="53">
        <v>10</v>
      </c>
      <c r="L163" s="45">
        <v>89.11</v>
      </c>
      <c r="M163" s="45"/>
      <c r="N163" s="45"/>
      <c r="O163" s="45"/>
      <c r="P163" s="45"/>
      <c r="Q163" s="45"/>
      <c r="R163" s="51"/>
      <c r="S163" s="53">
        <v>10</v>
      </c>
      <c r="T163" s="45">
        <v>92.29</v>
      </c>
      <c r="U163" s="45"/>
      <c r="V163" s="45"/>
      <c r="W163" s="45"/>
      <c r="X163" s="45"/>
      <c r="Y163" s="45"/>
      <c r="Z163" s="51"/>
      <c r="AA163" s="53">
        <v>10</v>
      </c>
      <c r="AB163" s="45">
        <v>90.98</v>
      </c>
      <c r="AC163" s="45"/>
      <c r="AD163" s="45"/>
      <c r="AE163" s="45"/>
      <c r="AF163" s="45"/>
      <c r="AG163" s="45"/>
      <c r="AH163" s="51"/>
      <c r="AI163" s="53">
        <v>10</v>
      </c>
      <c r="AJ163" s="45">
        <v>89.850000000000009</v>
      </c>
      <c r="AK163" s="45"/>
      <c r="AL163" s="45"/>
      <c r="AM163" s="45"/>
      <c r="AN163" s="45"/>
      <c r="AO163" s="45"/>
      <c r="AP163" s="51"/>
    </row>
    <row r="164" spans="1:42" ht="21" customHeight="1" thickTop="1" thickBot="1" x14ac:dyDescent="0.35">
      <c r="A164" s="63"/>
      <c r="B164" s="78"/>
      <c r="C164" s="53"/>
      <c r="D164" s="45"/>
      <c r="E164" s="45"/>
      <c r="F164" s="45"/>
      <c r="G164" s="45"/>
      <c r="H164" s="45"/>
      <c r="I164" s="45"/>
      <c r="J164" s="51"/>
      <c r="K164" s="53"/>
      <c r="L164" s="45"/>
      <c r="M164" s="45"/>
      <c r="N164" s="45"/>
      <c r="O164" s="45"/>
      <c r="P164" s="45"/>
      <c r="Q164" s="45"/>
      <c r="R164" s="51"/>
      <c r="S164" s="53"/>
      <c r="T164" s="45"/>
      <c r="U164" s="45"/>
      <c r="V164" s="45"/>
      <c r="W164" s="45"/>
      <c r="X164" s="45"/>
      <c r="Y164" s="45"/>
      <c r="Z164" s="51"/>
      <c r="AA164" s="53"/>
      <c r="AB164" s="45"/>
      <c r="AC164" s="45"/>
      <c r="AD164" s="45"/>
      <c r="AE164" s="45"/>
      <c r="AF164" s="45"/>
      <c r="AG164" s="45"/>
      <c r="AH164" s="51"/>
      <c r="AI164" s="53"/>
      <c r="AJ164" s="45"/>
      <c r="AK164" s="45"/>
      <c r="AL164" s="45"/>
      <c r="AM164" s="45"/>
      <c r="AN164" s="45"/>
      <c r="AO164" s="45"/>
      <c r="AP164" s="51"/>
    </row>
    <row r="165" spans="1:42" ht="41" customHeight="1" thickTop="1" thickBot="1" x14ac:dyDescent="0.35">
      <c r="A165" s="63"/>
      <c r="B165" s="78"/>
      <c r="C165" s="54" t="s">
        <v>16</v>
      </c>
      <c r="D165" s="49">
        <f>MIN(D154:D163)</f>
        <v>86.92</v>
      </c>
      <c r="E165" s="45"/>
      <c r="F165" s="55" t="s">
        <v>17</v>
      </c>
      <c r="G165" s="49" t="s">
        <v>18</v>
      </c>
      <c r="H165" s="49" t="s">
        <v>19</v>
      </c>
      <c r="I165" s="45"/>
      <c r="J165" s="51"/>
      <c r="K165" s="54" t="s">
        <v>16</v>
      </c>
      <c r="L165" s="49">
        <f>MIN(L154:L163)</f>
        <v>87.9</v>
      </c>
      <c r="M165" s="45"/>
      <c r="N165" s="55" t="s">
        <v>17</v>
      </c>
      <c r="O165" s="49" t="s">
        <v>18</v>
      </c>
      <c r="P165" s="49" t="s">
        <v>19</v>
      </c>
      <c r="Q165" s="45"/>
      <c r="R165" s="51"/>
      <c r="S165" s="54" t="s">
        <v>16</v>
      </c>
      <c r="T165" s="49">
        <f>MIN(T154:T163)</f>
        <v>89.26</v>
      </c>
      <c r="U165" s="45"/>
      <c r="V165" s="55" t="s">
        <v>17</v>
      </c>
      <c r="W165" s="49" t="s">
        <v>18</v>
      </c>
      <c r="X165" s="49" t="s">
        <v>19</v>
      </c>
      <c r="Y165" s="45"/>
      <c r="Z165" s="51"/>
      <c r="AA165" s="54" t="s">
        <v>16</v>
      </c>
      <c r="AB165" s="49">
        <f>MIN(AB154:AB163)</f>
        <v>88.700000000000017</v>
      </c>
      <c r="AC165" s="45"/>
      <c r="AD165" s="55" t="s">
        <v>17</v>
      </c>
      <c r="AE165" s="49" t="s">
        <v>18</v>
      </c>
      <c r="AF165" s="49" t="s">
        <v>19</v>
      </c>
      <c r="AG165" s="45"/>
      <c r="AH165" s="51"/>
      <c r="AI165" s="54" t="s">
        <v>16</v>
      </c>
      <c r="AJ165" s="49">
        <f>MIN(AJ154:AJ163)</f>
        <v>89.2</v>
      </c>
      <c r="AK165" s="45"/>
      <c r="AL165" s="55" t="s">
        <v>17</v>
      </c>
      <c r="AM165" s="49" t="s">
        <v>18</v>
      </c>
      <c r="AN165" s="49" t="s">
        <v>19</v>
      </c>
      <c r="AO165" s="45"/>
      <c r="AP165" s="51"/>
    </row>
    <row r="166" spans="1:42" ht="21" customHeight="1" thickTop="1" thickBot="1" x14ac:dyDescent="0.35">
      <c r="A166" s="63"/>
      <c r="B166" s="78"/>
      <c r="C166" s="54" t="s">
        <v>20</v>
      </c>
      <c r="D166" s="48">
        <f>AVERAGE(D154:D163)</f>
        <v>87.907999999999987</v>
      </c>
      <c r="E166" s="47"/>
      <c r="F166" s="48">
        <f>_xlfn.STDEV.S(D154:D163) / AVERAGE(D154:D163) * 100%</f>
        <v>8.0493958860005394E-3</v>
      </c>
      <c r="G166" s="48">
        <f t="array" ref="G166">MIN((D154:D163 - MIN(D154:D163,L154:L163,T154:T163,AB154:AB163,AJ154:AJ163))/MIN(D154:D163,L154:L163,T154:T163,AB154:AB163,AJ154:AJ163)*100%)</f>
        <v>0</v>
      </c>
      <c r="H166" s="48">
        <f t="array" ref="H166">AVERAGE((D154:D163 - MIN(D154:D163,L154:L163,T154:T163,AB154:AB163,AJ154:AJ163))/MIN(D154:D163,L154:L163,T154:T163,AB154:AB163,AJ154:AJ163)*100%)</f>
        <v>1.1366774045098969E-2</v>
      </c>
      <c r="I166" s="45"/>
      <c r="J166" s="51"/>
      <c r="K166" s="54" t="s">
        <v>20</v>
      </c>
      <c r="L166" s="48">
        <f>AVERAGE(L154:L163)</f>
        <v>88.875000000000014</v>
      </c>
      <c r="M166" s="47"/>
      <c r="N166" s="48">
        <f>_xlfn.STDEV.S(L154:L163) / AVERAGE(L154:L163) * 100%</f>
        <v>9.7446331456179022E-3</v>
      </c>
      <c r="O166" s="48">
        <f t="array" ref="O166">MIN((L154:L163 - MIN(D154:D163,L154:L163,T154:T163,AB154:AB163,AJ154:AJ163))/MIN(D154:D163,L154:L163,T154:T163,AB154:AB163,AJ154:AJ163)*100%)</f>
        <v>1.1274735388863368E-2</v>
      </c>
      <c r="P166" s="48">
        <f t="array" ref="P166">AVERAGE((L154:L163 - MIN(D154:D163,L154:L163,T154:T163,AB154:AB163,AJ154:AJ163))/MIN(D154:D163,L154:L163,T154:T163,AB154:AB163,AJ154:AJ163)*100%)</f>
        <v>2.249194661757941E-2</v>
      </c>
      <c r="Q166" s="44"/>
      <c r="R166" s="51"/>
      <c r="S166" s="54" t="s">
        <v>20</v>
      </c>
      <c r="T166" s="48">
        <f>AVERAGE(T154:T163)</f>
        <v>90.974000000000004</v>
      </c>
      <c r="U166" s="47"/>
      <c r="V166" s="48">
        <f>_xlfn.STDEV.S(T154:T163) / AVERAGE(T154:T163) * 100%</f>
        <v>1.1289105594912148E-2</v>
      </c>
      <c r="W166" s="48">
        <f t="array" ref="W166">MIN((T154:T163 - MIN(D154:D163,L154:L163,T154:T163,AB154:AB163,AJ154:AJ163))/MIN(D154:D163,L154:L163,T154:T163,AB154:AB163,AJ154:AJ163)*100%)</f>
        <v>2.6921306948918585E-2</v>
      </c>
      <c r="X166" s="48">
        <f t="array" ref="X166">AVERAGE((T154:T163 - MIN(D154:D163,L154:L163,T154:T163,AB154:AB163,AJ154:AJ163))/MIN(D154:D163,L154:L163,T154:T163,AB154:AB163,AJ154:AJ163)*100%)</f>
        <v>4.6640589047399969E-2</v>
      </c>
      <c r="Y166" s="44"/>
      <c r="Z166" s="51"/>
      <c r="AA166" s="54" t="s">
        <v>20</v>
      </c>
      <c r="AB166" s="48">
        <f>AVERAGE(AB154:AB163)</f>
        <v>90.032000000000011</v>
      </c>
      <c r="AC166" s="47"/>
      <c r="AD166" s="48">
        <f>_xlfn.STDEV.S(AB154:AB163) / AVERAGE(AB154:AB163) * 100%</f>
        <v>9.6204808147883295E-3</v>
      </c>
      <c r="AE166" s="48">
        <f t="array" ref="AE166">MIN((AB154:AB163 - MIN(D154:D163,L154:L163,T154:T163,AB154:AB163,AJ154:AJ163))/MIN(D154:D163,L154:L163,T154:T163,AB154:AB163,AJ154:AJ163)*100%)</f>
        <v>2.0478601012425393E-2</v>
      </c>
      <c r="AF166" s="48">
        <f t="array" ref="AF166">AVERAGE((AB154:AB163 - MIN(D154:D163,L154:L163,T154:T163,AB154:AB163,AJ154:AJ163))/MIN(D154:D163,L154:L163,T154:T163,AB154:AB163,AJ154:AJ163)*100%)</f>
        <v>3.5803037275655855E-2</v>
      </c>
      <c r="AG166" s="44"/>
      <c r="AH166" s="51"/>
      <c r="AI166" s="54" t="s">
        <v>20</v>
      </c>
      <c r="AJ166" s="48">
        <f>AVERAGE(AJ154:AJ163)</f>
        <v>90.02600000000001</v>
      </c>
      <c r="AK166" s="47"/>
      <c r="AL166" s="48">
        <f>_xlfn.STDEV.S(AJ154:AJ163) / AVERAGE(AJ154:AJ163) * 100%</f>
        <v>6.4719247161732366E-3</v>
      </c>
      <c r="AM166" s="48">
        <f t="array" ref="AM166">MIN((AJ154:AJ163 - MIN(D154:D163,L154:L163,T154:T163,AB154:AB163,AJ154:AJ163))/MIN(D154:D163,L154:L163,T154:T163,AB154:AB163,AJ154:AJ163)*100%)</f>
        <v>2.6231017027151415E-2</v>
      </c>
      <c r="AN166" s="48">
        <f t="array" ref="AN166">AVERAGE((AJ154:AJ163 - MIN(D154:D163,L154:L163,T154:T163,AB154:AB163,AJ154:AJ163))/MIN(D154:D163,L154:L163,T154:T163,AB154:AB163,AJ154:AJ163)*100%)</f>
        <v>3.5734008283479099E-2</v>
      </c>
      <c r="AO166" s="44"/>
      <c r="AP166" s="51"/>
    </row>
    <row r="167" spans="1:42" ht="21" customHeight="1" thickTop="1" thickBot="1" x14ac:dyDescent="0.35">
      <c r="A167" s="63"/>
      <c r="B167" s="79"/>
      <c r="C167" s="53"/>
      <c r="D167" s="44"/>
      <c r="E167" s="44"/>
      <c r="F167" s="44"/>
      <c r="G167" s="44"/>
      <c r="H167" s="44"/>
      <c r="I167" s="44"/>
      <c r="J167" s="51"/>
      <c r="K167" s="53"/>
      <c r="L167" s="44"/>
      <c r="M167" s="44"/>
      <c r="N167" s="44"/>
      <c r="O167" s="44"/>
      <c r="P167" s="44"/>
      <c r="Q167" s="44"/>
      <c r="R167" s="51"/>
      <c r="S167" s="53"/>
      <c r="T167" s="44"/>
      <c r="U167" s="44"/>
      <c r="V167" s="44"/>
      <c r="W167" s="44"/>
      <c r="X167" s="44"/>
      <c r="Y167" s="44"/>
      <c r="Z167" s="51"/>
      <c r="AA167" s="53"/>
      <c r="AB167" s="44"/>
      <c r="AC167" s="44"/>
      <c r="AD167" s="44"/>
      <c r="AE167" s="44"/>
      <c r="AF167" s="44"/>
      <c r="AG167" s="44"/>
      <c r="AH167" s="51"/>
      <c r="AI167" s="53"/>
      <c r="AJ167" s="44"/>
      <c r="AK167" s="44"/>
      <c r="AL167" s="44"/>
      <c r="AM167" s="44"/>
      <c r="AN167" s="44"/>
      <c r="AO167" s="44"/>
      <c r="AP167" s="51"/>
    </row>
    <row r="168" spans="1:42" ht="21" customHeight="1" thickTop="1" thickBot="1" x14ac:dyDescent="0.35">
      <c r="A168" s="63"/>
      <c r="B168" s="77" t="s">
        <v>38</v>
      </c>
      <c r="C168" s="59" t="s">
        <v>8</v>
      </c>
      <c r="D168" s="46" t="s">
        <v>9</v>
      </c>
      <c r="E168" s="46" t="s">
        <v>10</v>
      </c>
      <c r="F168" s="46" t="s">
        <v>11</v>
      </c>
      <c r="G168" s="46" t="s">
        <v>12</v>
      </c>
      <c r="H168" s="46" t="s">
        <v>13</v>
      </c>
      <c r="I168" s="46" t="s">
        <v>14</v>
      </c>
      <c r="J168" s="60" t="s">
        <v>15</v>
      </c>
      <c r="K168" s="59" t="s">
        <v>8</v>
      </c>
      <c r="L168" s="46" t="s">
        <v>9</v>
      </c>
      <c r="M168" s="46" t="s">
        <v>10</v>
      </c>
      <c r="N168" s="46" t="s">
        <v>11</v>
      </c>
      <c r="O168" s="46" t="s">
        <v>12</v>
      </c>
      <c r="P168" s="46" t="s">
        <v>13</v>
      </c>
      <c r="Q168" s="46" t="s">
        <v>14</v>
      </c>
      <c r="R168" s="60" t="s">
        <v>15</v>
      </c>
      <c r="S168" s="59" t="s">
        <v>8</v>
      </c>
      <c r="T168" s="46" t="s">
        <v>9</v>
      </c>
      <c r="U168" s="46" t="s">
        <v>10</v>
      </c>
      <c r="V168" s="46" t="s">
        <v>11</v>
      </c>
      <c r="W168" s="46" t="s">
        <v>12</v>
      </c>
      <c r="X168" s="46" t="s">
        <v>13</v>
      </c>
      <c r="Y168" s="46" t="s">
        <v>14</v>
      </c>
      <c r="Z168" s="60" t="s">
        <v>15</v>
      </c>
      <c r="AA168" s="59" t="s">
        <v>8</v>
      </c>
      <c r="AB168" s="46" t="s">
        <v>9</v>
      </c>
      <c r="AC168" s="46" t="s">
        <v>10</v>
      </c>
      <c r="AD168" s="46" t="s">
        <v>11</v>
      </c>
      <c r="AE168" s="46" t="s">
        <v>12</v>
      </c>
      <c r="AF168" s="46" t="s">
        <v>13</v>
      </c>
      <c r="AG168" s="46" t="s">
        <v>14</v>
      </c>
      <c r="AH168" s="60" t="s">
        <v>15</v>
      </c>
      <c r="AI168" s="59" t="s">
        <v>8</v>
      </c>
      <c r="AJ168" s="46" t="s">
        <v>9</v>
      </c>
      <c r="AK168" s="46" t="s">
        <v>10</v>
      </c>
      <c r="AL168" s="46" t="s">
        <v>11</v>
      </c>
      <c r="AM168" s="46" t="s">
        <v>12</v>
      </c>
      <c r="AN168" s="46" t="s">
        <v>13</v>
      </c>
      <c r="AO168" s="46" t="s">
        <v>14</v>
      </c>
      <c r="AP168" s="60" t="s">
        <v>15</v>
      </c>
    </row>
    <row r="169" spans="1:42" ht="21" customHeight="1" thickTop="1" thickBot="1" x14ac:dyDescent="0.35">
      <c r="A169" s="63"/>
      <c r="B169" s="78"/>
      <c r="C169" s="52">
        <v>1</v>
      </c>
      <c r="D169" s="44">
        <v>114.42</v>
      </c>
      <c r="E169" s="44"/>
      <c r="F169" s="44"/>
      <c r="G169" s="44"/>
      <c r="H169" s="44"/>
      <c r="I169" s="44"/>
      <c r="J169" s="51"/>
      <c r="K169" s="52">
        <v>1</v>
      </c>
      <c r="L169" s="44">
        <v>115.11</v>
      </c>
      <c r="M169" s="44"/>
      <c r="N169" s="44"/>
      <c r="O169" s="44"/>
      <c r="P169" s="44"/>
      <c r="Q169" s="44"/>
      <c r="R169" s="51"/>
      <c r="S169" s="52">
        <v>1</v>
      </c>
      <c r="T169" s="44">
        <v>118.06</v>
      </c>
      <c r="U169" s="44"/>
      <c r="V169" s="44"/>
      <c r="W169" s="44"/>
      <c r="X169" s="44"/>
      <c r="Y169" s="44"/>
      <c r="Z169" s="51"/>
      <c r="AA169" s="52">
        <v>1</v>
      </c>
      <c r="AB169" s="44">
        <v>115.52</v>
      </c>
      <c r="AC169" s="44"/>
      <c r="AD169" s="44"/>
      <c r="AE169" s="44"/>
      <c r="AF169" s="44"/>
      <c r="AG169" s="44"/>
      <c r="AH169" s="51"/>
      <c r="AI169" s="52">
        <v>1</v>
      </c>
      <c r="AJ169" s="44">
        <v>115.5</v>
      </c>
      <c r="AK169" s="44"/>
      <c r="AL169" s="44"/>
      <c r="AM169" s="44"/>
      <c r="AN169" s="44"/>
      <c r="AO169" s="44"/>
      <c r="AP169" s="51"/>
    </row>
    <row r="170" spans="1:42" ht="21" customHeight="1" thickTop="1" thickBot="1" x14ac:dyDescent="0.35">
      <c r="A170" s="63"/>
      <c r="B170" s="78"/>
      <c r="C170" s="53">
        <v>2</v>
      </c>
      <c r="D170" s="45">
        <v>114.9</v>
      </c>
      <c r="E170" s="45"/>
      <c r="F170" s="45"/>
      <c r="G170" s="45"/>
      <c r="H170" s="45"/>
      <c r="I170" s="45"/>
      <c r="J170" s="51"/>
      <c r="K170" s="53">
        <v>2</v>
      </c>
      <c r="L170" s="45">
        <v>115.01</v>
      </c>
      <c r="M170" s="45"/>
      <c r="N170" s="45"/>
      <c r="O170" s="45"/>
      <c r="P170" s="45"/>
      <c r="Q170" s="45"/>
      <c r="R170" s="51"/>
      <c r="S170" s="53">
        <v>2</v>
      </c>
      <c r="T170" s="45">
        <v>118.42</v>
      </c>
      <c r="U170" s="45"/>
      <c r="V170" s="45"/>
      <c r="W170" s="45"/>
      <c r="X170" s="45"/>
      <c r="Y170" s="45"/>
      <c r="Z170" s="51"/>
      <c r="AA170" s="53">
        <v>2</v>
      </c>
      <c r="AB170" s="45">
        <v>117.25</v>
      </c>
      <c r="AC170" s="45"/>
      <c r="AD170" s="45"/>
      <c r="AE170" s="45"/>
      <c r="AF170" s="45"/>
      <c r="AG170" s="45"/>
      <c r="AH170" s="51"/>
      <c r="AI170" s="53">
        <v>2</v>
      </c>
      <c r="AJ170" s="45">
        <v>115.84</v>
      </c>
      <c r="AK170" s="45"/>
      <c r="AL170" s="45"/>
      <c r="AM170" s="45"/>
      <c r="AN170" s="45"/>
      <c r="AO170" s="45"/>
      <c r="AP170" s="51"/>
    </row>
    <row r="171" spans="1:42" ht="21" customHeight="1" thickTop="1" thickBot="1" x14ac:dyDescent="0.35">
      <c r="A171" s="63"/>
      <c r="B171" s="78"/>
      <c r="C171" s="53">
        <v>3</v>
      </c>
      <c r="D171" s="45">
        <v>115.11</v>
      </c>
      <c r="E171" s="45"/>
      <c r="F171" s="45"/>
      <c r="G171" s="44"/>
      <c r="H171" s="44"/>
      <c r="I171" s="44"/>
      <c r="J171" s="51"/>
      <c r="K171" s="53">
        <v>3</v>
      </c>
      <c r="L171" s="45">
        <v>115.11</v>
      </c>
      <c r="M171" s="45"/>
      <c r="N171" s="45"/>
      <c r="O171" s="44"/>
      <c r="P171" s="44"/>
      <c r="Q171" s="44"/>
      <c r="R171" s="51"/>
      <c r="S171" s="53">
        <v>3</v>
      </c>
      <c r="T171" s="45">
        <v>117.94</v>
      </c>
      <c r="U171" s="45"/>
      <c r="V171" s="45"/>
      <c r="W171" s="44"/>
      <c r="X171" s="44"/>
      <c r="Y171" s="44"/>
      <c r="Z171" s="51"/>
      <c r="AA171" s="53">
        <v>3</v>
      </c>
      <c r="AB171" s="45">
        <v>117.49</v>
      </c>
      <c r="AC171" s="45"/>
      <c r="AD171" s="45"/>
      <c r="AE171" s="44"/>
      <c r="AF171" s="44"/>
      <c r="AG171" s="44"/>
      <c r="AH171" s="51"/>
      <c r="AI171" s="53">
        <v>3</v>
      </c>
      <c r="AJ171" s="45">
        <v>118.19</v>
      </c>
      <c r="AK171" s="45"/>
      <c r="AL171" s="45"/>
      <c r="AM171" s="44"/>
      <c r="AN171" s="44"/>
      <c r="AO171" s="44"/>
      <c r="AP171" s="51"/>
    </row>
    <row r="172" spans="1:42" ht="21" customHeight="1" thickTop="1" thickBot="1" x14ac:dyDescent="0.35">
      <c r="A172" s="63"/>
      <c r="B172" s="78"/>
      <c r="C172" s="53">
        <v>4</v>
      </c>
      <c r="D172" s="45">
        <v>114.3</v>
      </c>
      <c r="E172" s="45"/>
      <c r="F172" s="45"/>
      <c r="G172" s="45"/>
      <c r="H172" s="45"/>
      <c r="I172" s="45"/>
      <c r="J172" s="51"/>
      <c r="K172" s="53">
        <v>4</v>
      </c>
      <c r="L172" s="45">
        <v>114.9</v>
      </c>
      <c r="M172" s="45"/>
      <c r="N172" s="45"/>
      <c r="O172" s="45"/>
      <c r="P172" s="45"/>
      <c r="Q172" s="45"/>
      <c r="R172" s="51"/>
      <c r="S172" s="53">
        <v>4</v>
      </c>
      <c r="T172" s="45">
        <v>117.97</v>
      </c>
      <c r="U172" s="45"/>
      <c r="V172" s="45"/>
      <c r="W172" s="45"/>
      <c r="X172" s="45"/>
      <c r="Y172" s="45"/>
      <c r="Z172" s="51"/>
      <c r="AA172" s="53">
        <v>4</v>
      </c>
      <c r="AB172" s="45">
        <v>115.03</v>
      </c>
      <c r="AC172" s="45"/>
      <c r="AD172" s="45"/>
      <c r="AE172" s="45"/>
      <c r="AF172" s="45"/>
      <c r="AG172" s="45"/>
      <c r="AH172" s="51"/>
      <c r="AI172" s="53">
        <v>4</v>
      </c>
      <c r="AJ172" s="45">
        <v>117.55</v>
      </c>
      <c r="AK172" s="45"/>
      <c r="AL172" s="45"/>
      <c r="AM172" s="45"/>
      <c r="AN172" s="45"/>
      <c r="AO172" s="45"/>
      <c r="AP172" s="51"/>
    </row>
    <row r="173" spans="1:42" ht="21" customHeight="1" thickTop="1" thickBot="1" x14ac:dyDescent="0.35">
      <c r="A173" s="63"/>
      <c r="B173" s="78"/>
      <c r="C173" s="53">
        <v>5</v>
      </c>
      <c r="D173" s="45">
        <v>113.94</v>
      </c>
      <c r="E173" s="45"/>
      <c r="F173" s="45"/>
      <c r="G173" s="45"/>
      <c r="H173" s="45"/>
      <c r="I173" s="45"/>
      <c r="J173" s="51"/>
      <c r="K173" s="53">
        <v>5</v>
      </c>
      <c r="L173" s="45">
        <v>114.6</v>
      </c>
      <c r="M173" s="45"/>
      <c r="N173" s="45"/>
      <c r="O173" s="45"/>
      <c r="P173" s="45"/>
      <c r="Q173" s="45"/>
      <c r="R173" s="51"/>
      <c r="S173" s="53">
        <v>5</v>
      </c>
      <c r="T173" s="45">
        <v>118.23</v>
      </c>
      <c r="U173" s="45"/>
      <c r="V173" s="45"/>
      <c r="W173" s="45"/>
      <c r="X173" s="45"/>
      <c r="Y173" s="45"/>
      <c r="Z173" s="51"/>
      <c r="AA173" s="53">
        <v>5</v>
      </c>
      <c r="AB173" s="45">
        <v>118.19</v>
      </c>
      <c r="AC173" s="45"/>
      <c r="AD173" s="45"/>
      <c r="AE173" s="45"/>
      <c r="AF173" s="45"/>
      <c r="AG173" s="45"/>
      <c r="AH173" s="51"/>
      <c r="AI173" s="53">
        <v>5</v>
      </c>
      <c r="AJ173" s="45">
        <v>117.84</v>
      </c>
      <c r="AK173" s="45"/>
      <c r="AL173" s="45"/>
      <c r="AM173" s="45"/>
      <c r="AN173" s="45"/>
      <c r="AO173" s="45"/>
      <c r="AP173" s="51"/>
    </row>
    <row r="174" spans="1:42" ht="21" customHeight="1" thickTop="1" thickBot="1" x14ac:dyDescent="0.35">
      <c r="A174" s="63"/>
      <c r="B174" s="78"/>
      <c r="C174" s="53">
        <v>6</v>
      </c>
      <c r="D174" s="45">
        <v>115.11</v>
      </c>
      <c r="E174" s="45"/>
      <c r="F174" s="45"/>
      <c r="G174" s="45"/>
      <c r="H174" s="45"/>
      <c r="I174" s="45"/>
      <c r="J174" s="51"/>
      <c r="K174" s="53">
        <v>6</v>
      </c>
      <c r="L174" s="45">
        <v>114.9</v>
      </c>
      <c r="M174" s="45"/>
      <c r="N174" s="45"/>
      <c r="O174" s="45"/>
      <c r="P174" s="45"/>
      <c r="Q174" s="45"/>
      <c r="R174" s="51"/>
      <c r="S174" s="53">
        <v>6</v>
      </c>
      <c r="T174" s="45">
        <v>115.31</v>
      </c>
      <c r="U174" s="45"/>
      <c r="V174" s="45"/>
      <c r="W174" s="45"/>
      <c r="X174" s="45"/>
      <c r="Y174" s="45"/>
      <c r="Z174" s="51"/>
      <c r="AA174" s="53">
        <v>6</v>
      </c>
      <c r="AB174" s="45">
        <v>115.51</v>
      </c>
      <c r="AC174" s="45"/>
      <c r="AD174" s="45"/>
      <c r="AE174" s="45"/>
      <c r="AF174" s="45"/>
      <c r="AG174" s="45"/>
      <c r="AH174" s="51"/>
      <c r="AI174" s="53">
        <v>6</v>
      </c>
      <c r="AJ174" s="45">
        <v>117.29</v>
      </c>
      <c r="AK174" s="45"/>
      <c r="AL174" s="45"/>
      <c r="AM174" s="45"/>
      <c r="AN174" s="45"/>
      <c r="AO174" s="45"/>
      <c r="AP174" s="51"/>
    </row>
    <row r="175" spans="1:42" ht="21" customHeight="1" thickTop="1" thickBot="1" x14ac:dyDescent="0.35">
      <c r="A175" s="63"/>
      <c r="B175" s="78"/>
      <c r="C175" s="53">
        <v>7</v>
      </c>
      <c r="D175" s="45">
        <v>114.11</v>
      </c>
      <c r="E175" s="45"/>
      <c r="F175" s="45"/>
      <c r="G175" s="45"/>
      <c r="H175" s="45"/>
      <c r="I175" s="45"/>
      <c r="J175" s="51"/>
      <c r="K175" s="53">
        <v>7</v>
      </c>
      <c r="L175" s="45">
        <v>115.11</v>
      </c>
      <c r="M175" s="45"/>
      <c r="N175" s="45"/>
      <c r="O175" s="45"/>
      <c r="P175" s="45"/>
      <c r="Q175" s="45"/>
      <c r="R175" s="51"/>
      <c r="S175" s="53">
        <v>7</v>
      </c>
      <c r="T175" s="45">
        <v>119.75</v>
      </c>
      <c r="U175" s="45"/>
      <c r="V175" s="45"/>
      <c r="W175" s="45"/>
      <c r="X175" s="45"/>
      <c r="Y175" s="45"/>
      <c r="Z175" s="51"/>
      <c r="AA175" s="53">
        <v>7</v>
      </c>
      <c r="AB175" s="45">
        <v>115.46</v>
      </c>
      <c r="AC175" s="45"/>
      <c r="AD175" s="45"/>
      <c r="AE175" s="45"/>
      <c r="AF175" s="45"/>
      <c r="AG175" s="45"/>
      <c r="AH175" s="51"/>
      <c r="AI175" s="53">
        <v>7</v>
      </c>
      <c r="AJ175" s="45">
        <v>118.06</v>
      </c>
      <c r="AK175" s="45"/>
      <c r="AL175" s="45"/>
      <c r="AM175" s="45"/>
      <c r="AN175" s="45"/>
      <c r="AO175" s="45"/>
      <c r="AP175" s="51"/>
    </row>
    <row r="176" spans="1:42" ht="21" customHeight="1" thickTop="1" thickBot="1" x14ac:dyDescent="0.35">
      <c r="A176" s="63"/>
      <c r="B176" s="78"/>
      <c r="C176" s="53">
        <v>8</v>
      </c>
      <c r="D176" s="45">
        <v>114.64</v>
      </c>
      <c r="E176" s="45"/>
      <c r="F176" s="45"/>
      <c r="G176" s="45"/>
      <c r="H176" s="45"/>
      <c r="I176" s="45"/>
      <c r="J176" s="51"/>
      <c r="K176" s="53">
        <v>8</v>
      </c>
      <c r="L176" s="45">
        <v>115.5</v>
      </c>
      <c r="M176" s="45"/>
      <c r="N176" s="45"/>
      <c r="O176" s="45"/>
      <c r="P176" s="45"/>
      <c r="Q176" s="45"/>
      <c r="R176" s="51"/>
      <c r="S176" s="53">
        <v>8</v>
      </c>
      <c r="T176" s="45">
        <v>117.78</v>
      </c>
      <c r="U176" s="45"/>
      <c r="V176" s="45"/>
      <c r="W176" s="45"/>
      <c r="X176" s="45"/>
      <c r="Y176" s="45"/>
      <c r="Z176" s="51"/>
      <c r="AA176" s="53">
        <v>8</v>
      </c>
      <c r="AB176" s="45">
        <v>115.11</v>
      </c>
      <c r="AC176" s="45"/>
      <c r="AD176" s="45"/>
      <c r="AE176" s="45"/>
      <c r="AF176" s="45"/>
      <c r="AG176" s="45"/>
      <c r="AH176" s="51"/>
      <c r="AI176" s="53">
        <v>8</v>
      </c>
      <c r="AJ176" s="45">
        <v>117.73</v>
      </c>
      <c r="AK176" s="45"/>
      <c r="AL176" s="45"/>
      <c r="AM176" s="45"/>
      <c r="AN176" s="45"/>
      <c r="AO176" s="45"/>
      <c r="AP176" s="51"/>
    </row>
    <row r="177" spans="1:42" ht="21" customHeight="1" thickTop="1" thickBot="1" x14ac:dyDescent="0.35">
      <c r="A177" s="63"/>
      <c r="B177" s="78"/>
      <c r="C177" s="53">
        <v>9</v>
      </c>
      <c r="D177" s="45">
        <v>114.58</v>
      </c>
      <c r="E177" s="45"/>
      <c r="F177" s="45"/>
      <c r="G177" s="45"/>
      <c r="H177" s="45"/>
      <c r="I177" s="45"/>
      <c r="J177" s="51"/>
      <c r="K177" s="53">
        <v>9</v>
      </c>
      <c r="L177" s="45">
        <v>114.94</v>
      </c>
      <c r="M177" s="45"/>
      <c r="N177" s="45"/>
      <c r="O177" s="45"/>
      <c r="P177" s="45"/>
      <c r="Q177" s="45"/>
      <c r="R177" s="51"/>
      <c r="S177" s="53">
        <v>9</v>
      </c>
      <c r="T177" s="45">
        <v>119</v>
      </c>
      <c r="U177" s="45"/>
      <c r="V177" s="45"/>
      <c r="W177" s="45"/>
      <c r="X177" s="45"/>
      <c r="Y177" s="45"/>
      <c r="Z177" s="51"/>
      <c r="AA177" s="53">
        <v>9</v>
      </c>
      <c r="AB177" s="45">
        <v>117.05</v>
      </c>
      <c r="AC177" s="45"/>
      <c r="AD177" s="45"/>
      <c r="AE177" s="45"/>
      <c r="AF177" s="45"/>
      <c r="AG177" s="45"/>
      <c r="AH177" s="51"/>
      <c r="AI177" s="53">
        <v>9</v>
      </c>
      <c r="AJ177" s="45">
        <v>116.22</v>
      </c>
      <c r="AK177" s="45"/>
      <c r="AL177" s="45"/>
      <c r="AM177" s="45"/>
      <c r="AN177" s="45"/>
      <c r="AO177" s="45"/>
      <c r="AP177" s="51"/>
    </row>
    <row r="178" spans="1:42" ht="21" customHeight="1" thickTop="1" thickBot="1" x14ac:dyDescent="0.35">
      <c r="A178" s="63"/>
      <c r="B178" s="78"/>
      <c r="C178" s="53">
        <v>10</v>
      </c>
      <c r="D178" s="45">
        <v>114.34</v>
      </c>
      <c r="E178" s="45"/>
      <c r="F178" s="45"/>
      <c r="G178" s="45"/>
      <c r="H178" s="45"/>
      <c r="I178" s="45"/>
      <c r="J178" s="51"/>
      <c r="K178" s="53">
        <v>10</v>
      </c>
      <c r="L178" s="45">
        <v>114.46</v>
      </c>
      <c r="M178" s="45"/>
      <c r="N178" s="45"/>
      <c r="O178" s="45"/>
      <c r="P178" s="45"/>
      <c r="Q178" s="45"/>
      <c r="R178" s="51"/>
      <c r="S178" s="53">
        <v>10</v>
      </c>
      <c r="T178" s="45">
        <v>118.51</v>
      </c>
      <c r="U178" s="45"/>
      <c r="V178" s="45"/>
      <c r="W178" s="45"/>
      <c r="X178" s="45"/>
      <c r="Y178" s="45"/>
      <c r="Z178" s="51"/>
      <c r="AA178" s="53">
        <v>10</v>
      </c>
      <c r="AB178" s="45">
        <v>115.04</v>
      </c>
      <c r="AC178" s="45"/>
      <c r="AD178" s="45"/>
      <c r="AE178" s="45"/>
      <c r="AF178" s="45"/>
      <c r="AG178" s="45"/>
      <c r="AH178" s="51"/>
      <c r="AI178" s="53">
        <v>10</v>
      </c>
      <c r="AJ178" s="45">
        <v>115.92</v>
      </c>
      <c r="AK178" s="45"/>
      <c r="AL178" s="45"/>
      <c r="AM178" s="45"/>
      <c r="AN178" s="45"/>
      <c r="AO178" s="45"/>
      <c r="AP178" s="51"/>
    </row>
    <row r="179" spans="1:42" ht="21" customHeight="1" thickTop="1" thickBot="1" x14ac:dyDescent="0.35">
      <c r="A179" s="63"/>
      <c r="B179" s="78"/>
      <c r="C179" s="53"/>
      <c r="D179" s="45"/>
      <c r="E179" s="45"/>
      <c r="F179" s="45"/>
      <c r="G179" s="45"/>
      <c r="H179" s="45"/>
      <c r="I179" s="45"/>
      <c r="J179" s="51"/>
      <c r="K179" s="53"/>
      <c r="L179" s="45"/>
      <c r="M179" s="45"/>
      <c r="N179" s="45"/>
      <c r="O179" s="45"/>
      <c r="P179" s="45"/>
      <c r="Q179" s="45"/>
      <c r="R179" s="51"/>
      <c r="S179" s="53"/>
      <c r="T179" s="45"/>
      <c r="U179" s="45"/>
      <c r="V179" s="45"/>
      <c r="W179" s="45"/>
      <c r="X179" s="45"/>
      <c r="Y179" s="45"/>
      <c r="Z179" s="51"/>
      <c r="AA179" s="53"/>
      <c r="AB179" s="45"/>
      <c r="AC179" s="45"/>
      <c r="AD179" s="45"/>
      <c r="AE179" s="45"/>
      <c r="AF179" s="45"/>
      <c r="AG179" s="45"/>
      <c r="AH179" s="51"/>
      <c r="AI179" s="53"/>
      <c r="AJ179" s="45"/>
      <c r="AK179" s="45"/>
      <c r="AL179" s="45"/>
      <c r="AM179" s="45"/>
      <c r="AN179" s="45"/>
      <c r="AO179" s="45"/>
      <c r="AP179" s="51"/>
    </row>
    <row r="180" spans="1:42" ht="41" customHeight="1" thickTop="1" thickBot="1" x14ac:dyDescent="0.35">
      <c r="A180" s="63"/>
      <c r="B180" s="78"/>
      <c r="C180" s="54" t="s">
        <v>16</v>
      </c>
      <c r="D180" s="49">
        <f>MIN(D169:D178)</f>
        <v>113.94</v>
      </c>
      <c r="E180" s="45"/>
      <c r="F180" s="55" t="s">
        <v>17</v>
      </c>
      <c r="G180" s="49" t="s">
        <v>18</v>
      </c>
      <c r="H180" s="49" t="s">
        <v>19</v>
      </c>
      <c r="I180" s="45"/>
      <c r="J180" s="51"/>
      <c r="K180" s="54" t="s">
        <v>16</v>
      </c>
      <c r="L180" s="49">
        <f>MIN(L169:L178)</f>
        <v>114.46</v>
      </c>
      <c r="M180" s="45"/>
      <c r="N180" s="55" t="s">
        <v>17</v>
      </c>
      <c r="O180" s="49" t="s">
        <v>18</v>
      </c>
      <c r="P180" s="49" t="s">
        <v>19</v>
      </c>
      <c r="Q180" s="45"/>
      <c r="R180" s="51"/>
      <c r="S180" s="54" t="s">
        <v>16</v>
      </c>
      <c r="T180" s="49">
        <f>MIN(T169:T178)</f>
        <v>115.31</v>
      </c>
      <c r="U180" s="45"/>
      <c r="V180" s="55" t="s">
        <v>17</v>
      </c>
      <c r="W180" s="49" t="s">
        <v>18</v>
      </c>
      <c r="X180" s="49" t="s">
        <v>19</v>
      </c>
      <c r="Y180" s="45"/>
      <c r="Z180" s="51"/>
      <c r="AA180" s="54" t="s">
        <v>16</v>
      </c>
      <c r="AB180" s="49">
        <f>MIN(AB169:AB178)</f>
        <v>115.03</v>
      </c>
      <c r="AC180" s="45"/>
      <c r="AD180" s="55" t="s">
        <v>17</v>
      </c>
      <c r="AE180" s="49" t="s">
        <v>18</v>
      </c>
      <c r="AF180" s="49" t="s">
        <v>19</v>
      </c>
      <c r="AG180" s="45"/>
      <c r="AH180" s="51"/>
      <c r="AI180" s="54" t="s">
        <v>16</v>
      </c>
      <c r="AJ180" s="49">
        <f>MIN(AJ169:AJ178)</f>
        <v>115.5</v>
      </c>
      <c r="AK180" s="45"/>
      <c r="AL180" s="55" t="s">
        <v>17</v>
      </c>
      <c r="AM180" s="49" t="s">
        <v>18</v>
      </c>
      <c r="AN180" s="49" t="s">
        <v>19</v>
      </c>
      <c r="AO180" s="45"/>
      <c r="AP180" s="51"/>
    </row>
    <row r="181" spans="1:42" ht="21" customHeight="1" thickTop="1" thickBot="1" x14ac:dyDescent="0.35">
      <c r="A181" s="63"/>
      <c r="B181" s="78"/>
      <c r="C181" s="54" t="s">
        <v>20</v>
      </c>
      <c r="D181" s="48">
        <f>AVERAGE(D169:D178)</f>
        <v>114.545</v>
      </c>
      <c r="E181" s="47"/>
      <c r="F181" s="48">
        <f>_xlfn.STDEV.S(D169:D178) / AVERAGE(D169:D178) * 100%</f>
        <v>3.501340893125936E-3</v>
      </c>
      <c r="G181" s="48">
        <f t="array" ref="G181">MIN((D169:D178 - MIN(D169:D178,L169:L178,T169:T178,AB169:AB178,AJ169:AJ178))/MIN(D169:D178,L169:L178,T169:T178,AB169:AB178,AJ169:AJ178)*100%)</f>
        <v>0</v>
      </c>
      <c r="H181" s="48">
        <f t="array" ref="H181">AVERAGE((D169:D178 - MIN(D169:D178,L169:L178,T169:T178,AB169:AB178,AJ169:AJ178))/MIN(D169:D178,L169:L178,T169:T178,AB169:AB178,AJ169:AJ178)*100%)</f>
        <v>5.3098121818501189E-3</v>
      </c>
      <c r="I181" s="45"/>
      <c r="J181" s="51"/>
      <c r="K181" s="54" t="s">
        <v>20</v>
      </c>
      <c r="L181" s="48">
        <f>AVERAGE(L169:L178)</f>
        <v>114.96400000000001</v>
      </c>
      <c r="M181" s="47"/>
      <c r="N181" s="48">
        <f>_xlfn.STDEV.S(L169:L178) / AVERAGE(L169:L178) * 100%</f>
        <v>2.5087269381126858E-3</v>
      </c>
      <c r="O181" s="48">
        <f t="array" ref="O181">MIN((L169:L178 - MIN(D169:D178,L169:L178,T169:T178,AB169:AB178,AJ169:AJ178))/MIN(D169:D178,L169:L178,T169:T178,AB169:AB178,AJ169:AJ178)*100%)</f>
        <v>4.5638055116727751E-3</v>
      </c>
      <c r="P181" s="48">
        <f t="array" ref="P181">AVERAGE((L169:L178 - MIN(D169:D178,L169:L178,T169:T178,AB169:AB178,AJ169:AJ178))/MIN(D169:D178,L169:L178,T169:T178,AB169:AB178,AJ169:AJ178)*100%)</f>
        <v>8.9871862383710931E-3</v>
      </c>
      <c r="Q181" s="44"/>
      <c r="R181" s="51"/>
      <c r="S181" s="54" t="s">
        <v>20</v>
      </c>
      <c r="T181" s="48">
        <f>AVERAGE(T169:T178)</f>
        <v>118.09700000000001</v>
      </c>
      <c r="U181" s="47"/>
      <c r="V181" s="48">
        <f>_xlfn.STDEV.S(T169:T178) / AVERAGE(T169:T178) * 100%</f>
        <v>9.6753434445846602E-3</v>
      </c>
      <c r="W181" s="48">
        <f t="array" ref="W181">MIN((T169:T178 - MIN(D169:D178,L169:L178,T169:T178,AB169:AB178,AJ169:AJ178))/MIN(D169:D178,L169:L178,T169:T178,AB169:AB178,AJ169:AJ178)*100%)</f>
        <v>1.2023872213445714E-2</v>
      </c>
      <c r="X181" s="48">
        <f t="array" ref="X181">AVERAGE((T169:T178 - MIN(D169:D178,L169:L178,T169:T178,AB169:AB178,AJ169:AJ178))/MIN(D169:D178,L169:L178,T169:T178,AB169:AB178,AJ169:AJ178)*100%)</f>
        <v>3.648411444619979E-2</v>
      </c>
      <c r="Y181" s="44"/>
      <c r="Z181" s="51"/>
      <c r="AA181" s="54" t="s">
        <v>20</v>
      </c>
      <c r="AB181" s="48">
        <f>AVERAGE(AB169:AB178)</f>
        <v>116.16500000000001</v>
      </c>
      <c r="AC181" s="47"/>
      <c r="AD181" s="48">
        <f>_xlfn.STDEV.S(AB169:AB178) / AVERAGE(AB169:AB178) * 100%</f>
        <v>1.0276450641829225E-2</v>
      </c>
      <c r="AE181" s="48">
        <f t="array" ref="AE181">MIN((AB169:AB178 - MIN(D169:D178,L169:L178,T169:T178,AB169:AB178,AJ169:AJ178))/MIN(D169:D178,L169:L178,T169:T178,AB169:AB178,AJ169:AJ178)*100%)</f>
        <v>9.5664384763911123E-3</v>
      </c>
      <c r="AF181" s="48">
        <f t="array" ref="AF181">AVERAGE((AB169:AB178 - MIN(D169:D178,L169:L178,T169:T178,AB169:AB178,AJ169:AJ178))/MIN(D169:D178,L169:L178,T169:T178,AB169:AB178,AJ169:AJ178)*100%)</f>
        <v>1.9527821660523099E-2</v>
      </c>
      <c r="AG181" s="44"/>
      <c r="AH181" s="51"/>
      <c r="AI181" s="54" t="s">
        <v>20</v>
      </c>
      <c r="AJ181" s="48">
        <f>AVERAGE(AJ169:AJ178)</f>
        <v>117.01400000000001</v>
      </c>
      <c r="AK181" s="47"/>
      <c r="AL181" s="48">
        <f>_xlfn.STDEV.S(AJ169:AJ178) / AVERAGE(AJ169:AJ178) * 100%</f>
        <v>8.7955131664181254E-3</v>
      </c>
      <c r="AM181" s="48">
        <f t="array" ref="AM181">MIN((AJ169:AJ178 - MIN(D169:D178,L169:L178,T169:T178,AB169:AB178,AJ169:AJ178))/MIN(D169:D178,L169:L178,T169:T178,AB169:AB178,AJ169:AJ178)*100%)</f>
        <v>1.3691416535018451E-2</v>
      </c>
      <c r="AN181" s="48">
        <f t="array" ref="AN181">AVERAGE((AJ169:AJ178 - MIN(D169:D178,L169:L178,T169:T178,AB169:AB178,AJ169:AJ178))/MIN(D169:D178,L169:L178,T169:T178,AB169:AB178,AJ169:AJ178)*100%)</f>
        <v>2.697911181323507E-2</v>
      </c>
      <c r="AO181" s="44"/>
      <c r="AP181" s="51"/>
    </row>
    <row r="182" spans="1:42" ht="21" customHeight="1" thickTop="1" thickBot="1" x14ac:dyDescent="0.35">
      <c r="A182" s="63"/>
      <c r="B182" s="79"/>
      <c r="C182" s="53"/>
      <c r="D182" s="44"/>
      <c r="E182" s="44"/>
      <c r="F182" s="44"/>
      <c r="G182" s="44"/>
      <c r="H182" s="44"/>
      <c r="I182" s="44"/>
      <c r="J182" s="51"/>
      <c r="K182" s="53"/>
      <c r="L182" s="44"/>
      <c r="M182" s="44"/>
      <c r="N182" s="44"/>
      <c r="O182" s="44"/>
      <c r="P182" s="44"/>
      <c r="Q182" s="44"/>
      <c r="R182" s="51"/>
      <c r="S182" s="53"/>
      <c r="T182" s="44"/>
      <c r="U182" s="44"/>
      <c r="V182" s="44"/>
      <c r="W182" s="44"/>
      <c r="X182" s="44"/>
      <c r="Y182" s="44"/>
      <c r="Z182" s="51"/>
      <c r="AA182" s="53"/>
      <c r="AB182" s="44"/>
      <c r="AC182" s="44"/>
      <c r="AD182" s="44"/>
      <c r="AE182" s="44"/>
      <c r="AF182" s="44"/>
      <c r="AG182" s="44"/>
      <c r="AH182" s="51"/>
      <c r="AI182" s="53"/>
      <c r="AJ182" s="44"/>
      <c r="AK182" s="44"/>
      <c r="AL182" s="44"/>
      <c r="AM182" s="44"/>
      <c r="AN182" s="44"/>
      <c r="AO182" s="44"/>
      <c r="AP182" s="51"/>
    </row>
    <row r="183" spans="1:42" ht="21" customHeight="1" thickTop="1" thickBot="1" x14ac:dyDescent="0.35">
      <c r="A183" s="63"/>
      <c r="B183" s="77" t="s">
        <v>39</v>
      </c>
      <c r="C183" s="59" t="s">
        <v>8</v>
      </c>
      <c r="D183" s="46" t="s">
        <v>9</v>
      </c>
      <c r="E183" s="46" t="s">
        <v>10</v>
      </c>
      <c r="F183" s="46" t="s">
        <v>11</v>
      </c>
      <c r="G183" s="46" t="s">
        <v>12</v>
      </c>
      <c r="H183" s="46" t="s">
        <v>13</v>
      </c>
      <c r="I183" s="46" t="s">
        <v>14</v>
      </c>
      <c r="J183" s="60" t="s">
        <v>15</v>
      </c>
      <c r="K183" s="59" t="s">
        <v>8</v>
      </c>
      <c r="L183" s="46" t="s">
        <v>9</v>
      </c>
      <c r="M183" s="46" t="s">
        <v>10</v>
      </c>
      <c r="N183" s="46" t="s">
        <v>11</v>
      </c>
      <c r="O183" s="46" t="s">
        <v>12</v>
      </c>
      <c r="P183" s="46" t="s">
        <v>13</v>
      </c>
      <c r="Q183" s="46" t="s">
        <v>14</v>
      </c>
      <c r="R183" s="60" t="s">
        <v>15</v>
      </c>
      <c r="S183" s="59" t="s">
        <v>8</v>
      </c>
      <c r="T183" s="46" t="s">
        <v>9</v>
      </c>
      <c r="U183" s="46" t="s">
        <v>10</v>
      </c>
      <c r="V183" s="46" t="s">
        <v>11</v>
      </c>
      <c r="W183" s="46" t="s">
        <v>12</v>
      </c>
      <c r="X183" s="46" t="s">
        <v>13</v>
      </c>
      <c r="Y183" s="46" t="s">
        <v>14</v>
      </c>
      <c r="Z183" s="60" t="s">
        <v>15</v>
      </c>
      <c r="AA183" s="59" t="s">
        <v>8</v>
      </c>
      <c r="AB183" s="46" t="s">
        <v>9</v>
      </c>
      <c r="AC183" s="46" t="s">
        <v>10</v>
      </c>
      <c r="AD183" s="46" t="s">
        <v>11</v>
      </c>
      <c r="AE183" s="46" t="s">
        <v>12</v>
      </c>
      <c r="AF183" s="46" t="s">
        <v>13</v>
      </c>
      <c r="AG183" s="46" t="s">
        <v>14</v>
      </c>
      <c r="AH183" s="60" t="s">
        <v>15</v>
      </c>
      <c r="AI183" s="59" t="s">
        <v>8</v>
      </c>
      <c r="AJ183" s="46" t="s">
        <v>9</v>
      </c>
      <c r="AK183" s="46" t="s">
        <v>10</v>
      </c>
      <c r="AL183" s="46" t="s">
        <v>11</v>
      </c>
      <c r="AM183" s="46" t="s">
        <v>12</v>
      </c>
      <c r="AN183" s="46" t="s">
        <v>13</v>
      </c>
      <c r="AO183" s="46" t="s">
        <v>14</v>
      </c>
      <c r="AP183" s="60" t="s">
        <v>15</v>
      </c>
    </row>
    <row r="184" spans="1:42" ht="21" customHeight="1" thickTop="1" thickBot="1" x14ac:dyDescent="0.35">
      <c r="A184" s="63"/>
      <c r="B184" s="78"/>
      <c r="C184" s="52">
        <v>1</v>
      </c>
      <c r="D184" s="44">
        <v>130.32</v>
      </c>
      <c r="E184" s="44"/>
      <c r="F184" s="44"/>
      <c r="G184" s="44"/>
      <c r="H184" s="44"/>
      <c r="I184" s="44"/>
      <c r="J184" s="51"/>
      <c r="K184" s="52">
        <v>1</v>
      </c>
      <c r="L184" s="44">
        <v>129.99</v>
      </c>
      <c r="M184" s="44"/>
      <c r="N184" s="44"/>
      <c r="O184" s="44"/>
      <c r="P184" s="44"/>
      <c r="Q184" s="44"/>
      <c r="R184" s="51"/>
      <c r="S184" s="52">
        <v>1</v>
      </c>
      <c r="T184" s="44">
        <v>133.41</v>
      </c>
      <c r="U184" s="44"/>
      <c r="V184" s="44"/>
      <c r="W184" s="44"/>
      <c r="X184" s="44"/>
      <c r="Y184" s="44"/>
      <c r="Z184" s="51"/>
      <c r="AA184" s="52">
        <v>1</v>
      </c>
      <c r="AB184" s="44">
        <v>131.71</v>
      </c>
      <c r="AC184" s="44"/>
      <c r="AD184" s="44"/>
      <c r="AE184" s="44"/>
      <c r="AF184" s="44"/>
      <c r="AG184" s="44"/>
      <c r="AH184" s="51"/>
      <c r="AI184" s="52">
        <v>1</v>
      </c>
      <c r="AJ184" s="44">
        <v>131.9</v>
      </c>
      <c r="AK184" s="44"/>
      <c r="AL184" s="44"/>
      <c r="AM184" s="44"/>
      <c r="AN184" s="44"/>
      <c r="AO184" s="44"/>
      <c r="AP184" s="51"/>
    </row>
    <row r="185" spans="1:42" ht="21" customHeight="1" thickTop="1" thickBot="1" x14ac:dyDescent="0.35">
      <c r="A185" s="63"/>
      <c r="B185" s="78"/>
      <c r="C185" s="53">
        <v>2</v>
      </c>
      <c r="D185" s="45">
        <v>130.93</v>
      </c>
      <c r="E185" s="45"/>
      <c r="F185" s="45"/>
      <c r="G185" s="45"/>
      <c r="H185" s="45"/>
      <c r="I185" s="45"/>
      <c r="J185" s="51"/>
      <c r="K185" s="53">
        <v>2</v>
      </c>
      <c r="L185" s="45">
        <v>132.02000000000001</v>
      </c>
      <c r="M185" s="45"/>
      <c r="N185" s="45"/>
      <c r="O185" s="45"/>
      <c r="P185" s="45"/>
      <c r="Q185" s="45"/>
      <c r="R185" s="51"/>
      <c r="S185" s="53">
        <v>2</v>
      </c>
      <c r="T185" s="45">
        <v>130.77000000000001</v>
      </c>
      <c r="U185" s="45"/>
      <c r="V185" s="45"/>
      <c r="W185" s="45"/>
      <c r="X185" s="45"/>
      <c r="Y185" s="45"/>
      <c r="Z185" s="51"/>
      <c r="AA185" s="53">
        <v>2</v>
      </c>
      <c r="AB185" s="45">
        <v>133.99</v>
      </c>
      <c r="AC185" s="45"/>
      <c r="AD185" s="45"/>
      <c r="AE185" s="45"/>
      <c r="AF185" s="45"/>
      <c r="AG185" s="45"/>
      <c r="AH185" s="51"/>
      <c r="AI185" s="53">
        <v>2</v>
      </c>
      <c r="AJ185" s="45">
        <v>130.84</v>
      </c>
      <c r="AK185" s="45"/>
      <c r="AL185" s="45"/>
      <c r="AM185" s="45"/>
      <c r="AN185" s="45"/>
      <c r="AO185" s="45"/>
      <c r="AP185" s="51"/>
    </row>
    <row r="186" spans="1:42" ht="21" customHeight="1" thickTop="1" thickBot="1" x14ac:dyDescent="0.35">
      <c r="A186" s="63"/>
      <c r="B186" s="78"/>
      <c r="C186" s="53">
        <v>3</v>
      </c>
      <c r="D186" s="45">
        <v>130.15</v>
      </c>
      <c r="E186" s="45"/>
      <c r="F186" s="45"/>
      <c r="G186" s="44"/>
      <c r="H186" s="44"/>
      <c r="I186" s="44"/>
      <c r="J186" s="51"/>
      <c r="K186" s="53">
        <v>3</v>
      </c>
      <c r="L186" s="45">
        <v>131.71</v>
      </c>
      <c r="M186" s="45"/>
      <c r="N186" s="45"/>
      <c r="O186" s="44"/>
      <c r="P186" s="44"/>
      <c r="Q186" s="44"/>
      <c r="R186" s="51"/>
      <c r="S186" s="53">
        <v>3</v>
      </c>
      <c r="T186" s="45">
        <v>132.26</v>
      </c>
      <c r="U186" s="45"/>
      <c r="V186" s="45"/>
      <c r="W186" s="44"/>
      <c r="X186" s="44"/>
      <c r="Y186" s="44"/>
      <c r="Z186" s="51"/>
      <c r="AA186" s="53">
        <v>3</v>
      </c>
      <c r="AB186" s="45">
        <v>132.72</v>
      </c>
      <c r="AC186" s="45"/>
      <c r="AD186" s="45"/>
      <c r="AE186" s="44"/>
      <c r="AF186" s="44"/>
      <c r="AG186" s="44"/>
      <c r="AH186" s="51"/>
      <c r="AI186" s="53">
        <v>3</v>
      </c>
      <c r="AJ186" s="45">
        <v>131.22999999999999</v>
      </c>
      <c r="AK186" s="45"/>
      <c r="AL186" s="45"/>
      <c r="AM186" s="44"/>
      <c r="AN186" s="44"/>
      <c r="AO186" s="44"/>
      <c r="AP186" s="51"/>
    </row>
    <row r="187" spans="1:42" ht="21" customHeight="1" thickTop="1" thickBot="1" x14ac:dyDescent="0.35">
      <c r="A187" s="63"/>
      <c r="B187" s="78"/>
      <c r="C187" s="53">
        <v>4</v>
      </c>
      <c r="D187" s="45">
        <v>129.24</v>
      </c>
      <c r="E187" s="45"/>
      <c r="F187" s="45"/>
      <c r="G187" s="45"/>
      <c r="H187" s="45"/>
      <c r="I187" s="45"/>
      <c r="J187" s="51"/>
      <c r="K187" s="53">
        <v>4</v>
      </c>
      <c r="L187" s="45">
        <v>129.91999999999999</v>
      </c>
      <c r="M187" s="45"/>
      <c r="N187" s="45"/>
      <c r="O187" s="45"/>
      <c r="P187" s="45"/>
      <c r="Q187" s="45"/>
      <c r="R187" s="51"/>
      <c r="S187" s="53">
        <v>4</v>
      </c>
      <c r="T187" s="45">
        <v>131.91999999999999</v>
      </c>
      <c r="U187" s="45"/>
      <c r="V187" s="45"/>
      <c r="W187" s="45"/>
      <c r="X187" s="45"/>
      <c r="Y187" s="45"/>
      <c r="Z187" s="51"/>
      <c r="AA187" s="53">
        <v>4</v>
      </c>
      <c r="AB187" s="45">
        <v>130.13</v>
      </c>
      <c r="AC187" s="45"/>
      <c r="AD187" s="45"/>
      <c r="AE187" s="45"/>
      <c r="AF187" s="45"/>
      <c r="AG187" s="45"/>
      <c r="AH187" s="51"/>
      <c r="AI187" s="53">
        <v>4</v>
      </c>
      <c r="AJ187" s="45">
        <v>131.02000000000001</v>
      </c>
      <c r="AK187" s="45"/>
      <c r="AL187" s="45"/>
      <c r="AM187" s="45"/>
      <c r="AN187" s="45"/>
      <c r="AO187" s="45"/>
      <c r="AP187" s="51"/>
    </row>
    <row r="188" spans="1:42" ht="21" customHeight="1" thickTop="1" thickBot="1" x14ac:dyDescent="0.35">
      <c r="A188" s="63"/>
      <c r="B188" s="78"/>
      <c r="C188" s="53">
        <v>5</v>
      </c>
      <c r="D188" s="45">
        <v>129.84</v>
      </c>
      <c r="E188" s="45"/>
      <c r="F188" s="45"/>
      <c r="G188" s="45"/>
      <c r="H188" s="45"/>
      <c r="I188" s="45"/>
      <c r="J188" s="51"/>
      <c r="K188" s="53">
        <v>5</v>
      </c>
      <c r="L188" s="45">
        <v>130.53</v>
      </c>
      <c r="M188" s="45"/>
      <c r="N188" s="45"/>
      <c r="O188" s="45"/>
      <c r="P188" s="45"/>
      <c r="Q188" s="45"/>
      <c r="R188" s="51"/>
      <c r="S188" s="53">
        <v>5</v>
      </c>
      <c r="T188" s="45">
        <v>133.30000000000001</v>
      </c>
      <c r="U188" s="45"/>
      <c r="V188" s="45"/>
      <c r="W188" s="45"/>
      <c r="X188" s="45"/>
      <c r="Y188" s="45"/>
      <c r="Z188" s="51"/>
      <c r="AA188" s="53">
        <v>5</v>
      </c>
      <c r="AB188" s="45">
        <v>133.02000000000001</v>
      </c>
      <c r="AC188" s="45"/>
      <c r="AD188" s="45"/>
      <c r="AE188" s="45"/>
      <c r="AF188" s="45"/>
      <c r="AG188" s="45"/>
      <c r="AH188" s="51"/>
      <c r="AI188" s="53">
        <v>5</v>
      </c>
      <c r="AJ188" s="45">
        <v>131.79</v>
      </c>
      <c r="AK188" s="45"/>
      <c r="AL188" s="45"/>
      <c r="AM188" s="45"/>
      <c r="AN188" s="45"/>
      <c r="AO188" s="45"/>
      <c r="AP188" s="51"/>
    </row>
    <row r="189" spans="1:42" ht="21" customHeight="1" thickTop="1" thickBot="1" x14ac:dyDescent="0.35">
      <c r="A189" s="63"/>
      <c r="B189" s="78"/>
      <c r="C189" s="53">
        <v>6</v>
      </c>
      <c r="D189" s="45">
        <v>128.13999999999999</v>
      </c>
      <c r="E189" s="45"/>
      <c r="F189" s="45"/>
      <c r="G189" s="45"/>
      <c r="H189" s="45"/>
      <c r="I189" s="45"/>
      <c r="J189" s="51"/>
      <c r="K189" s="53">
        <v>6</v>
      </c>
      <c r="L189" s="45">
        <v>130.41</v>
      </c>
      <c r="M189" s="45"/>
      <c r="N189" s="45"/>
      <c r="O189" s="45"/>
      <c r="P189" s="45"/>
      <c r="Q189" s="45"/>
      <c r="R189" s="51"/>
      <c r="S189" s="53">
        <v>6</v>
      </c>
      <c r="T189" s="45">
        <v>134.77000000000001</v>
      </c>
      <c r="U189" s="45"/>
      <c r="V189" s="45"/>
      <c r="W189" s="45"/>
      <c r="X189" s="45"/>
      <c r="Y189" s="45"/>
      <c r="Z189" s="51"/>
      <c r="AA189" s="53">
        <v>6</v>
      </c>
      <c r="AB189" s="45">
        <v>133.44</v>
      </c>
      <c r="AC189" s="45"/>
      <c r="AD189" s="45"/>
      <c r="AE189" s="45"/>
      <c r="AF189" s="45"/>
      <c r="AG189" s="45"/>
      <c r="AH189" s="51"/>
      <c r="AI189" s="53">
        <v>6</v>
      </c>
      <c r="AJ189" s="45">
        <v>132.44999999999999</v>
      </c>
      <c r="AK189" s="45"/>
      <c r="AL189" s="45"/>
      <c r="AM189" s="45"/>
      <c r="AN189" s="45"/>
      <c r="AO189" s="45"/>
      <c r="AP189" s="51"/>
    </row>
    <row r="190" spans="1:42" ht="21" customHeight="1" thickTop="1" thickBot="1" x14ac:dyDescent="0.35">
      <c r="A190" s="63"/>
      <c r="B190" s="78"/>
      <c r="C190" s="53">
        <v>7</v>
      </c>
      <c r="D190" s="45">
        <v>128.13999999999999</v>
      </c>
      <c r="E190" s="45"/>
      <c r="F190" s="45"/>
      <c r="G190" s="45"/>
      <c r="H190" s="45"/>
      <c r="I190" s="45"/>
      <c r="J190" s="51"/>
      <c r="K190" s="53">
        <v>7</v>
      </c>
      <c r="L190" s="45">
        <v>131.32</v>
      </c>
      <c r="M190" s="45"/>
      <c r="N190" s="45"/>
      <c r="O190" s="45"/>
      <c r="P190" s="45"/>
      <c r="Q190" s="45"/>
      <c r="R190" s="51"/>
      <c r="S190" s="53">
        <v>7</v>
      </c>
      <c r="T190" s="45">
        <v>133.30000000000001</v>
      </c>
      <c r="U190" s="45"/>
      <c r="V190" s="45"/>
      <c r="W190" s="45"/>
      <c r="X190" s="45"/>
      <c r="Y190" s="45"/>
      <c r="Z190" s="51"/>
      <c r="AA190" s="53">
        <v>7</v>
      </c>
      <c r="AB190" s="45">
        <v>131.30000000000001</v>
      </c>
      <c r="AC190" s="45"/>
      <c r="AD190" s="45"/>
      <c r="AE190" s="45"/>
      <c r="AF190" s="45"/>
      <c r="AG190" s="45"/>
      <c r="AH190" s="51"/>
      <c r="AI190" s="53">
        <v>7</v>
      </c>
      <c r="AJ190" s="45">
        <v>130.83000000000001</v>
      </c>
      <c r="AK190" s="45"/>
      <c r="AL190" s="45"/>
      <c r="AM190" s="45"/>
      <c r="AN190" s="45"/>
      <c r="AO190" s="45"/>
      <c r="AP190" s="51"/>
    </row>
    <row r="191" spans="1:42" ht="21" customHeight="1" thickTop="1" thickBot="1" x14ac:dyDescent="0.35">
      <c r="A191" s="63"/>
      <c r="B191" s="78"/>
      <c r="C191" s="53">
        <v>8</v>
      </c>
      <c r="D191" s="45">
        <v>128.58000000000001</v>
      </c>
      <c r="E191" s="45"/>
      <c r="F191" s="45"/>
      <c r="G191" s="45"/>
      <c r="H191" s="45"/>
      <c r="I191" s="45"/>
      <c r="J191" s="51"/>
      <c r="K191" s="53">
        <v>8</v>
      </c>
      <c r="L191" s="45">
        <v>129</v>
      </c>
      <c r="M191" s="45"/>
      <c r="N191" s="45"/>
      <c r="O191" s="45"/>
      <c r="P191" s="45"/>
      <c r="Q191" s="45"/>
      <c r="R191" s="51"/>
      <c r="S191" s="53">
        <v>8</v>
      </c>
      <c r="T191" s="45">
        <v>133.19999999999999</v>
      </c>
      <c r="U191" s="45"/>
      <c r="V191" s="45"/>
      <c r="W191" s="45"/>
      <c r="X191" s="45"/>
      <c r="Y191" s="45"/>
      <c r="Z191" s="51"/>
      <c r="AA191" s="53">
        <v>8</v>
      </c>
      <c r="AB191" s="45">
        <v>132.65</v>
      </c>
      <c r="AC191" s="45"/>
      <c r="AD191" s="45"/>
      <c r="AE191" s="45"/>
      <c r="AF191" s="45"/>
      <c r="AG191" s="45"/>
      <c r="AH191" s="51"/>
      <c r="AI191" s="53">
        <v>8</v>
      </c>
      <c r="AJ191" s="45">
        <v>132.06</v>
      </c>
      <c r="AK191" s="45"/>
      <c r="AL191" s="45"/>
      <c r="AM191" s="45"/>
      <c r="AN191" s="45"/>
      <c r="AO191" s="45"/>
      <c r="AP191" s="51"/>
    </row>
    <row r="192" spans="1:42" ht="21" customHeight="1" thickTop="1" thickBot="1" x14ac:dyDescent="0.35">
      <c r="A192" s="63"/>
      <c r="B192" s="78"/>
      <c r="C192" s="53">
        <v>9</v>
      </c>
      <c r="D192" s="45">
        <v>130.13999999999999</v>
      </c>
      <c r="E192" s="45"/>
      <c r="F192" s="45"/>
      <c r="G192" s="45"/>
      <c r="H192" s="45"/>
      <c r="I192" s="45"/>
      <c r="J192" s="51"/>
      <c r="K192" s="53">
        <v>9</v>
      </c>
      <c r="L192" s="45">
        <v>128.83000000000001</v>
      </c>
      <c r="M192" s="45"/>
      <c r="N192" s="45"/>
      <c r="O192" s="45"/>
      <c r="P192" s="45"/>
      <c r="Q192" s="45"/>
      <c r="R192" s="51"/>
      <c r="S192" s="53">
        <v>9</v>
      </c>
      <c r="T192" s="45">
        <v>134.77000000000001</v>
      </c>
      <c r="U192" s="45"/>
      <c r="V192" s="45"/>
      <c r="W192" s="45"/>
      <c r="X192" s="45"/>
      <c r="Y192" s="45"/>
      <c r="Z192" s="51"/>
      <c r="AA192" s="53">
        <v>9</v>
      </c>
      <c r="AB192" s="45">
        <v>131.62</v>
      </c>
      <c r="AC192" s="45"/>
      <c r="AD192" s="45"/>
      <c r="AE192" s="45"/>
      <c r="AF192" s="45"/>
      <c r="AG192" s="45"/>
      <c r="AH192" s="51"/>
      <c r="AI192" s="53">
        <v>9</v>
      </c>
      <c r="AJ192" s="45">
        <v>131.81</v>
      </c>
      <c r="AK192" s="45"/>
      <c r="AL192" s="45"/>
      <c r="AM192" s="45"/>
      <c r="AN192" s="45"/>
      <c r="AO192" s="45"/>
      <c r="AP192" s="51"/>
    </row>
    <row r="193" spans="1:42" ht="21" customHeight="1" thickTop="1" thickBot="1" x14ac:dyDescent="0.35">
      <c r="A193" s="63"/>
      <c r="B193" s="78"/>
      <c r="C193" s="53">
        <v>10</v>
      </c>
      <c r="D193" s="45">
        <v>129.59</v>
      </c>
      <c r="E193" s="45"/>
      <c r="F193" s="45"/>
      <c r="G193" s="45"/>
      <c r="H193" s="45"/>
      <c r="I193" s="45"/>
      <c r="J193" s="51"/>
      <c r="K193" s="53">
        <v>10</v>
      </c>
      <c r="L193" s="45">
        <v>129.59</v>
      </c>
      <c r="M193" s="45"/>
      <c r="N193" s="45"/>
      <c r="O193" s="45"/>
      <c r="P193" s="45"/>
      <c r="Q193" s="45"/>
      <c r="R193" s="51"/>
      <c r="S193" s="53">
        <v>10</v>
      </c>
      <c r="T193" s="45">
        <v>133.93</v>
      </c>
      <c r="U193" s="45"/>
      <c r="V193" s="45"/>
      <c r="W193" s="45"/>
      <c r="X193" s="45"/>
      <c r="Y193" s="45"/>
      <c r="Z193" s="51"/>
      <c r="AA193" s="53">
        <v>10</v>
      </c>
      <c r="AB193" s="45">
        <v>131.85</v>
      </c>
      <c r="AC193" s="45"/>
      <c r="AD193" s="45"/>
      <c r="AE193" s="45"/>
      <c r="AF193" s="45"/>
      <c r="AG193" s="45"/>
      <c r="AH193" s="51"/>
      <c r="AI193" s="53">
        <v>10</v>
      </c>
      <c r="AJ193" s="45">
        <v>132.01</v>
      </c>
      <c r="AK193" s="45"/>
      <c r="AL193" s="45"/>
      <c r="AM193" s="45"/>
      <c r="AN193" s="45"/>
      <c r="AO193" s="45"/>
      <c r="AP193" s="51"/>
    </row>
    <row r="194" spans="1:42" ht="21" customHeight="1" thickTop="1" thickBot="1" x14ac:dyDescent="0.35">
      <c r="A194" s="63"/>
      <c r="B194" s="78"/>
      <c r="C194" s="53"/>
      <c r="D194" s="45"/>
      <c r="E194" s="45"/>
      <c r="F194" s="45"/>
      <c r="G194" s="45"/>
      <c r="H194" s="45"/>
      <c r="I194" s="45"/>
      <c r="J194" s="51"/>
      <c r="K194" s="53"/>
      <c r="L194" s="45"/>
      <c r="M194" s="45"/>
      <c r="N194" s="45"/>
      <c r="O194" s="45"/>
      <c r="P194" s="45"/>
      <c r="Q194" s="45"/>
      <c r="R194" s="51"/>
      <c r="S194" s="53"/>
      <c r="T194" s="45"/>
      <c r="U194" s="45"/>
      <c r="V194" s="45"/>
      <c r="W194" s="45"/>
      <c r="X194" s="45"/>
      <c r="Y194" s="45"/>
      <c r="Z194" s="51"/>
      <c r="AA194" s="53"/>
      <c r="AB194" s="45"/>
      <c r="AC194" s="45"/>
      <c r="AD194" s="45"/>
      <c r="AE194" s="45"/>
      <c r="AF194" s="45"/>
      <c r="AG194" s="45"/>
      <c r="AH194" s="51"/>
      <c r="AI194" s="53"/>
      <c r="AJ194" s="45"/>
      <c r="AK194" s="45"/>
      <c r="AL194" s="45"/>
      <c r="AM194" s="45"/>
      <c r="AN194" s="45"/>
      <c r="AO194" s="45"/>
      <c r="AP194" s="51"/>
    </row>
    <row r="195" spans="1:42" ht="41" customHeight="1" thickTop="1" thickBot="1" x14ac:dyDescent="0.35">
      <c r="A195" s="63"/>
      <c r="B195" s="78"/>
      <c r="C195" s="54" t="s">
        <v>16</v>
      </c>
      <c r="D195" s="49">
        <f>MIN(D184:D193)</f>
        <v>128.13999999999999</v>
      </c>
      <c r="E195" s="45"/>
      <c r="F195" s="55" t="s">
        <v>17</v>
      </c>
      <c r="G195" s="49" t="s">
        <v>18</v>
      </c>
      <c r="H195" s="49" t="s">
        <v>19</v>
      </c>
      <c r="I195" s="45"/>
      <c r="J195" s="51"/>
      <c r="K195" s="54" t="s">
        <v>16</v>
      </c>
      <c r="L195" s="49">
        <f>MIN(L184:L193)</f>
        <v>128.83000000000001</v>
      </c>
      <c r="M195" s="45"/>
      <c r="N195" s="55" t="s">
        <v>17</v>
      </c>
      <c r="O195" s="49" t="s">
        <v>18</v>
      </c>
      <c r="P195" s="49" t="s">
        <v>19</v>
      </c>
      <c r="Q195" s="45"/>
      <c r="R195" s="51"/>
      <c r="S195" s="54" t="s">
        <v>16</v>
      </c>
      <c r="T195" s="49">
        <f>MIN(T184:T193)</f>
        <v>130.77000000000001</v>
      </c>
      <c r="U195" s="45"/>
      <c r="V195" s="55" t="s">
        <v>17</v>
      </c>
      <c r="W195" s="49" t="s">
        <v>18</v>
      </c>
      <c r="X195" s="49" t="s">
        <v>19</v>
      </c>
      <c r="Y195" s="45"/>
      <c r="Z195" s="51"/>
      <c r="AA195" s="54" t="s">
        <v>16</v>
      </c>
      <c r="AB195" s="49">
        <f>MIN(AB184:AB193)</f>
        <v>130.13</v>
      </c>
      <c r="AC195" s="45"/>
      <c r="AD195" s="55" t="s">
        <v>17</v>
      </c>
      <c r="AE195" s="49" t="s">
        <v>18</v>
      </c>
      <c r="AF195" s="49" t="s">
        <v>19</v>
      </c>
      <c r="AG195" s="45"/>
      <c r="AH195" s="51"/>
      <c r="AI195" s="54" t="s">
        <v>16</v>
      </c>
      <c r="AJ195" s="49">
        <f>MIN(AJ184:AJ193)</f>
        <v>130.83000000000001</v>
      </c>
      <c r="AK195" s="45"/>
      <c r="AL195" s="55" t="s">
        <v>17</v>
      </c>
      <c r="AM195" s="49" t="s">
        <v>18</v>
      </c>
      <c r="AN195" s="49" t="s">
        <v>19</v>
      </c>
      <c r="AO195" s="45"/>
      <c r="AP195" s="51"/>
    </row>
    <row r="196" spans="1:42" ht="21" customHeight="1" thickTop="1" thickBot="1" x14ac:dyDescent="0.35">
      <c r="A196" s="63"/>
      <c r="B196" s="78"/>
      <c r="C196" s="54" t="s">
        <v>20</v>
      </c>
      <c r="D196" s="48">
        <f>AVERAGE(D184:D193)</f>
        <v>129.50700000000001</v>
      </c>
      <c r="E196" s="47"/>
      <c r="F196" s="48">
        <f>_xlfn.STDEV.S(D184:D193) / AVERAGE(D184:D193) * 100%</f>
        <v>7.4088872782643311E-3</v>
      </c>
      <c r="G196" s="48">
        <f t="array" ref="G196">MIN((D184:D193 - MIN(D184:D193,L184:L193,T184:T193,AB184:AB193,AJ184:AJ193))/MIN(D184:D193,L184:L193,T184:T193,AB184:AB193,AJ184:AJ193)*100%)</f>
        <v>0</v>
      </c>
      <c r="H196" s="48">
        <f t="array" ref="H196">AVERAGE((D184:D193 - MIN(D184:D193,L184:L193,T184:T193,AB184:AB193,AJ184:AJ193))/MIN(D184:D193,L184:L193,T184:T193,AB184:AB193,AJ184:AJ193)*100%)</f>
        <v>1.066801935383185E-2</v>
      </c>
      <c r="I196" s="45"/>
      <c r="J196" s="51"/>
      <c r="K196" s="54" t="s">
        <v>20</v>
      </c>
      <c r="L196" s="48">
        <f>AVERAGE(L184:L193)</f>
        <v>130.33199999999997</v>
      </c>
      <c r="M196" s="47"/>
      <c r="N196" s="48">
        <f>_xlfn.STDEV.S(L184:L193) / AVERAGE(L184:L193) * 100%</f>
        <v>8.3414304189196372E-3</v>
      </c>
      <c r="O196" s="48">
        <f t="array" ref="O196">MIN((L184:L193 - MIN(D184:D193,L184:L193,T184:T193,AB184:AB193,AJ184:AJ193))/MIN(D184:D193,L184:L193,T184:T193,AB184:AB193,AJ184:AJ193)*100%)</f>
        <v>5.3847354456065723E-3</v>
      </c>
      <c r="P196" s="48">
        <f t="array" ref="P196">AVERAGE((L184:L193 - MIN(D184:D193,L184:L193,T184:T193,AB184:AB193,AJ184:AJ193))/MIN(D184:D193,L184:L193,T184:T193,AB184:AB193,AJ184:AJ193)*100%)</f>
        <v>1.7106289995317749E-2</v>
      </c>
      <c r="Q196" s="44"/>
      <c r="R196" s="51"/>
      <c r="S196" s="54" t="s">
        <v>20</v>
      </c>
      <c r="T196" s="48">
        <f>AVERAGE(T184:T193)</f>
        <v>133.16300000000001</v>
      </c>
      <c r="U196" s="47"/>
      <c r="V196" s="48">
        <f>_xlfn.STDEV.S(T184:T193) / AVERAGE(T184:T193) * 100%</f>
        <v>9.34602024010079E-3</v>
      </c>
      <c r="W196" s="48">
        <f t="array" ref="W196">MIN((T184:T193 - MIN(D184:D193,L184:L193,T184:T193,AB184:AB193,AJ184:AJ193))/MIN(D184:D193,L184:L193,T184:T193,AB184:AB193,AJ184:AJ193)*100%)</f>
        <v>2.0524426408615765E-2</v>
      </c>
      <c r="X196" s="48">
        <f t="array" ref="X196">AVERAGE((T184:T193 - MIN(D184:D193,L184:L193,T184:T193,AB184:AB193,AJ184:AJ193))/MIN(D184:D193,L184:L193,T184:T193,AB184:AB193,AJ184:AJ193)*100%)</f>
        <v>3.9199313251131705E-2</v>
      </c>
      <c r="Y196" s="44"/>
      <c r="Z196" s="51"/>
      <c r="AA196" s="54" t="s">
        <v>20</v>
      </c>
      <c r="AB196" s="48">
        <f>AVERAGE(AB184:AB193)</f>
        <v>132.24299999999999</v>
      </c>
      <c r="AC196" s="47"/>
      <c r="AD196" s="48">
        <f>_xlfn.STDEV.S(AB184:AB193) / AVERAGE(AB184:AB193) * 100%</f>
        <v>8.6079593028898539E-3</v>
      </c>
      <c r="AE196" s="48">
        <f t="array" ref="AE196">MIN((AB184:AB193 - MIN(D184:D193,L184:L193,T184:T193,AB184:AB193,AJ184:AJ193))/MIN(D184:D193,L184:L193,T184:T193,AB184:AB193,AJ184:AJ193)*100%)</f>
        <v>1.5529889183705394E-2</v>
      </c>
      <c r="AF196" s="48">
        <f t="array" ref="AF196">AVERAGE((AB184:AB193 - MIN(D184:D193,L184:L193,T184:T193,AB184:AB193,AJ184:AJ193))/MIN(D184:D193,L184:L193,T184:T193,AB184:AB193,AJ184:AJ193)*100%)</f>
        <v>3.2019665990323222E-2</v>
      </c>
      <c r="AG196" s="44"/>
      <c r="AH196" s="51"/>
      <c r="AI196" s="54" t="s">
        <v>20</v>
      </c>
      <c r="AJ196" s="48">
        <f>AVERAGE(AJ184:AJ193)</f>
        <v>131.59399999999999</v>
      </c>
      <c r="AK196" s="47"/>
      <c r="AL196" s="48">
        <f>_xlfn.STDEV.S(AJ184:AJ193) / AVERAGE(AJ184:AJ193) * 100%</f>
        <v>4.3253823307301802E-3</v>
      </c>
      <c r="AM196" s="48">
        <f t="array" ref="AM196">MIN((AJ184:AJ193 - MIN(D184:D193,L184:L193,T184:T193,AB184:AB193,AJ184:AJ193))/MIN(D184:D193,L184:L193,T184:T193,AB184:AB193,AJ184:AJ193)*100%)</f>
        <v>2.0992664273451121E-2</v>
      </c>
      <c r="AN196" s="48">
        <f t="array" ref="AN196">AVERAGE((AJ184:AJ193 - MIN(D184:D193,L184:L193,T184:T193,AB184:AB193,AJ184:AJ193))/MIN(D184:D193,L184:L193,T184:T193,AB184:AB193,AJ184:AJ193)*100%)</f>
        <v>2.6954893085687638E-2</v>
      </c>
      <c r="AO196" s="44"/>
      <c r="AP196" s="51"/>
    </row>
    <row r="197" spans="1:42" ht="21" customHeight="1" thickTop="1" thickBot="1" x14ac:dyDescent="0.35">
      <c r="A197" s="63"/>
      <c r="B197" s="79"/>
      <c r="C197" s="53"/>
      <c r="D197" s="44"/>
      <c r="E197" s="44"/>
      <c r="F197" s="44"/>
      <c r="G197" s="44"/>
      <c r="H197" s="44"/>
      <c r="I197" s="44"/>
      <c r="J197" s="51"/>
      <c r="K197" s="53"/>
      <c r="L197" s="44"/>
      <c r="M197" s="44"/>
      <c r="N197" s="44"/>
      <c r="O197" s="44"/>
      <c r="P197" s="44"/>
      <c r="Q197" s="44"/>
      <c r="R197" s="51"/>
      <c r="S197" s="53"/>
      <c r="T197" s="44"/>
      <c r="U197" s="44"/>
      <c r="V197" s="44"/>
      <c r="W197" s="44"/>
      <c r="X197" s="44"/>
      <c r="Y197" s="44"/>
      <c r="Z197" s="51"/>
      <c r="AA197" s="53"/>
      <c r="AB197" s="44"/>
      <c r="AC197" s="44"/>
      <c r="AD197" s="44"/>
      <c r="AE197" s="44"/>
      <c r="AF197" s="44"/>
      <c r="AG197" s="44"/>
      <c r="AH197" s="51"/>
      <c r="AI197" s="53"/>
      <c r="AJ197" s="44"/>
      <c r="AK197" s="44"/>
      <c r="AL197" s="44"/>
      <c r="AM197" s="44"/>
      <c r="AN197" s="44"/>
      <c r="AO197" s="44"/>
      <c r="AP197" s="51"/>
    </row>
    <row r="198" spans="1:42" ht="21" customHeight="1" thickTop="1" thickBot="1" x14ac:dyDescent="0.35">
      <c r="A198" s="63"/>
      <c r="B198" s="77" t="s">
        <v>40</v>
      </c>
      <c r="C198" s="59" t="s">
        <v>8</v>
      </c>
      <c r="D198" s="46" t="s">
        <v>9</v>
      </c>
      <c r="E198" s="46" t="s">
        <v>10</v>
      </c>
      <c r="F198" s="46" t="s">
        <v>11</v>
      </c>
      <c r="G198" s="46" t="s">
        <v>12</v>
      </c>
      <c r="H198" s="46" t="s">
        <v>13</v>
      </c>
      <c r="I198" s="46" t="s">
        <v>14</v>
      </c>
      <c r="J198" s="60" t="s">
        <v>15</v>
      </c>
      <c r="K198" s="59" t="s">
        <v>8</v>
      </c>
      <c r="L198" s="46" t="s">
        <v>9</v>
      </c>
      <c r="M198" s="46" t="s">
        <v>10</v>
      </c>
      <c r="N198" s="46" t="s">
        <v>11</v>
      </c>
      <c r="O198" s="46" t="s">
        <v>12</v>
      </c>
      <c r="P198" s="46" t="s">
        <v>13</v>
      </c>
      <c r="Q198" s="46" t="s">
        <v>14</v>
      </c>
      <c r="R198" s="60" t="s">
        <v>15</v>
      </c>
      <c r="S198" s="59" t="s">
        <v>8</v>
      </c>
      <c r="T198" s="46" t="s">
        <v>9</v>
      </c>
      <c r="U198" s="46" t="s">
        <v>10</v>
      </c>
      <c r="V198" s="46" t="s">
        <v>11</v>
      </c>
      <c r="W198" s="46" t="s">
        <v>12</v>
      </c>
      <c r="X198" s="46" t="s">
        <v>13</v>
      </c>
      <c r="Y198" s="46" t="s">
        <v>14</v>
      </c>
      <c r="Z198" s="60" t="s">
        <v>15</v>
      </c>
      <c r="AA198" s="59" t="s">
        <v>8</v>
      </c>
      <c r="AB198" s="46" t="s">
        <v>9</v>
      </c>
      <c r="AC198" s="46" t="s">
        <v>10</v>
      </c>
      <c r="AD198" s="46" t="s">
        <v>11</v>
      </c>
      <c r="AE198" s="46" t="s">
        <v>12</v>
      </c>
      <c r="AF198" s="46" t="s">
        <v>13</v>
      </c>
      <c r="AG198" s="46" t="s">
        <v>14</v>
      </c>
      <c r="AH198" s="60" t="s">
        <v>15</v>
      </c>
      <c r="AI198" s="59" t="s">
        <v>8</v>
      </c>
      <c r="AJ198" s="46" t="s">
        <v>9</v>
      </c>
      <c r="AK198" s="46" t="s">
        <v>10</v>
      </c>
      <c r="AL198" s="46" t="s">
        <v>11</v>
      </c>
      <c r="AM198" s="46" t="s">
        <v>12</v>
      </c>
      <c r="AN198" s="46" t="s">
        <v>13</v>
      </c>
      <c r="AO198" s="46" t="s">
        <v>14</v>
      </c>
      <c r="AP198" s="60" t="s">
        <v>15</v>
      </c>
    </row>
    <row r="199" spans="1:42" ht="21" customHeight="1" thickTop="1" thickBot="1" x14ac:dyDescent="0.35">
      <c r="A199" s="63"/>
      <c r="B199" s="78"/>
      <c r="C199" s="52">
        <v>1</v>
      </c>
      <c r="D199" s="44">
        <v>137.88999999999999</v>
      </c>
      <c r="E199" s="44"/>
      <c r="F199" s="44"/>
      <c r="G199" s="44"/>
      <c r="H199" s="44"/>
      <c r="I199" s="44"/>
      <c r="J199" s="51"/>
      <c r="K199" s="52">
        <v>1</v>
      </c>
      <c r="L199" s="44">
        <v>138.55000000000001</v>
      </c>
      <c r="M199" s="44"/>
      <c r="N199" s="44"/>
      <c r="O199" s="44"/>
      <c r="P199" s="44"/>
      <c r="Q199" s="44"/>
      <c r="R199" s="51"/>
      <c r="S199" s="52">
        <v>1</v>
      </c>
      <c r="T199" s="44">
        <v>139.32</v>
      </c>
      <c r="U199" s="44"/>
      <c r="V199" s="44"/>
      <c r="W199" s="44"/>
      <c r="X199" s="44"/>
      <c r="Y199" s="44"/>
      <c r="Z199" s="51"/>
      <c r="AA199" s="52">
        <v>1</v>
      </c>
      <c r="AB199" s="44">
        <v>137.68</v>
      </c>
      <c r="AC199" s="44"/>
      <c r="AD199" s="44"/>
      <c r="AE199" s="44"/>
      <c r="AF199" s="44"/>
      <c r="AG199" s="44"/>
      <c r="AH199" s="51"/>
      <c r="AI199" s="52">
        <v>1</v>
      </c>
      <c r="AJ199" s="44">
        <v>138.05000000000001</v>
      </c>
      <c r="AK199" s="44"/>
      <c r="AL199" s="44"/>
      <c r="AM199" s="44"/>
      <c r="AN199" s="44"/>
      <c r="AO199" s="44"/>
      <c r="AP199" s="51"/>
    </row>
    <row r="200" spans="1:42" ht="21" customHeight="1" thickTop="1" thickBot="1" x14ac:dyDescent="0.35">
      <c r="A200" s="63"/>
      <c r="B200" s="78"/>
      <c r="C200" s="53">
        <v>2</v>
      </c>
      <c r="D200" s="45">
        <v>136.69999999999999</v>
      </c>
      <c r="E200" s="45"/>
      <c r="F200" s="45"/>
      <c r="G200" s="45"/>
      <c r="H200" s="45"/>
      <c r="I200" s="45"/>
      <c r="J200" s="51"/>
      <c r="K200" s="53">
        <v>2</v>
      </c>
      <c r="L200" s="45">
        <v>137.11000000000001</v>
      </c>
      <c r="M200" s="45"/>
      <c r="N200" s="45"/>
      <c r="O200" s="45"/>
      <c r="P200" s="45"/>
      <c r="Q200" s="45"/>
      <c r="R200" s="51"/>
      <c r="S200" s="53">
        <v>2</v>
      </c>
      <c r="T200" s="45">
        <v>138.75</v>
      </c>
      <c r="U200" s="45"/>
      <c r="V200" s="45"/>
      <c r="W200" s="45"/>
      <c r="X200" s="45"/>
      <c r="Y200" s="45"/>
      <c r="Z200" s="51"/>
      <c r="AA200" s="53">
        <v>2</v>
      </c>
      <c r="AB200" s="45">
        <v>137.63</v>
      </c>
      <c r="AC200" s="45"/>
      <c r="AD200" s="45"/>
      <c r="AE200" s="45"/>
      <c r="AF200" s="45"/>
      <c r="AG200" s="45"/>
      <c r="AH200" s="51"/>
      <c r="AI200" s="53">
        <v>2</v>
      </c>
      <c r="AJ200" s="45">
        <v>137.38999999999999</v>
      </c>
      <c r="AK200" s="45"/>
      <c r="AL200" s="45"/>
      <c r="AM200" s="45"/>
      <c r="AN200" s="45"/>
      <c r="AO200" s="45"/>
      <c r="AP200" s="51"/>
    </row>
    <row r="201" spans="1:42" ht="21" customHeight="1" thickTop="1" thickBot="1" x14ac:dyDescent="0.35">
      <c r="A201" s="63"/>
      <c r="B201" s="78"/>
      <c r="C201" s="53">
        <v>3</v>
      </c>
      <c r="D201" s="45">
        <v>137.9</v>
      </c>
      <c r="E201" s="45"/>
      <c r="F201" s="45"/>
      <c r="G201" s="44"/>
      <c r="H201" s="44"/>
      <c r="I201" s="44"/>
      <c r="J201" s="51"/>
      <c r="K201" s="53">
        <v>3</v>
      </c>
      <c r="L201" s="45">
        <v>136.91</v>
      </c>
      <c r="M201" s="45"/>
      <c r="N201" s="45"/>
      <c r="O201" s="44"/>
      <c r="P201" s="44"/>
      <c r="Q201" s="44"/>
      <c r="R201" s="51"/>
      <c r="S201" s="53">
        <v>3</v>
      </c>
      <c r="T201" s="45">
        <v>138.33000000000001</v>
      </c>
      <c r="U201" s="45"/>
      <c r="V201" s="45"/>
      <c r="W201" s="44"/>
      <c r="X201" s="44"/>
      <c r="Y201" s="44"/>
      <c r="Z201" s="51"/>
      <c r="AA201" s="53">
        <v>3</v>
      </c>
      <c r="AB201" s="45">
        <v>136.91</v>
      </c>
      <c r="AC201" s="45"/>
      <c r="AD201" s="45"/>
      <c r="AE201" s="44"/>
      <c r="AF201" s="44"/>
      <c r="AG201" s="44"/>
      <c r="AH201" s="51"/>
      <c r="AI201" s="53">
        <v>3</v>
      </c>
      <c r="AJ201" s="45">
        <v>136.93</v>
      </c>
      <c r="AK201" s="45"/>
      <c r="AL201" s="45"/>
      <c r="AM201" s="44"/>
      <c r="AN201" s="44"/>
      <c r="AO201" s="44"/>
      <c r="AP201" s="51"/>
    </row>
    <row r="202" spans="1:42" ht="21" customHeight="1" thickTop="1" thickBot="1" x14ac:dyDescent="0.35">
      <c r="A202" s="63"/>
      <c r="B202" s="78"/>
      <c r="C202" s="53">
        <v>4</v>
      </c>
      <c r="D202" s="45">
        <v>137.68</v>
      </c>
      <c r="E202" s="45"/>
      <c r="F202" s="45"/>
      <c r="G202" s="45"/>
      <c r="H202" s="45"/>
      <c r="I202" s="45"/>
      <c r="J202" s="51"/>
      <c r="K202" s="53">
        <v>4</v>
      </c>
      <c r="L202" s="45">
        <v>137.16999999999999</v>
      </c>
      <c r="M202" s="45"/>
      <c r="N202" s="45"/>
      <c r="O202" s="45"/>
      <c r="P202" s="45"/>
      <c r="Q202" s="45"/>
      <c r="R202" s="51"/>
      <c r="S202" s="53">
        <v>4</v>
      </c>
      <c r="T202" s="45">
        <v>141.86000000000001</v>
      </c>
      <c r="U202" s="45"/>
      <c r="V202" s="45"/>
      <c r="W202" s="45"/>
      <c r="X202" s="45"/>
      <c r="Y202" s="45"/>
      <c r="Z202" s="51"/>
      <c r="AA202" s="53">
        <v>4</v>
      </c>
      <c r="AB202" s="45">
        <v>137.83000000000001</v>
      </c>
      <c r="AC202" s="45"/>
      <c r="AD202" s="45"/>
      <c r="AE202" s="45"/>
      <c r="AF202" s="45"/>
      <c r="AG202" s="45"/>
      <c r="AH202" s="51"/>
      <c r="AI202" s="53">
        <v>4</v>
      </c>
      <c r="AJ202" s="45">
        <v>138.30000000000001</v>
      </c>
      <c r="AK202" s="45"/>
      <c r="AL202" s="45"/>
      <c r="AM202" s="45"/>
      <c r="AN202" s="45"/>
      <c r="AO202" s="45"/>
      <c r="AP202" s="51"/>
    </row>
    <row r="203" spans="1:42" ht="21" customHeight="1" thickTop="1" thickBot="1" x14ac:dyDescent="0.35">
      <c r="A203" s="63"/>
      <c r="B203" s="78"/>
      <c r="C203" s="53">
        <v>5</v>
      </c>
      <c r="D203" s="45">
        <v>136.44999999999999</v>
      </c>
      <c r="E203" s="45"/>
      <c r="F203" s="45"/>
      <c r="G203" s="45"/>
      <c r="H203" s="45"/>
      <c r="I203" s="45"/>
      <c r="J203" s="51"/>
      <c r="K203" s="53">
        <v>5</v>
      </c>
      <c r="L203" s="45">
        <v>137.35</v>
      </c>
      <c r="M203" s="45"/>
      <c r="N203" s="45"/>
      <c r="O203" s="45"/>
      <c r="P203" s="45"/>
      <c r="Q203" s="45"/>
      <c r="R203" s="51"/>
      <c r="S203" s="53">
        <v>5</v>
      </c>
      <c r="T203" s="45">
        <v>138.1</v>
      </c>
      <c r="U203" s="45"/>
      <c r="V203" s="45"/>
      <c r="W203" s="45"/>
      <c r="X203" s="45"/>
      <c r="Y203" s="45"/>
      <c r="Z203" s="51"/>
      <c r="AA203" s="53">
        <v>5</v>
      </c>
      <c r="AB203" s="45">
        <v>137.68</v>
      </c>
      <c r="AC203" s="45"/>
      <c r="AD203" s="45"/>
      <c r="AE203" s="45"/>
      <c r="AF203" s="45"/>
      <c r="AG203" s="45"/>
      <c r="AH203" s="51"/>
      <c r="AI203" s="53">
        <v>5</v>
      </c>
      <c r="AJ203" s="45">
        <v>137.37</v>
      </c>
      <c r="AK203" s="45"/>
      <c r="AL203" s="45"/>
      <c r="AM203" s="45"/>
      <c r="AN203" s="45"/>
      <c r="AO203" s="45"/>
      <c r="AP203" s="51"/>
    </row>
    <row r="204" spans="1:42" ht="21" customHeight="1" thickTop="1" thickBot="1" x14ac:dyDescent="0.35">
      <c r="A204" s="63"/>
      <c r="B204" s="78"/>
      <c r="C204" s="53">
        <v>6</v>
      </c>
      <c r="D204" s="45">
        <v>135.51</v>
      </c>
      <c r="E204" s="45"/>
      <c r="F204" s="45"/>
      <c r="G204" s="45"/>
      <c r="H204" s="45"/>
      <c r="I204" s="45"/>
      <c r="J204" s="51"/>
      <c r="K204" s="53">
        <v>6</v>
      </c>
      <c r="L204" s="45">
        <v>137.72999999999999</v>
      </c>
      <c r="M204" s="45"/>
      <c r="N204" s="45"/>
      <c r="O204" s="45"/>
      <c r="P204" s="45"/>
      <c r="Q204" s="45"/>
      <c r="R204" s="51"/>
      <c r="S204" s="53">
        <v>6</v>
      </c>
      <c r="T204" s="45">
        <v>139.36000000000001</v>
      </c>
      <c r="U204" s="45"/>
      <c r="V204" s="45"/>
      <c r="W204" s="45"/>
      <c r="X204" s="45"/>
      <c r="Y204" s="45"/>
      <c r="Z204" s="51"/>
      <c r="AA204" s="53">
        <v>6</v>
      </c>
      <c r="AB204" s="45">
        <v>139.63999999999999</v>
      </c>
      <c r="AC204" s="45"/>
      <c r="AD204" s="45"/>
      <c r="AE204" s="45"/>
      <c r="AF204" s="45"/>
      <c r="AG204" s="45"/>
      <c r="AH204" s="51"/>
      <c r="AI204" s="53">
        <v>6</v>
      </c>
      <c r="AJ204" s="45">
        <v>138.1</v>
      </c>
      <c r="AK204" s="45"/>
      <c r="AL204" s="45"/>
      <c r="AM204" s="45"/>
      <c r="AN204" s="45"/>
      <c r="AO204" s="45"/>
      <c r="AP204" s="51"/>
    </row>
    <row r="205" spans="1:42" ht="21" customHeight="1" thickTop="1" thickBot="1" x14ac:dyDescent="0.35">
      <c r="A205" s="63"/>
      <c r="B205" s="78"/>
      <c r="C205" s="53">
        <v>7</v>
      </c>
      <c r="D205" s="45">
        <v>137</v>
      </c>
      <c r="E205" s="45"/>
      <c r="F205" s="45"/>
      <c r="G205" s="45"/>
      <c r="H205" s="45"/>
      <c r="I205" s="45"/>
      <c r="J205" s="51"/>
      <c r="K205" s="53">
        <v>7</v>
      </c>
      <c r="L205" s="45">
        <v>137.72999999999999</v>
      </c>
      <c r="M205" s="45"/>
      <c r="N205" s="45"/>
      <c r="O205" s="45"/>
      <c r="P205" s="45"/>
      <c r="Q205" s="45"/>
      <c r="R205" s="51"/>
      <c r="S205" s="53">
        <v>7</v>
      </c>
      <c r="T205" s="45">
        <v>141.63</v>
      </c>
      <c r="U205" s="45"/>
      <c r="V205" s="45"/>
      <c r="W205" s="45"/>
      <c r="X205" s="45"/>
      <c r="Y205" s="45"/>
      <c r="Z205" s="51"/>
      <c r="AA205" s="53">
        <v>7</v>
      </c>
      <c r="AB205" s="45">
        <v>137.66</v>
      </c>
      <c r="AC205" s="45"/>
      <c r="AD205" s="45"/>
      <c r="AE205" s="45"/>
      <c r="AF205" s="45"/>
      <c r="AG205" s="45"/>
      <c r="AH205" s="51"/>
      <c r="AI205" s="53">
        <v>7</v>
      </c>
      <c r="AJ205" s="45">
        <v>137.15</v>
      </c>
      <c r="AK205" s="45"/>
      <c r="AL205" s="45"/>
      <c r="AM205" s="45"/>
      <c r="AN205" s="45"/>
      <c r="AO205" s="45"/>
      <c r="AP205" s="51"/>
    </row>
    <row r="206" spans="1:42" ht="21" customHeight="1" thickTop="1" thickBot="1" x14ac:dyDescent="0.35">
      <c r="A206" s="63"/>
      <c r="B206" s="78"/>
      <c r="C206" s="53">
        <v>8</v>
      </c>
      <c r="D206" s="45">
        <v>136.83000000000001</v>
      </c>
      <c r="E206" s="45"/>
      <c r="F206" s="45"/>
      <c r="G206" s="45"/>
      <c r="H206" s="45"/>
      <c r="I206" s="45"/>
      <c r="J206" s="51"/>
      <c r="K206" s="53">
        <v>8</v>
      </c>
      <c r="L206" s="45">
        <v>137.72999999999999</v>
      </c>
      <c r="M206" s="45"/>
      <c r="N206" s="45"/>
      <c r="O206" s="45"/>
      <c r="P206" s="45"/>
      <c r="Q206" s="45"/>
      <c r="R206" s="51"/>
      <c r="S206" s="53">
        <v>8</v>
      </c>
      <c r="T206" s="45">
        <v>138.09</v>
      </c>
      <c r="U206" s="45"/>
      <c r="V206" s="45"/>
      <c r="W206" s="45"/>
      <c r="X206" s="45"/>
      <c r="Y206" s="45"/>
      <c r="Z206" s="51"/>
      <c r="AA206" s="53">
        <v>8</v>
      </c>
      <c r="AB206" s="45">
        <v>138.68</v>
      </c>
      <c r="AC206" s="45"/>
      <c r="AD206" s="45"/>
      <c r="AE206" s="45"/>
      <c r="AF206" s="45"/>
      <c r="AG206" s="45"/>
      <c r="AH206" s="51"/>
      <c r="AI206" s="53">
        <v>8</v>
      </c>
      <c r="AJ206" s="45">
        <v>138.33000000000001</v>
      </c>
      <c r="AK206" s="45"/>
      <c r="AL206" s="45"/>
      <c r="AM206" s="45"/>
      <c r="AN206" s="45"/>
      <c r="AO206" s="45"/>
      <c r="AP206" s="51"/>
    </row>
    <row r="207" spans="1:42" ht="21" customHeight="1" thickTop="1" thickBot="1" x14ac:dyDescent="0.35">
      <c r="A207" s="63"/>
      <c r="B207" s="78"/>
      <c r="C207" s="53">
        <v>9</v>
      </c>
      <c r="D207" s="45">
        <v>135.91</v>
      </c>
      <c r="E207" s="45"/>
      <c r="F207" s="45"/>
      <c r="G207" s="45"/>
      <c r="H207" s="45"/>
      <c r="I207" s="45"/>
      <c r="J207" s="51"/>
      <c r="K207" s="53">
        <v>9</v>
      </c>
      <c r="L207" s="45">
        <v>137.84</v>
      </c>
      <c r="M207" s="45"/>
      <c r="N207" s="45"/>
      <c r="O207" s="45"/>
      <c r="P207" s="45"/>
      <c r="Q207" s="45"/>
      <c r="R207" s="51"/>
      <c r="S207" s="53">
        <v>9</v>
      </c>
      <c r="T207" s="45">
        <v>137.72999999999999</v>
      </c>
      <c r="U207" s="45"/>
      <c r="V207" s="45"/>
      <c r="W207" s="45"/>
      <c r="X207" s="45"/>
      <c r="Y207" s="45"/>
      <c r="Z207" s="51"/>
      <c r="AA207" s="53">
        <v>9</v>
      </c>
      <c r="AB207" s="45">
        <v>139.02000000000001</v>
      </c>
      <c r="AC207" s="45"/>
      <c r="AD207" s="45"/>
      <c r="AE207" s="45"/>
      <c r="AF207" s="45"/>
      <c r="AG207" s="45"/>
      <c r="AH207" s="51"/>
      <c r="AI207" s="53">
        <v>9</v>
      </c>
      <c r="AJ207" s="45">
        <v>137.84</v>
      </c>
      <c r="AK207" s="45"/>
      <c r="AL207" s="45"/>
      <c r="AM207" s="45"/>
      <c r="AN207" s="45"/>
      <c r="AO207" s="45"/>
      <c r="AP207" s="51"/>
    </row>
    <row r="208" spans="1:42" ht="21" customHeight="1" thickTop="1" thickBot="1" x14ac:dyDescent="0.35">
      <c r="A208" s="63"/>
      <c r="B208" s="78"/>
      <c r="C208" s="53">
        <v>10</v>
      </c>
      <c r="D208" s="45">
        <v>137.72999999999999</v>
      </c>
      <c r="E208" s="45"/>
      <c r="F208" s="45"/>
      <c r="G208" s="45"/>
      <c r="H208" s="45"/>
      <c r="I208" s="45"/>
      <c r="J208" s="51"/>
      <c r="K208" s="53">
        <v>10</v>
      </c>
      <c r="L208" s="45">
        <v>137.29</v>
      </c>
      <c r="M208" s="45"/>
      <c r="N208" s="45"/>
      <c r="O208" s="45"/>
      <c r="P208" s="45"/>
      <c r="Q208" s="45"/>
      <c r="R208" s="51"/>
      <c r="S208" s="53">
        <v>10</v>
      </c>
      <c r="T208" s="45">
        <v>139.44999999999999</v>
      </c>
      <c r="U208" s="45"/>
      <c r="V208" s="45"/>
      <c r="W208" s="45"/>
      <c r="X208" s="45"/>
      <c r="Y208" s="45"/>
      <c r="Z208" s="51"/>
      <c r="AA208" s="53">
        <v>10</v>
      </c>
      <c r="AB208" s="45">
        <v>137.97999999999999</v>
      </c>
      <c r="AC208" s="45"/>
      <c r="AD208" s="45"/>
      <c r="AE208" s="45"/>
      <c r="AF208" s="45"/>
      <c r="AG208" s="45"/>
      <c r="AH208" s="51"/>
      <c r="AI208" s="53">
        <v>10</v>
      </c>
      <c r="AJ208" s="45">
        <v>137.44999999999999</v>
      </c>
      <c r="AK208" s="45"/>
      <c r="AL208" s="45"/>
      <c r="AM208" s="45"/>
      <c r="AN208" s="45"/>
      <c r="AO208" s="45"/>
      <c r="AP208" s="51"/>
    </row>
    <row r="209" spans="1:42" ht="21" customHeight="1" thickTop="1" thickBot="1" x14ac:dyDescent="0.35">
      <c r="A209" s="63"/>
      <c r="B209" s="78"/>
      <c r="C209" s="53"/>
      <c r="D209" s="45"/>
      <c r="E209" s="45"/>
      <c r="F209" s="45"/>
      <c r="G209" s="45"/>
      <c r="H209" s="45"/>
      <c r="I209" s="45"/>
      <c r="J209" s="51"/>
      <c r="K209" s="53"/>
      <c r="L209" s="45"/>
      <c r="M209" s="45"/>
      <c r="N209" s="45"/>
      <c r="O209" s="45"/>
      <c r="P209" s="45"/>
      <c r="Q209" s="45"/>
      <c r="R209" s="51"/>
      <c r="S209" s="53"/>
      <c r="T209" s="45"/>
      <c r="U209" s="45"/>
      <c r="V209" s="45"/>
      <c r="W209" s="45"/>
      <c r="X209" s="45"/>
      <c r="Y209" s="45"/>
      <c r="Z209" s="51"/>
      <c r="AA209" s="53"/>
      <c r="AB209" s="45"/>
      <c r="AC209" s="45"/>
      <c r="AD209" s="45"/>
      <c r="AE209" s="45"/>
      <c r="AF209" s="45"/>
      <c r="AG209" s="45"/>
      <c r="AH209" s="51"/>
      <c r="AI209" s="53"/>
      <c r="AJ209" s="45"/>
      <c r="AK209" s="45"/>
      <c r="AL209" s="45"/>
      <c r="AM209" s="45"/>
      <c r="AN209" s="45"/>
      <c r="AO209" s="45"/>
      <c r="AP209" s="51"/>
    </row>
    <row r="210" spans="1:42" ht="41" customHeight="1" thickTop="1" thickBot="1" x14ac:dyDescent="0.35">
      <c r="A210" s="63"/>
      <c r="B210" s="78"/>
      <c r="C210" s="54" t="s">
        <v>16</v>
      </c>
      <c r="D210" s="49">
        <f>MIN(D199:D208)</f>
        <v>135.51</v>
      </c>
      <c r="E210" s="45"/>
      <c r="F210" s="55" t="s">
        <v>17</v>
      </c>
      <c r="G210" s="49" t="s">
        <v>18</v>
      </c>
      <c r="H210" s="49" t="s">
        <v>19</v>
      </c>
      <c r="I210" s="45"/>
      <c r="J210" s="51"/>
      <c r="K210" s="54" t="s">
        <v>16</v>
      </c>
      <c r="L210" s="49">
        <f>MIN(L199:L208)</f>
        <v>136.91</v>
      </c>
      <c r="M210" s="45"/>
      <c r="N210" s="55" t="s">
        <v>17</v>
      </c>
      <c r="O210" s="49" t="s">
        <v>18</v>
      </c>
      <c r="P210" s="49" t="s">
        <v>19</v>
      </c>
      <c r="Q210" s="45"/>
      <c r="R210" s="51"/>
      <c r="S210" s="54" t="s">
        <v>16</v>
      </c>
      <c r="T210" s="49">
        <f>MIN(T199:T208)</f>
        <v>137.72999999999999</v>
      </c>
      <c r="U210" s="45"/>
      <c r="V210" s="55" t="s">
        <v>17</v>
      </c>
      <c r="W210" s="49" t="s">
        <v>18</v>
      </c>
      <c r="X210" s="49" t="s">
        <v>19</v>
      </c>
      <c r="Y210" s="45"/>
      <c r="Z210" s="51"/>
      <c r="AA210" s="54" t="s">
        <v>16</v>
      </c>
      <c r="AB210" s="49">
        <f>MIN(AB199:AB208)</f>
        <v>136.91</v>
      </c>
      <c r="AC210" s="45"/>
      <c r="AD210" s="55" t="s">
        <v>17</v>
      </c>
      <c r="AE210" s="49" t="s">
        <v>18</v>
      </c>
      <c r="AF210" s="49" t="s">
        <v>19</v>
      </c>
      <c r="AG210" s="45"/>
      <c r="AH210" s="51"/>
      <c r="AI210" s="54" t="s">
        <v>16</v>
      </c>
      <c r="AJ210" s="49">
        <f>MIN(AJ199:AJ208)</f>
        <v>136.93</v>
      </c>
      <c r="AK210" s="45"/>
      <c r="AL210" s="55" t="s">
        <v>17</v>
      </c>
      <c r="AM210" s="49" t="s">
        <v>18</v>
      </c>
      <c r="AN210" s="49" t="s">
        <v>19</v>
      </c>
      <c r="AO210" s="45"/>
      <c r="AP210" s="51"/>
    </row>
    <row r="211" spans="1:42" ht="21" customHeight="1" thickTop="1" thickBot="1" x14ac:dyDescent="0.35">
      <c r="A211" s="63"/>
      <c r="B211" s="78"/>
      <c r="C211" s="54" t="s">
        <v>20</v>
      </c>
      <c r="D211" s="48">
        <f>AVERAGE(D199:D208)</f>
        <v>136.96</v>
      </c>
      <c r="E211" s="47"/>
      <c r="F211" s="48">
        <f>_xlfn.STDEV.S(D199:D208) / AVERAGE(D199:D208) * 100%</f>
        <v>6.1623716429592013E-3</v>
      </c>
      <c r="G211" s="48">
        <f t="array" ref="G211">MIN((D199:D208 - MIN(D199:D208,L199:L208,T199:T208,AB199:AB208,AJ199:AJ208))/MIN(D199:D208,L199:L208,T199:T208,AB199:AB208,AJ199:AJ208)*100%)</f>
        <v>0</v>
      </c>
      <c r="H211" s="48">
        <f t="array" ref="H211">AVERAGE((D199:D208 - MIN(D199:D208,L199:L208,T199:T208,AB199:AB208,AJ199:AJ208))/MIN(D199:D208,L199:L208,T199:T208,AB199:AB208,AJ199:AJ208)*100%)</f>
        <v>1.0700317319755041E-2</v>
      </c>
      <c r="I211" s="45"/>
      <c r="J211" s="51"/>
      <c r="K211" s="54" t="s">
        <v>20</v>
      </c>
      <c r="L211" s="48">
        <f>AVERAGE(L199:L208)</f>
        <v>137.541</v>
      </c>
      <c r="M211" s="47"/>
      <c r="N211" s="48">
        <f>_xlfn.STDEV.S(L199:L208) / AVERAGE(L199:L208) * 100%</f>
        <v>3.4578200588592351E-3</v>
      </c>
      <c r="O211" s="48">
        <f t="array" ref="O211">MIN((L199:L208 - MIN(D199:D208,L199:L208,T199:T208,AB199:AB208,AJ199:AJ208))/MIN(D199:D208,L199:L208,T199:T208,AB199:AB208,AJ199:AJ208)*100%)</f>
        <v>1.0331340860453146E-2</v>
      </c>
      <c r="P211" s="48">
        <f t="array" ref="P211">AVERAGE((L199:L208 - MIN(D199:D208,L199:L208,T199:T208,AB199:AB208,AJ199:AJ208))/MIN(D199:D208,L199:L208,T199:T208,AB199:AB208,AJ199:AJ208)*100%)</f>
        <v>1.4987823776843084E-2</v>
      </c>
      <c r="Q211" s="44"/>
      <c r="R211" s="51"/>
      <c r="S211" s="54" t="s">
        <v>20</v>
      </c>
      <c r="T211" s="48">
        <f>AVERAGE(T199:T208)</f>
        <v>139.262</v>
      </c>
      <c r="U211" s="47"/>
      <c r="V211" s="48">
        <f>_xlfn.STDEV.S(T199:T208) / AVERAGE(T199:T208) * 100%</f>
        <v>1.032485186381925E-2</v>
      </c>
      <c r="W211" s="48">
        <f t="array" ref="W211">MIN((T199:T208 - MIN(D199:D208,L199:L208,T199:T208,AB199:AB208,AJ199:AJ208))/MIN(D199:D208,L199:L208,T199:T208,AB199:AB208,AJ199:AJ208)*100%)</f>
        <v>1.6382554793004198E-2</v>
      </c>
      <c r="X211" s="48">
        <f t="array" ref="X211">AVERAGE((T199:T208 - MIN(D199:D208,L199:L208,T199:T208,AB199:AB208,AJ199:AJ208))/MIN(D199:D208,L199:L208,T199:T208,AB199:AB208,AJ199:AJ208)*100%)</f>
        <v>2.7687993506014384E-2</v>
      </c>
      <c r="Y211" s="44"/>
      <c r="Z211" s="51"/>
      <c r="AA211" s="54" t="s">
        <v>20</v>
      </c>
      <c r="AB211" s="48">
        <f>AVERAGE(AB199:AB208)</f>
        <v>138.071</v>
      </c>
      <c r="AC211" s="47"/>
      <c r="AD211" s="48">
        <f>_xlfn.STDEV.S(AB199:AB208) / AVERAGE(AB199:AB208) * 100%</f>
        <v>5.8225635101364992E-3</v>
      </c>
      <c r="AE211" s="48">
        <f t="array" ref="AE211">MIN((AB199:AB208 - MIN(D199:D208,L199:L208,T199:T208,AB199:AB208,AJ199:AJ208))/MIN(D199:D208,L199:L208,T199:T208,AB199:AB208,AJ199:AJ208)*100%)</f>
        <v>1.0331340860453146E-2</v>
      </c>
      <c r="AF211" s="48">
        <f t="array" ref="AF211">AVERAGE((AB199:AB208 - MIN(D199:D208,L199:L208,T199:T208,AB199:AB208,AJ199:AJ208))/MIN(D199:D208,L199:L208,T199:T208,AB199:AB208,AJ199:AJ208)*100%)</f>
        <v>1.8898974245443217E-2</v>
      </c>
      <c r="AG211" s="44"/>
      <c r="AH211" s="51"/>
      <c r="AI211" s="54" t="s">
        <v>20</v>
      </c>
      <c r="AJ211" s="48">
        <f>AVERAGE(AJ199:AJ208)</f>
        <v>137.691</v>
      </c>
      <c r="AK211" s="47"/>
      <c r="AL211" s="48">
        <f>_xlfn.STDEV.S(AJ199:AJ208) / AVERAGE(AJ199:AJ208) * 100%</f>
        <v>3.6079147698774238E-3</v>
      </c>
      <c r="AM211" s="48">
        <f t="array" ref="AM211">MIN((AJ199:AJ208 - MIN(D199:D208,L199:L208,T199:T208,AB199:AB208,AJ199:AJ208))/MIN(D199:D208,L199:L208,T199:T208,AB199:AB208,AJ199:AJ208)*100%)</f>
        <v>1.0478931444173979E-2</v>
      </c>
      <c r="AN211" s="48">
        <f t="array" ref="AN211">AVERAGE((AJ199:AJ208 - MIN(D199:D208,L199:L208,T199:T208,AB199:AB208,AJ199:AJ208))/MIN(D199:D208,L199:L208,T199:T208,AB199:AB208,AJ199:AJ208)*100%)</f>
        <v>1.6094753154748814E-2</v>
      </c>
      <c r="AO211" s="44"/>
      <c r="AP211" s="51"/>
    </row>
    <row r="212" spans="1:42" ht="21" customHeight="1" thickTop="1" thickBot="1" x14ac:dyDescent="0.35">
      <c r="A212" s="63"/>
      <c r="B212" s="79"/>
      <c r="C212" s="53"/>
      <c r="D212" s="44"/>
      <c r="E212" s="44"/>
      <c r="F212" s="44"/>
      <c r="G212" s="44"/>
      <c r="H212" s="44"/>
      <c r="I212" s="44"/>
      <c r="J212" s="51"/>
      <c r="K212" s="53"/>
      <c r="L212" s="44"/>
      <c r="M212" s="44"/>
      <c r="N212" s="44"/>
      <c r="O212" s="44"/>
      <c r="P212" s="44"/>
      <c r="Q212" s="44"/>
      <c r="R212" s="51"/>
      <c r="S212" s="53"/>
      <c r="T212" s="44"/>
      <c r="U212" s="44"/>
      <c r="V212" s="44"/>
      <c r="W212" s="44"/>
      <c r="X212" s="44"/>
      <c r="Y212" s="44"/>
      <c r="Z212" s="51"/>
      <c r="AA212" s="53"/>
      <c r="AB212" s="44"/>
      <c r="AC212" s="44"/>
      <c r="AD212" s="44"/>
      <c r="AE212" s="44"/>
      <c r="AF212" s="44"/>
      <c r="AG212" s="44"/>
      <c r="AH212" s="51"/>
      <c r="AI212" s="53"/>
      <c r="AJ212" s="44"/>
      <c r="AK212" s="44"/>
      <c r="AL212" s="44"/>
      <c r="AM212" s="44"/>
      <c r="AN212" s="44"/>
      <c r="AO212" s="44"/>
      <c r="AP212" s="51"/>
    </row>
    <row r="213" spans="1:42" ht="21" customHeight="1" thickTop="1" thickBot="1" x14ac:dyDescent="0.35">
      <c r="A213" s="63"/>
      <c r="B213" s="77" t="s">
        <v>41</v>
      </c>
      <c r="C213" s="59" t="s">
        <v>8</v>
      </c>
      <c r="D213" s="46" t="s">
        <v>9</v>
      </c>
      <c r="E213" s="46" t="s">
        <v>10</v>
      </c>
      <c r="F213" s="46" t="s">
        <v>11</v>
      </c>
      <c r="G213" s="46" t="s">
        <v>12</v>
      </c>
      <c r="H213" s="46" t="s">
        <v>13</v>
      </c>
      <c r="I213" s="46" t="s">
        <v>14</v>
      </c>
      <c r="J213" s="60" t="s">
        <v>15</v>
      </c>
      <c r="K213" s="59" t="s">
        <v>8</v>
      </c>
      <c r="L213" s="46" t="s">
        <v>9</v>
      </c>
      <c r="M213" s="46" t="s">
        <v>10</v>
      </c>
      <c r="N213" s="46" t="s">
        <v>11</v>
      </c>
      <c r="O213" s="46" t="s">
        <v>12</v>
      </c>
      <c r="P213" s="46" t="s">
        <v>13</v>
      </c>
      <c r="Q213" s="46" t="s">
        <v>14</v>
      </c>
      <c r="R213" s="60" t="s">
        <v>15</v>
      </c>
      <c r="S213" s="59" t="s">
        <v>8</v>
      </c>
      <c r="T213" s="46" t="s">
        <v>9</v>
      </c>
      <c r="U213" s="46" t="s">
        <v>10</v>
      </c>
      <c r="V213" s="46" t="s">
        <v>11</v>
      </c>
      <c r="W213" s="46" t="s">
        <v>12</v>
      </c>
      <c r="X213" s="46" t="s">
        <v>13</v>
      </c>
      <c r="Y213" s="46" t="s">
        <v>14</v>
      </c>
      <c r="Z213" s="60" t="s">
        <v>15</v>
      </c>
      <c r="AA213" s="59" t="s">
        <v>8</v>
      </c>
      <c r="AB213" s="46" t="s">
        <v>9</v>
      </c>
      <c r="AC213" s="46" t="s">
        <v>10</v>
      </c>
      <c r="AD213" s="46" t="s">
        <v>11</v>
      </c>
      <c r="AE213" s="46" t="s">
        <v>12</v>
      </c>
      <c r="AF213" s="46" t="s">
        <v>13</v>
      </c>
      <c r="AG213" s="46" t="s">
        <v>14</v>
      </c>
      <c r="AH213" s="60" t="s">
        <v>15</v>
      </c>
      <c r="AI213" s="59" t="s">
        <v>8</v>
      </c>
      <c r="AJ213" s="46" t="s">
        <v>9</v>
      </c>
      <c r="AK213" s="46" t="s">
        <v>10</v>
      </c>
      <c r="AL213" s="46" t="s">
        <v>11</v>
      </c>
      <c r="AM213" s="46" t="s">
        <v>12</v>
      </c>
      <c r="AN213" s="46" t="s">
        <v>13</v>
      </c>
      <c r="AO213" s="46" t="s">
        <v>14</v>
      </c>
      <c r="AP213" s="60" t="s">
        <v>15</v>
      </c>
    </row>
    <row r="214" spans="1:42" ht="21" customHeight="1" thickTop="1" thickBot="1" x14ac:dyDescent="0.35">
      <c r="A214" s="63"/>
      <c r="B214" s="78"/>
      <c r="C214" s="52">
        <v>1</v>
      </c>
      <c r="D214" s="44">
        <v>137.93</v>
      </c>
      <c r="E214" s="44"/>
      <c r="F214" s="44"/>
      <c r="G214" s="44"/>
      <c r="H214" s="44"/>
      <c r="I214" s="44"/>
      <c r="J214" s="51"/>
      <c r="K214" s="52">
        <v>1</v>
      </c>
      <c r="L214" s="44">
        <v>138.24</v>
      </c>
      <c r="M214" s="44"/>
      <c r="N214" s="44"/>
      <c r="O214" s="44"/>
      <c r="P214" s="44"/>
      <c r="Q214" s="44"/>
      <c r="R214" s="51"/>
      <c r="S214" s="52">
        <v>1</v>
      </c>
      <c r="T214" s="44">
        <v>136.35</v>
      </c>
      <c r="U214" s="44"/>
      <c r="V214" s="44"/>
      <c r="W214" s="44"/>
      <c r="X214" s="44"/>
      <c r="Y214" s="44"/>
      <c r="Z214" s="51"/>
      <c r="AA214" s="52">
        <v>1</v>
      </c>
      <c r="AB214" s="44">
        <v>140</v>
      </c>
      <c r="AC214" s="44"/>
      <c r="AD214" s="44"/>
      <c r="AE214" s="44"/>
      <c r="AF214" s="44"/>
      <c r="AG214" s="44"/>
      <c r="AH214" s="51"/>
      <c r="AI214" s="52">
        <v>1</v>
      </c>
      <c r="AJ214" s="44">
        <v>137.71</v>
      </c>
      <c r="AK214" s="44"/>
      <c r="AL214" s="44"/>
      <c r="AM214" s="44"/>
      <c r="AN214" s="44"/>
      <c r="AO214" s="44"/>
      <c r="AP214" s="51"/>
    </row>
    <row r="215" spans="1:42" ht="21" customHeight="1" thickTop="1" thickBot="1" x14ac:dyDescent="0.35">
      <c r="A215" s="63"/>
      <c r="B215" s="78"/>
      <c r="C215" s="53">
        <v>2</v>
      </c>
      <c r="D215" s="45">
        <v>138.49</v>
      </c>
      <c r="E215" s="45"/>
      <c r="F215" s="45"/>
      <c r="G215" s="45"/>
      <c r="H215" s="45"/>
      <c r="I215" s="45"/>
      <c r="J215" s="51"/>
      <c r="K215" s="53">
        <v>2</v>
      </c>
      <c r="L215" s="45">
        <v>138.82</v>
      </c>
      <c r="M215" s="45"/>
      <c r="N215" s="45"/>
      <c r="O215" s="45"/>
      <c r="P215" s="45"/>
      <c r="Q215" s="45"/>
      <c r="R215" s="51"/>
      <c r="S215" s="53">
        <v>2</v>
      </c>
      <c r="T215" s="45">
        <v>137.03</v>
      </c>
      <c r="U215" s="45"/>
      <c r="V215" s="45"/>
      <c r="W215" s="45"/>
      <c r="X215" s="45"/>
      <c r="Y215" s="45"/>
      <c r="Z215" s="51"/>
      <c r="AA215" s="53">
        <v>2</v>
      </c>
      <c r="AB215" s="45">
        <v>138.30000000000001</v>
      </c>
      <c r="AC215" s="45"/>
      <c r="AD215" s="45"/>
      <c r="AE215" s="45"/>
      <c r="AF215" s="45"/>
      <c r="AG215" s="45"/>
      <c r="AH215" s="51"/>
      <c r="AI215" s="53">
        <v>2</v>
      </c>
      <c r="AJ215" s="45">
        <v>135.62</v>
      </c>
      <c r="AK215" s="45"/>
      <c r="AL215" s="45"/>
      <c r="AM215" s="45"/>
      <c r="AN215" s="45"/>
      <c r="AO215" s="45"/>
      <c r="AP215" s="51"/>
    </row>
    <row r="216" spans="1:42" ht="21" customHeight="1" thickTop="1" thickBot="1" x14ac:dyDescent="0.35">
      <c r="A216" s="63"/>
      <c r="B216" s="78"/>
      <c r="C216" s="53">
        <v>3</v>
      </c>
      <c r="D216" s="45">
        <v>137.56</v>
      </c>
      <c r="E216" s="45"/>
      <c r="F216" s="45"/>
      <c r="G216" s="44"/>
      <c r="H216" s="44"/>
      <c r="I216" s="44"/>
      <c r="J216" s="51"/>
      <c r="K216" s="53">
        <v>3</v>
      </c>
      <c r="L216" s="45">
        <v>138.30000000000001</v>
      </c>
      <c r="M216" s="45"/>
      <c r="N216" s="45"/>
      <c r="O216" s="44"/>
      <c r="P216" s="44"/>
      <c r="Q216" s="44"/>
      <c r="R216" s="51"/>
      <c r="S216" s="53">
        <v>3</v>
      </c>
      <c r="T216" s="45">
        <v>139.56</v>
      </c>
      <c r="U216" s="45"/>
      <c r="V216" s="45"/>
      <c r="W216" s="44"/>
      <c r="X216" s="44"/>
      <c r="Y216" s="44"/>
      <c r="Z216" s="51"/>
      <c r="AA216" s="53">
        <v>3</v>
      </c>
      <c r="AB216" s="45">
        <v>139.31</v>
      </c>
      <c r="AC216" s="45"/>
      <c r="AD216" s="45"/>
      <c r="AE216" s="44"/>
      <c r="AF216" s="44"/>
      <c r="AG216" s="44"/>
      <c r="AH216" s="51"/>
      <c r="AI216" s="53">
        <v>3</v>
      </c>
      <c r="AJ216" s="45">
        <v>136.03</v>
      </c>
      <c r="AK216" s="45"/>
      <c r="AL216" s="45"/>
      <c r="AM216" s="44"/>
      <c r="AN216" s="44"/>
      <c r="AO216" s="44"/>
      <c r="AP216" s="51"/>
    </row>
    <row r="217" spans="1:42" ht="21" customHeight="1" thickTop="1" thickBot="1" x14ac:dyDescent="0.35">
      <c r="A217" s="63"/>
      <c r="B217" s="78"/>
      <c r="C217" s="53">
        <v>4</v>
      </c>
      <c r="D217" s="45">
        <v>137.32</v>
      </c>
      <c r="E217" s="45"/>
      <c r="F217" s="45"/>
      <c r="G217" s="45"/>
      <c r="H217" s="45"/>
      <c r="I217" s="45"/>
      <c r="J217" s="51"/>
      <c r="K217" s="53">
        <v>4</v>
      </c>
      <c r="L217" s="45">
        <v>137.97</v>
      </c>
      <c r="M217" s="45"/>
      <c r="N217" s="45"/>
      <c r="O217" s="45"/>
      <c r="P217" s="45"/>
      <c r="Q217" s="45"/>
      <c r="R217" s="51"/>
      <c r="S217" s="53">
        <v>4</v>
      </c>
      <c r="T217" s="45">
        <v>136.24</v>
      </c>
      <c r="U217" s="45"/>
      <c r="V217" s="45"/>
      <c r="W217" s="45"/>
      <c r="X217" s="45"/>
      <c r="Y217" s="45"/>
      <c r="Z217" s="51"/>
      <c r="AA217" s="53">
        <v>4</v>
      </c>
      <c r="AB217" s="45">
        <v>137.79</v>
      </c>
      <c r="AC217" s="45"/>
      <c r="AD217" s="45"/>
      <c r="AE217" s="45"/>
      <c r="AF217" s="45"/>
      <c r="AG217" s="45"/>
      <c r="AH217" s="51"/>
      <c r="AI217" s="53">
        <v>4</v>
      </c>
      <c r="AJ217" s="45">
        <v>138.16</v>
      </c>
      <c r="AK217" s="45"/>
      <c r="AL217" s="45"/>
      <c r="AM217" s="45"/>
      <c r="AN217" s="45"/>
      <c r="AO217" s="45"/>
      <c r="AP217" s="51"/>
    </row>
    <row r="218" spans="1:42" ht="21" customHeight="1" thickTop="1" thickBot="1" x14ac:dyDescent="0.35">
      <c r="A218" s="63"/>
      <c r="B218" s="78"/>
      <c r="C218" s="53">
        <v>5</v>
      </c>
      <c r="D218" s="45">
        <v>138.30000000000001</v>
      </c>
      <c r="E218" s="45"/>
      <c r="F218" s="45"/>
      <c r="G218" s="45"/>
      <c r="H218" s="45"/>
      <c r="I218" s="45"/>
      <c r="J218" s="51"/>
      <c r="K218" s="53">
        <v>5</v>
      </c>
      <c r="L218" s="45">
        <v>137.44</v>
      </c>
      <c r="M218" s="45"/>
      <c r="N218" s="45"/>
      <c r="O218" s="45"/>
      <c r="P218" s="45"/>
      <c r="Q218" s="45"/>
      <c r="R218" s="51"/>
      <c r="S218" s="53">
        <v>5</v>
      </c>
      <c r="T218" s="45">
        <v>139.04</v>
      </c>
      <c r="U218" s="45"/>
      <c r="V218" s="45"/>
      <c r="W218" s="45"/>
      <c r="X218" s="45"/>
      <c r="Y218" s="45"/>
      <c r="Z218" s="51"/>
      <c r="AA218" s="53">
        <v>5</v>
      </c>
      <c r="AB218" s="45">
        <v>139.19999999999999</v>
      </c>
      <c r="AC218" s="45"/>
      <c r="AD218" s="45"/>
      <c r="AE218" s="45"/>
      <c r="AF218" s="45"/>
      <c r="AG218" s="45"/>
      <c r="AH218" s="51"/>
      <c r="AI218" s="53">
        <v>5</v>
      </c>
      <c r="AJ218" s="45">
        <v>137.72999999999999</v>
      </c>
      <c r="AK218" s="45"/>
      <c r="AL218" s="45"/>
      <c r="AM218" s="45"/>
      <c r="AN218" s="45"/>
      <c r="AO218" s="45"/>
      <c r="AP218" s="51"/>
    </row>
    <row r="219" spans="1:42" ht="21" customHeight="1" thickTop="1" thickBot="1" x14ac:dyDescent="0.35">
      <c r="A219" s="63"/>
      <c r="B219" s="78"/>
      <c r="C219" s="53">
        <v>6</v>
      </c>
      <c r="D219" s="45">
        <v>138.82</v>
      </c>
      <c r="E219" s="45"/>
      <c r="F219" s="45"/>
      <c r="G219" s="45"/>
      <c r="H219" s="45"/>
      <c r="I219" s="45"/>
      <c r="J219" s="51"/>
      <c r="K219" s="53">
        <v>6</v>
      </c>
      <c r="L219" s="45">
        <v>137.44</v>
      </c>
      <c r="M219" s="45"/>
      <c r="N219" s="45"/>
      <c r="O219" s="45"/>
      <c r="P219" s="45"/>
      <c r="Q219" s="45"/>
      <c r="R219" s="51"/>
      <c r="S219" s="53">
        <v>6</v>
      </c>
      <c r="T219" s="45">
        <v>140.08000000000001</v>
      </c>
      <c r="U219" s="45"/>
      <c r="V219" s="45"/>
      <c r="W219" s="45"/>
      <c r="X219" s="45"/>
      <c r="Y219" s="45"/>
      <c r="Z219" s="51"/>
      <c r="AA219" s="53">
        <v>6</v>
      </c>
      <c r="AB219" s="45">
        <v>138.93</v>
      </c>
      <c r="AC219" s="45"/>
      <c r="AD219" s="45"/>
      <c r="AE219" s="45"/>
      <c r="AF219" s="45"/>
      <c r="AG219" s="45"/>
      <c r="AH219" s="51"/>
      <c r="AI219" s="53">
        <v>6</v>
      </c>
      <c r="AJ219" s="45">
        <v>137.94999999999999</v>
      </c>
      <c r="AK219" s="45"/>
      <c r="AL219" s="45"/>
      <c r="AM219" s="45"/>
      <c r="AN219" s="45"/>
      <c r="AO219" s="45"/>
      <c r="AP219" s="51"/>
    </row>
    <row r="220" spans="1:42" ht="21" customHeight="1" thickTop="1" thickBot="1" x14ac:dyDescent="0.35">
      <c r="A220" s="63"/>
      <c r="B220" s="78"/>
      <c r="C220" s="53">
        <v>7</v>
      </c>
      <c r="D220" s="45">
        <v>138.30000000000001</v>
      </c>
      <c r="E220" s="45"/>
      <c r="F220" s="45"/>
      <c r="G220" s="45"/>
      <c r="H220" s="45"/>
      <c r="I220" s="45"/>
      <c r="J220" s="51"/>
      <c r="K220" s="53">
        <v>7</v>
      </c>
      <c r="L220" s="45">
        <v>138.54</v>
      </c>
      <c r="M220" s="45"/>
      <c r="N220" s="45"/>
      <c r="O220" s="45"/>
      <c r="P220" s="45"/>
      <c r="Q220" s="45"/>
      <c r="R220" s="51"/>
      <c r="S220" s="53">
        <v>7</v>
      </c>
      <c r="T220" s="45">
        <v>135.91</v>
      </c>
      <c r="U220" s="45"/>
      <c r="V220" s="45"/>
      <c r="W220" s="45"/>
      <c r="X220" s="45"/>
      <c r="Y220" s="45"/>
      <c r="Z220" s="51"/>
      <c r="AA220" s="53">
        <v>7</v>
      </c>
      <c r="AB220" s="45">
        <v>140.21</v>
      </c>
      <c r="AC220" s="45"/>
      <c r="AD220" s="45"/>
      <c r="AE220" s="45"/>
      <c r="AF220" s="45"/>
      <c r="AG220" s="45"/>
      <c r="AH220" s="51"/>
      <c r="AI220" s="53">
        <v>7</v>
      </c>
      <c r="AJ220" s="45">
        <v>137.74</v>
      </c>
      <c r="AK220" s="45"/>
      <c r="AL220" s="45"/>
      <c r="AM220" s="45"/>
      <c r="AN220" s="45"/>
      <c r="AO220" s="45"/>
      <c r="AP220" s="51"/>
    </row>
    <row r="221" spans="1:42" ht="21" customHeight="1" thickTop="1" thickBot="1" x14ac:dyDescent="0.35">
      <c r="A221" s="63"/>
      <c r="B221" s="78"/>
      <c r="C221" s="53">
        <v>8</v>
      </c>
      <c r="D221" s="45">
        <v>138.22</v>
      </c>
      <c r="E221" s="45"/>
      <c r="F221" s="45"/>
      <c r="G221" s="45"/>
      <c r="H221" s="45"/>
      <c r="I221" s="45"/>
      <c r="J221" s="51"/>
      <c r="K221" s="53">
        <v>8</v>
      </c>
      <c r="L221" s="45">
        <v>138.21</v>
      </c>
      <c r="M221" s="45"/>
      <c r="N221" s="45"/>
      <c r="O221" s="45"/>
      <c r="P221" s="45"/>
      <c r="Q221" s="45"/>
      <c r="R221" s="51"/>
      <c r="S221" s="53">
        <v>8</v>
      </c>
      <c r="T221" s="45">
        <v>139.6</v>
      </c>
      <c r="U221" s="45"/>
      <c r="V221" s="45"/>
      <c r="W221" s="45"/>
      <c r="X221" s="45"/>
      <c r="Y221" s="45"/>
      <c r="Z221" s="51"/>
      <c r="AA221" s="53">
        <v>8</v>
      </c>
      <c r="AB221" s="45">
        <v>139.12</v>
      </c>
      <c r="AC221" s="45"/>
      <c r="AD221" s="45"/>
      <c r="AE221" s="45"/>
      <c r="AF221" s="45"/>
      <c r="AG221" s="45"/>
      <c r="AH221" s="51"/>
      <c r="AI221" s="53">
        <v>8</v>
      </c>
      <c r="AJ221" s="45">
        <v>136.22</v>
      </c>
      <c r="AK221" s="45"/>
      <c r="AL221" s="45"/>
      <c r="AM221" s="45"/>
      <c r="AN221" s="45"/>
      <c r="AO221" s="45"/>
      <c r="AP221" s="51"/>
    </row>
    <row r="222" spans="1:42" ht="21" customHeight="1" thickTop="1" thickBot="1" x14ac:dyDescent="0.35">
      <c r="A222" s="63"/>
      <c r="B222" s="78"/>
      <c r="C222" s="53">
        <v>9</v>
      </c>
      <c r="D222" s="45">
        <v>138</v>
      </c>
      <c r="E222" s="45"/>
      <c r="F222" s="45"/>
      <c r="G222" s="45"/>
      <c r="H222" s="45"/>
      <c r="I222" s="45"/>
      <c r="J222" s="51"/>
      <c r="K222" s="53">
        <v>9</v>
      </c>
      <c r="L222" s="45">
        <v>138.30000000000001</v>
      </c>
      <c r="M222" s="45"/>
      <c r="N222" s="45"/>
      <c r="O222" s="45"/>
      <c r="P222" s="45"/>
      <c r="Q222" s="45"/>
      <c r="R222" s="51"/>
      <c r="S222" s="53">
        <v>9</v>
      </c>
      <c r="T222" s="45">
        <v>138.61000000000001</v>
      </c>
      <c r="U222" s="45"/>
      <c r="V222" s="45"/>
      <c r="W222" s="45"/>
      <c r="X222" s="45"/>
      <c r="Y222" s="45"/>
      <c r="Z222" s="51"/>
      <c r="AA222" s="53">
        <v>9</v>
      </c>
      <c r="AB222" s="45">
        <v>139.69</v>
      </c>
      <c r="AC222" s="45"/>
      <c r="AD222" s="45"/>
      <c r="AE222" s="45"/>
      <c r="AF222" s="45"/>
      <c r="AG222" s="45"/>
      <c r="AH222" s="51"/>
      <c r="AI222" s="53">
        <v>9</v>
      </c>
      <c r="AJ222" s="45">
        <v>136.75</v>
      </c>
      <c r="AK222" s="45"/>
      <c r="AL222" s="45"/>
      <c r="AM222" s="45"/>
      <c r="AN222" s="45"/>
      <c r="AO222" s="45"/>
      <c r="AP222" s="51"/>
    </row>
    <row r="223" spans="1:42" ht="21" customHeight="1" thickTop="1" thickBot="1" x14ac:dyDescent="0.35">
      <c r="A223" s="63"/>
      <c r="B223" s="78"/>
      <c r="C223" s="53">
        <v>10</v>
      </c>
      <c r="D223" s="45">
        <v>137.83000000000001</v>
      </c>
      <c r="E223" s="45"/>
      <c r="F223" s="45"/>
      <c r="G223" s="45"/>
      <c r="H223" s="45"/>
      <c r="I223" s="45"/>
      <c r="J223" s="51"/>
      <c r="K223" s="53">
        <v>10</v>
      </c>
      <c r="L223" s="45">
        <v>138.24</v>
      </c>
      <c r="M223" s="45"/>
      <c r="N223" s="45"/>
      <c r="O223" s="45"/>
      <c r="P223" s="45"/>
      <c r="Q223" s="45"/>
      <c r="R223" s="51"/>
      <c r="S223" s="53">
        <v>10</v>
      </c>
      <c r="T223" s="45">
        <v>139.31</v>
      </c>
      <c r="U223" s="45"/>
      <c r="V223" s="45"/>
      <c r="W223" s="45"/>
      <c r="X223" s="45"/>
      <c r="Y223" s="45"/>
      <c r="Z223" s="51"/>
      <c r="AA223" s="53">
        <v>10</v>
      </c>
      <c r="AB223" s="45">
        <v>137.66999999999999</v>
      </c>
      <c r="AC223" s="45"/>
      <c r="AD223" s="45"/>
      <c r="AE223" s="45"/>
      <c r="AF223" s="45"/>
      <c r="AG223" s="45"/>
      <c r="AH223" s="51"/>
      <c r="AI223" s="53">
        <v>10</v>
      </c>
      <c r="AJ223" s="45">
        <v>138.19</v>
      </c>
      <c r="AK223" s="45"/>
      <c r="AL223" s="45"/>
      <c r="AM223" s="45"/>
      <c r="AN223" s="45"/>
      <c r="AO223" s="45"/>
      <c r="AP223" s="51"/>
    </row>
    <row r="224" spans="1:42" ht="21" customHeight="1" thickTop="1" thickBot="1" x14ac:dyDescent="0.35">
      <c r="A224" s="63"/>
      <c r="B224" s="78"/>
      <c r="C224" s="53"/>
      <c r="D224" s="45"/>
      <c r="E224" s="45"/>
      <c r="F224" s="45"/>
      <c r="G224" s="45"/>
      <c r="H224" s="45"/>
      <c r="I224" s="45"/>
      <c r="J224" s="51"/>
      <c r="K224" s="53"/>
      <c r="L224" s="45"/>
      <c r="M224" s="45"/>
      <c r="N224" s="45"/>
      <c r="O224" s="45"/>
      <c r="P224" s="45"/>
      <c r="Q224" s="45"/>
      <c r="R224" s="51"/>
      <c r="S224" s="53"/>
      <c r="T224" s="45"/>
      <c r="U224" s="45"/>
      <c r="V224" s="45"/>
      <c r="W224" s="45"/>
      <c r="X224" s="45"/>
      <c r="Y224" s="45"/>
      <c r="Z224" s="51"/>
      <c r="AA224" s="53"/>
      <c r="AB224" s="45"/>
      <c r="AC224" s="45"/>
      <c r="AD224" s="45"/>
      <c r="AE224" s="45"/>
      <c r="AF224" s="45"/>
      <c r="AG224" s="45"/>
      <c r="AH224" s="51"/>
      <c r="AI224" s="53"/>
      <c r="AJ224" s="45"/>
      <c r="AK224" s="45"/>
      <c r="AL224" s="45"/>
      <c r="AM224" s="45"/>
      <c r="AN224" s="45"/>
      <c r="AO224" s="45"/>
      <c r="AP224" s="51"/>
    </row>
    <row r="225" spans="1:42" ht="41" customHeight="1" thickTop="1" thickBot="1" x14ac:dyDescent="0.35">
      <c r="A225" s="63"/>
      <c r="B225" s="78"/>
      <c r="C225" s="54" t="s">
        <v>16</v>
      </c>
      <c r="D225" s="49">
        <f>MIN(D214:D223)</f>
        <v>137.32</v>
      </c>
      <c r="E225" s="45"/>
      <c r="F225" s="55" t="s">
        <v>17</v>
      </c>
      <c r="G225" s="49" t="s">
        <v>18</v>
      </c>
      <c r="H225" s="49" t="s">
        <v>19</v>
      </c>
      <c r="I225" s="45"/>
      <c r="J225" s="51"/>
      <c r="K225" s="54" t="s">
        <v>16</v>
      </c>
      <c r="L225" s="49">
        <f>MIN(L214:L223)</f>
        <v>137.44</v>
      </c>
      <c r="M225" s="45"/>
      <c r="N225" s="55" t="s">
        <v>17</v>
      </c>
      <c r="O225" s="49" t="s">
        <v>18</v>
      </c>
      <c r="P225" s="49" t="s">
        <v>19</v>
      </c>
      <c r="Q225" s="45"/>
      <c r="R225" s="51"/>
      <c r="S225" s="54" t="s">
        <v>16</v>
      </c>
      <c r="T225" s="49">
        <f>MIN(T214:T223)</f>
        <v>135.91</v>
      </c>
      <c r="U225" s="45"/>
      <c r="V225" s="55" t="s">
        <v>17</v>
      </c>
      <c r="W225" s="49" t="s">
        <v>18</v>
      </c>
      <c r="X225" s="49" t="s">
        <v>19</v>
      </c>
      <c r="Y225" s="45"/>
      <c r="Z225" s="51"/>
      <c r="AA225" s="54" t="s">
        <v>16</v>
      </c>
      <c r="AB225" s="49">
        <f>MIN(AB214:AB223)</f>
        <v>137.66999999999999</v>
      </c>
      <c r="AC225" s="45"/>
      <c r="AD225" s="55" t="s">
        <v>17</v>
      </c>
      <c r="AE225" s="49" t="s">
        <v>18</v>
      </c>
      <c r="AF225" s="49" t="s">
        <v>19</v>
      </c>
      <c r="AG225" s="45"/>
      <c r="AH225" s="51"/>
      <c r="AI225" s="54" t="s">
        <v>16</v>
      </c>
      <c r="AJ225" s="49">
        <f>MIN(AJ214:AJ223)</f>
        <v>135.62</v>
      </c>
      <c r="AK225" s="45"/>
      <c r="AL225" s="55" t="s">
        <v>17</v>
      </c>
      <c r="AM225" s="49" t="s">
        <v>18</v>
      </c>
      <c r="AN225" s="49" t="s">
        <v>19</v>
      </c>
      <c r="AO225" s="45"/>
      <c r="AP225" s="51"/>
    </row>
    <row r="226" spans="1:42" ht="21" customHeight="1" thickTop="1" thickBot="1" x14ac:dyDescent="0.35">
      <c r="A226" s="63"/>
      <c r="B226" s="78"/>
      <c r="C226" s="54" t="s">
        <v>20</v>
      </c>
      <c r="D226" s="48">
        <f>AVERAGE(D214:D223)</f>
        <v>138.07699999999997</v>
      </c>
      <c r="E226" s="47"/>
      <c r="F226" s="48">
        <f>_xlfn.STDEV.S(D214:D223) / AVERAGE(D214:D223) * 100%</f>
        <v>3.2130460407930653E-3</v>
      </c>
      <c r="G226" s="48">
        <f t="array" ref="G226">MIN((D214:D223 - MIN(D214:D223,L214:L223,T214:T223,AB214:AB223,AJ214:AJ223))/MIN(D214:D223,L214:L223,T214:T223,AB214:AB223,AJ214:AJ223)*100%)</f>
        <v>1.2535024332694208E-2</v>
      </c>
      <c r="H226" s="48">
        <f t="array" ref="H226">AVERAGE((D214:D223 - MIN(D214:D223,L214:L223,T214:T223,AB214:AB223,AJ214:AJ223))/MIN(D214:D223,L214:L223,T214:T223,AB214:AB223,AJ214:AJ223)*100%)</f>
        <v>1.8116796932605806E-2</v>
      </c>
      <c r="I226" s="45"/>
      <c r="J226" s="51"/>
      <c r="K226" s="54" t="s">
        <v>20</v>
      </c>
      <c r="L226" s="48">
        <f>AVERAGE(L214:L223)</f>
        <v>138.15</v>
      </c>
      <c r="M226" s="47"/>
      <c r="N226" s="48">
        <f>_xlfn.STDEV.S(L214:L223) / AVERAGE(L214:L223) * 100%</f>
        <v>3.151869859873653E-3</v>
      </c>
      <c r="O226" s="48">
        <f t="array" ref="O226">MIN((L214:L223 - MIN(D214:D223,L214:L223,T214:T223,AB214:AB223,AJ214:AJ223))/MIN(D214:D223,L214:L223,T214:T223,AB214:AB223,AJ214:AJ223)*100%)</f>
        <v>1.3419849579707956E-2</v>
      </c>
      <c r="P226" s="48">
        <f t="array" ref="P226">AVERAGE((L214:L223 - MIN(D214:D223,L214:L223,T214:T223,AB214:AB223,AJ214:AJ223))/MIN(D214:D223,L214:L223,T214:T223,AB214:AB223,AJ214:AJ223)*100%)</f>
        <v>1.8655065624539141E-2</v>
      </c>
      <c r="Q226" s="44"/>
      <c r="R226" s="51"/>
      <c r="S226" s="54" t="s">
        <v>20</v>
      </c>
      <c r="T226" s="48">
        <f>AVERAGE(T214:T223)</f>
        <v>138.173</v>
      </c>
      <c r="U226" s="47"/>
      <c r="V226" s="48">
        <f>_xlfn.STDEV.S(T214:T223) / AVERAGE(T214:T223) * 100%</f>
        <v>1.1649739110913873E-2</v>
      </c>
      <c r="W226" s="48">
        <f t="array" ref="W226">MIN((T214:T223 - MIN(D214:D223,L214:L223,T214:T223,AB214:AB223,AJ214:AJ223))/MIN(D214:D223,L214:L223,T214:T223,AB214:AB223,AJ214:AJ223)*100%)</f>
        <v>2.1383276802830853E-3</v>
      </c>
      <c r="X226" s="48">
        <f t="array" ref="X226">AVERAGE((T214:T223 - MIN(D214:D223,L214:L223,T214:T223,AB214:AB223,AJ214:AJ223))/MIN(D214:D223,L214:L223,T214:T223,AB214:AB223,AJ214:AJ223)*100%)</f>
        <v>1.8824657130216763E-2</v>
      </c>
      <c r="Y226" s="44"/>
      <c r="Z226" s="51"/>
      <c r="AA226" s="54" t="s">
        <v>20</v>
      </c>
      <c r="AB226" s="48">
        <f>AVERAGE(AB214:AB223)</f>
        <v>139.02200000000002</v>
      </c>
      <c r="AC226" s="47"/>
      <c r="AD226" s="48">
        <f>_xlfn.STDEV.S(AB214:AB223) / AVERAGE(AB214:AB223) * 100%</f>
        <v>6.2587647717432179E-3</v>
      </c>
      <c r="AE226" s="48">
        <f t="array" ref="AE226">MIN((AB214:AB223 - MIN(D214:D223,L214:L223,T214:T223,AB214:AB223,AJ214:AJ223))/MIN(D214:D223,L214:L223,T214:T223,AB214:AB223,AJ214:AJ223)*100%)</f>
        <v>1.5115764636484168E-2</v>
      </c>
      <c r="AF226" s="48">
        <f t="array" ref="AF226">AVERAGE((AB214:AB223 - MIN(D214:D223,L214:L223,T214:T223,AB214:AB223,AJ214:AJ223))/MIN(D214:D223,L214:L223,T214:T223,AB214:AB223,AJ214:AJ223)*100%)</f>
        <v>2.5084795752838777E-2</v>
      </c>
      <c r="AG226" s="44"/>
      <c r="AH226" s="51"/>
      <c r="AI226" s="54" t="s">
        <v>20</v>
      </c>
      <c r="AJ226" s="48">
        <f>AVERAGE(AJ214:AJ223)</f>
        <v>137.21</v>
      </c>
      <c r="AK226" s="47"/>
      <c r="AL226" s="48">
        <f>_xlfn.STDEV.S(AJ214:AJ223) / AVERAGE(AJ214:AJ223) * 100%</f>
        <v>7.0090477183347251E-3</v>
      </c>
      <c r="AM226" s="48">
        <f t="array" ref="AM226">MIN((AJ214:AJ223 - MIN(D214:D223,L214:L223,T214:T223,AB214:AB223,AJ214:AJ223))/MIN(D214:D223,L214:L223,T214:T223,AB214:AB223,AJ214:AJ223)*100%)</f>
        <v>0</v>
      </c>
      <c r="AN226" s="48">
        <f t="array" ref="AN226">AVERAGE((AJ214:AJ223 - MIN(D214:D223,L214:L223,T214:T223,AB214:AB223,AJ214:AJ223))/MIN(D214:D223,L214:L223,T214:T223,AB214:AB223,AJ214:AJ223)*100%)</f>
        <v>1.1723934522931682E-2</v>
      </c>
      <c r="AO226" s="44"/>
      <c r="AP226" s="51"/>
    </row>
    <row r="227" spans="1:42" ht="21" customHeight="1" thickTop="1" thickBot="1" x14ac:dyDescent="0.35">
      <c r="A227" s="63"/>
      <c r="B227" s="79"/>
      <c r="C227" s="53"/>
      <c r="D227" s="44"/>
      <c r="E227" s="44"/>
      <c r="F227" s="44"/>
      <c r="G227" s="44"/>
      <c r="H227" s="44"/>
      <c r="I227" s="44"/>
      <c r="J227" s="51"/>
      <c r="K227" s="53"/>
      <c r="L227" s="44"/>
      <c r="M227" s="44"/>
      <c r="N227" s="44"/>
      <c r="O227" s="44"/>
      <c r="P227" s="44"/>
      <c r="Q227" s="44"/>
      <c r="R227" s="51"/>
      <c r="S227" s="53"/>
      <c r="T227" s="44"/>
      <c r="U227" s="44"/>
      <c r="V227" s="44"/>
      <c r="W227" s="44"/>
      <c r="X227" s="44"/>
      <c r="Y227" s="44"/>
      <c r="Z227" s="51"/>
      <c r="AA227" s="53"/>
      <c r="AB227" s="44"/>
      <c r="AC227" s="44"/>
      <c r="AD227" s="44"/>
      <c r="AE227" s="44"/>
      <c r="AF227" s="44"/>
      <c r="AG227" s="44"/>
      <c r="AH227" s="51"/>
      <c r="AI227" s="53"/>
      <c r="AJ227" s="44"/>
      <c r="AK227" s="44"/>
      <c r="AL227" s="44"/>
      <c r="AM227" s="44"/>
      <c r="AN227" s="44"/>
      <c r="AO227" s="44"/>
      <c r="AP227" s="51"/>
    </row>
    <row r="228" spans="1:42" ht="21" customHeight="1" thickTop="1" thickBot="1" x14ac:dyDescent="0.35">
      <c r="A228" s="63"/>
      <c r="B228" s="77" t="s">
        <v>42</v>
      </c>
      <c r="C228" s="59" t="s">
        <v>8</v>
      </c>
      <c r="D228" s="46" t="s">
        <v>9</v>
      </c>
      <c r="E228" s="46" t="s">
        <v>10</v>
      </c>
      <c r="F228" s="46" t="s">
        <v>11</v>
      </c>
      <c r="G228" s="46" t="s">
        <v>12</v>
      </c>
      <c r="H228" s="46" t="s">
        <v>13</v>
      </c>
      <c r="I228" s="46" t="s">
        <v>14</v>
      </c>
      <c r="J228" s="60" t="s">
        <v>15</v>
      </c>
      <c r="K228" s="59" t="s">
        <v>8</v>
      </c>
      <c r="L228" s="46" t="s">
        <v>9</v>
      </c>
      <c r="M228" s="46" t="s">
        <v>10</v>
      </c>
      <c r="N228" s="46" t="s">
        <v>11</v>
      </c>
      <c r="O228" s="46" t="s">
        <v>12</v>
      </c>
      <c r="P228" s="46" t="s">
        <v>13</v>
      </c>
      <c r="Q228" s="46" t="s">
        <v>14</v>
      </c>
      <c r="R228" s="60" t="s">
        <v>15</v>
      </c>
      <c r="S228" s="59" t="s">
        <v>8</v>
      </c>
      <c r="T228" s="46" t="s">
        <v>9</v>
      </c>
      <c r="U228" s="46" t="s">
        <v>10</v>
      </c>
      <c r="V228" s="46" t="s">
        <v>11</v>
      </c>
      <c r="W228" s="46" t="s">
        <v>12</v>
      </c>
      <c r="X228" s="46" t="s">
        <v>13</v>
      </c>
      <c r="Y228" s="46" t="s">
        <v>14</v>
      </c>
      <c r="Z228" s="60" t="s">
        <v>15</v>
      </c>
      <c r="AA228" s="59" t="s">
        <v>8</v>
      </c>
      <c r="AB228" s="46" t="s">
        <v>9</v>
      </c>
      <c r="AC228" s="46" t="s">
        <v>10</v>
      </c>
      <c r="AD228" s="46" t="s">
        <v>11</v>
      </c>
      <c r="AE228" s="46" t="s">
        <v>12</v>
      </c>
      <c r="AF228" s="46" t="s">
        <v>13</v>
      </c>
      <c r="AG228" s="46" t="s">
        <v>14</v>
      </c>
      <c r="AH228" s="60" t="s">
        <v>15</v>
      </c>
      <c r="AI228" s="59" t="s">
        <v>8</v>
      </c>
      <c r="AJ228" s="46" t="s">
        <v>9</v>
      </c>
      <c r="AK228" s="46" t="s">
        <v>10</v>
      </c>
      <c r="AL228" s="46" t="s">
        <v>11</v>
      </c>
      <c r="AM228" s="46" t="s">
        <v>12</v>
      </c>
      <c r="AN228" s="46" t="s">
        <v>13</v>
      </c>
      <c r="AO228" s="46" t="s">
        <v>14</v>
      </c>
      <c r="AP228" s="60" t="s">
        <v>15</v>
      </c>
    </row>
    <row r="229" spans="1:42" ht="21" customHeight="1" thickTop="1" thickBot="1" x14ac:dyDescent="0.35">
      <c r="A229" s="63"/>
      <c r="B229" s="78"/>
      <c r="C229" s="52">
        <v>1</v>
      </c>
      <c r="D229" s="44">
        <v>153.80000000000001</v>
      </c>
      <c r="E229" s="44"/>
      <c r="F229" s="44"/>
      <c r="G229" s="44"/>
      <c r="H229" s="44"/>
      <c r="I229" s="44"/>
      <c r="J229" s="51"/>
      <c r="K229" s="52">
        <v>1</v>
      </c>
      <c r="L229" s="44">
        <v>153.04</v>
      </c>
      <c r="M229" s="44"/>
      <c r="N229" s="44"/>
      <c r="O229" s="44"/>
      <c r="P229" s="44"/>
      <c r="Q229" s="44"/>
      <c r="R229" s="51"/>
      <c r="S229" s="52">
        <v>1</v>
      </c>
      <c r="T229" s="44">
        <v>155.34</v>
      </c>
      <c r="U229" s="44"/>
      <c r="V229" s="44"/>
      <c r="W229" s="44"/>
      <c r="X229" s="44"/>
      <c r="Y229" s="44"/>
      <c r="Z229" s="51"/>
      <c r="AA229" s="52">
        <v>1</v>
      </c>
      <c r="AB229" s="44">
        <v>155.72</v>
      </c>
      <c r="AC229" s="44"/>
      <c r="AD229" s="44"/>
      <c r="AE229" s="44"/>
      <c r="AF229" s="44"/>
      <c r="AG229" s="44"/>
      <c r="AH229" s="51"/>
      <c r="AI229" s="52">
        <v>1</v>
      </c>
      <c r="AJ229" s="44">
        <v>154.34</v>
      </c>
      <c r="AK229" s="44"/>
      <c r="AL229" s="44"/>
      <c r="AM229" s="44"/>
      <c r="AN229" s="44"/>
      <c r="AO229" s="44"/>
      <c r="AP229" s="51"/>
    </row>
    <row r="230" spans="1:42" ht="21" customHeight="1" thickTop="1" thickBot="1" x14ac:dyDescent="0.35">
      <c r="A230" s="63"/>
      <c r="B230" s="78"/>
      <c r="C230" s="53">
        <v>2</v>
      </c>
      <c r="D230" s="45">
        <v>152.16</v>
      </c>
      <c r="E230" s="45"/>
      <c r="F230" s="45"/>
      <c r="G230" s="45"/>
      <c r="H230" s="45"/>
      <c r="I230" s="45"/>
      <c r="J230" s="51"/>
      <c r="K230" s="53">
        <v>2</v>
      </c>
      <c r="L230" s="45">
        <v>152.68</v>
      </c>
      <c r="M230" s="45"/>
      <c r="N230" s="45"/>
      <c r="O230" s="45"/>
      <c r="P230" s="45"/>
      <c r="Q230" s="45"/>
      <c r="R230" s="51"/>
      <c r="S230" s="53">
        <v>2</v>
      </c>
      <c r="T230" s="45">
        <v>156.36000000000001</v>
      </c>
      <c r="U230" s="45"/>
      <c r="V230" s="45"/>
      <c r="W230" s="45"/>
      <c r="X230" s="45"/>
      <c r="Y230" s="45"/>
      <c r="Z230" s="51"/>
      <c r="AA230" s="53">
        <v>2</v>
      </c>
      <c r="AB230" s="45">
        <v>151.52000000000001</v>
      </c>
      <c r="AC230" s="45"/>
      <c r="AD230" s="45"/>
      <c r="AE230" s="45"/>
      <c r="AF230" s="45"/>
      <c r="AG230" s="45"/>
      <c r="AH230" s="51"/>
      <c r="AI230" s="53">
        <v>2</v>
      </c>
      <c r="AJ230" s="45">
        <v>153.97999999999999</v>
      </c>
      <c r="AK230" s="45"/>
      <c r="AL230" s="45"/>
      <c r="AM230" s="45"/>
      <c r="AN230" s="45"/>
      <c r="AO230" s="45"/>
      <c r="AP230" s="51"/>
    </row>
    <row r="231" spans="1:42" ht="21" customHeight="1" thickTop="1" thickBot="1" x14ac:dyDescent="0.35">
      <c r="A231" s="63"/>
      <c r="B231" s="78"/>
      <c r="C231" s="53">
        <v>3</v>
      </c>
      <c r="D231" s="45">
        <v>151.38</v>
      </c>
      <c r="E231" s="45"/>
      <c r="F231" s="45"/>
      <c r="G231" s="44"/>
      <c r="H231" s="44"/>
      <c r="I231" s="44"/>
      <c r="J231" s="51"/>
      <c r="K231" s="53">
        <v>3</v>
      </c>
      <c r="L231" s="45">
        <v>152.41</v>
      </c>
      <c r="M231" s="45"/>
      <c r="N231" s="45"/>
      <c r="O231" s="44"/>
      <c r="P231" s="44"/>
      <c r="Q231" s="44"/>
      <c r="R231" s="51"/>
      <c r="S231" s="53">
        <v>3</v>
      </c>
      <c r="T231" s="45">
        <v>152.93</v>
      </c>
      <c r="U231" s="45"/>
      <c r="V231" s="45"/>
      <c r="W231" s="44"/>
      <c r="X231" s="44"/>
      <c r="Y231" s="44"/>
      <c r="Z231" s="51"/>
      <c r="AA231" s="53">
        <v>3</v>
      </c>
      <c r="AB231" s="45">
        <v>154.16</v>
      </c>
      <c r="AC231" s="45"/>
      <c r="AD231" s="45"/>
      <c r="AE231" s="44"/>
      <c r="AF231" s="44"/>
      <c r="AG231" s="44"/>
      <c r="AH231" s="51"/>
      <c r="AI231" s="53">
        <v>3</v>
      </c>
      <c r="AJ231" s="45">
        <v>153.9</v>
      </c>
      <c r="AK231" s="45"/>
      <c r="AL231" s="45"/>
      <c r="AM231" s="44"/>
      <c r="AN231" s="44"/>
      <c r="AO231" s="44"/>
      <c r="AP231" s="51"/>
    </row>
    <row r="232" spans="1:42" ht="21" customHeight="1" thickTop="1" thickBot="1" x14ac:dyDescent="0.35">
      <c r="A232" s="63"/>
      <c r="B232" s="78"/>
      <c r="C232" s="53">
        <v>4</v>
      </c>
      <c r="D232" s="45">
        <v>151.52000000000001</v>
      </c>
      <c r="E232" s="45"/>
      <c r="F232" s="45"/>
      <c r="G232" s="45"/>
      <c r="H232" s="45"/>
      <c r="I232" s="45"/>
      <c r="J232" s="51"/>
      <c r="K232" s="53">
        <v>4</v>
      </c>
      <c r="L232" s="45">
        <v>154.72999999999999</v>
      </c>
      <c r="M232" s="45"/>
      <c r="N232" s="45"/>
      <c r="O232" s="45"/>
      <c r="P232" s="45"/>
      <c r="Q232" s="45"/>
      <c r="R232" s="51"/>
      <c r="S232" s="53">
        <v>4</v>
      </c>
      <c r="T232" s="45">
        <v>152.99</v>
      </c>
      <c r="U232" s="45"/>
      <c r="V232" s="45"/>
      <c r="W232" s="45"/>
      <c r="X232" s="45"/>
      <c r="Y232" s="45"/>
      <c r="Z232" s="51"/>
      <c r="AA232" s="53">
        <v>4</v>
      </c>
      <c r="AB232" s="45">
        <v>152.15</v>
      </c>
      <c r="AC232" s="45"/>
      <c r="AD232" s="45"/>
      <c r="AE232" s="45"/>
      <c r="AF232" s="45"/>
      <c r="AG232" s="45"/>
      <c r="AH232" s="51"/>
      <c r="AI232" s="53">
        <v>4</v>
      </c>
      <c r="AJ232" s="45">
        <v>154.88999999999999</v>
      </c>
      <c r="AK232" s="45"/>
      <c r="AL232" s="45"/>
      <c r="AM232" s="45"/>
      <c r="AN232" s="45"/>
      <c r="AO232" s="45"/>
      <c r="AP232" s="51"/>
    </row>
    <row r="233" spans="1:42" ht="21" customHeight="1" thickTop="1" thickBot="1" x14ac:dyDescent="0.35">
      <c r="A233" s="63"/>
      <c r="B233" s="78"/>
      <c r="C233" s="53">
        <v>5</v>
      </c>
      <c r="D233" s="45">
        <v>153.93</v>
      </c>
      <c r="E233" s="45"/>
      <c r="F233" s="45"/>
      <c r="G233" s="45"/>
      <c r="H233" s="45"/>
      <c r="I233" s="45"/>
      <c r="J233" s="51"/>
      <c r="K233" s="53">
        <v>5</v>
      </c>
      <c r="L233" s="45">
        <v>154.76</v>
      </c>
      <c r="M233" s="45"/>
      <c r="N233" s="45"/>
      <c r="O233" s="45"/>
      <c r="P233" s="45"/>
      <c r="Q233" s="45"/>
      <c r="R233" s="51"/>
      <c r="S233" s="53">
        <v>5</v>
      </c>
      <c r="T233" s="45">
        <v>154.96</v>
      </c>
      <c r="U233" s="45"/>
      <c r="V233" s="45"/>
      <c r="W233" s="45"/>
      <c r="X233" s="45"/>
      <c r="Y233" s="45"/>
      <c r="Z233" s="51"/>
      <c r="AA233" s="53">
        <v>5</v>
      </c>
      <c r="AB233" s="45">
        <v>152.91999999999999</v>
      </c>
      <c r="AC233" s="45"/>
      <c r="AD233" s="45"/>
      <c r="AE233" s="45"/>
      <c r="AF233" s="45"/>
      <c r="AG233" s="45"/>
      <c r="AH233" s="51"/>
      <c r="AI233" s="53">
        <v>5</v>
      </c>
      <c r="AJ233" s="45">
        <v>153.38999999999999</v>
      </c>
      <c r="AK233" s="45"/>
      <c r="AL233" s="45"/>
      <c r="AM233" s="45"/>
      <c r="AN233" s="45"/>
      <c r="AO233" s="45"/>
      <c r="AP233" s="51"/>
    </row>
    <row r="234" spans="1:42" ht="21" customHeight="1" thickTop="1" thickBot="1" x14ac:dyDescent="0.35">
      <c r="A234" s="63"/>
      <c r="B234" s="78"/>
      <c r="C234" s="53">
        <v>6</v>
      </c>
      <c r="D234" s="45">
        <v>150.63999999999999</v>
      </c>
      <c r="E234" s="45"/>
      <c r="F234" s="45"/>
      <c r="G234" s="45"/>
      <c r="H234" s="45"/>
      <c r="I234" s="45"/>
      <c r="J234" s="51"/>
      <c r="K234" s="53">
        <v>6</v>
      </c>
      <c r="L234" s="45">
        <v>152.21</v>
      </c>
      <c r="M234" s="45"/>
      <c r="N234" s="45"/>
      <c r="O234" s="45"/>
      <c r="P234" s="45"/>
      <c r="Q234" s="45"/>
      <c r="R234" s="51"/>
      <c r="S234" s="53">
        <v>6</v>
      </c>
      <c r="T234" s="45">
        <v>152.99</v>
      </c>
      <c r="U234" s="45"/>
      <c r="V234" s="45"/>
      <c r="W234" s="45"/>
      <c r="X234" s="45"/>
      <c r="Y234" s="45"/>
      <c r="Z234" s="51"/>
      <c r="AA234" s="53">
        <v>6</v>
      </c>
      <c r="AB234" s="45">
        <v>151.52000000000001</v>
      </c>
      <c r="AC234" s="45"/>
      <c r="AD234" s="45"/>
      <c r="AE234" s="45"/>
      <c r="AF234" s="45"/>
      <c r="AG234" s="45"/>
      <c r="AH234" s="51"/>
      <c r="AI234" s="53">
        <v>6</v>
      </c>
      <c r="AJ234" s="45">
        <v>153.84</v>
      </c>
      <c r="AK234" s="45"/>
      <c r="AL234" s="45"/>
      <c r="AM234" s="45"/>
      <c r="AN234" s="45"/>
      <c r="AO234" s="45"/>
      <c r="AP234" s="51"/>
    </row>
    <row r="235" spans="1:42" ht="21" customHeight="1" thickTop="1" thickBot="1" x14ac:dyDescent="0.35">
      <c r="A235" s="63"/>
      <c r="B235" s="78"/>
      <c r="C235" s="53">
        <v>7</v>
      </c>
      <c r="D235" s="45">
        <v>150.66999999999999</v>
      </c>
      <c r="E235" s="45"/>
      <c r="F235" s="45"/>
      <c r="G235" s="45"/>
      <c r="H235" s="45"/>
      <c r="I235" s="45"/>
      <c r="J235" s="51"/>
      <c r="K235" s="53">
        <v>7</v>
      </c>
      <c r="L235" s="45">
        <v>153.85</v>
      </c>
      <c r="M235" s="45"/>
      <c r="N235" s="45"/>
      <c r="O235" s="45"/>
      <c r="P235" s="45"/>
      <c r="Q235" s="45"/>
      <c r="R235" s="51"/>
      <c r="S235" s="53">
        <v>7</v>
      </c>
      <c r="T235" s="45">
        <v>154.4</v>
      </c>
      <c r="U235" s="45"/>
      <c r="V235" s="45"/>
      <c r="W235" s="45"/>
      <c r="X235" s="45"/>
      <c r="Y235" s="45"/>
      <c r="Z235" s="51"/>
      <c r="AA235" s="53">
        <v>7</v>
      </c>
      <c r="AB235" s="45">
        <v>153.75</v>
      </c>
      <c r="AC235" s="45"/>
      <c r="AD235" s="45"/>
      <c r="AE235" s="45"/>
      <c r="AF235" s="45"/>
      <c r="AG235" s="45"/>
      <c r="AH235" s="51"/>
      <c r="AI235" s="53">
        <v>7</v>
      </c>
      <c r="AJ235" s="45">
        <v>153.9</v>
      </c>
      <c r="AK235" s="45"/>
      <c r="AL235" s="45"/>
      <c r="AM235" s="45"/>
      <c r="AN235" s="45"/>
      <c r="AO235" s="45"/>
      <c r="AP235" s="51"/>
    </row>
    <row r="236" spans="1:42" ht="21" customHeight="1" thickTop="1" thickBot="1" x14ac:dyDescent="0.35">
      <c r="A236" s="63"/>
      <c r="B236" s="78"/>
      <c r="C236" s="53">
        <v>8</v>
      </c>
      <c r="D236" s="45">
        <v>150.63999999999999</v>
      </c>
      <c r="E236" s="45"/>
      <c r="F236" s="45"/>
      <c r="G236" s="45"/>
      <c r="H236" s="45"/>
      <c r="I236" s="45"/>
      <c r="J236" s="51"/>
      <c r="K236" s="53">
        <v>8</v>
      </c>
      <c r="L236" s="45">
        <v>153.4</v>
      </c>
      <c r="M236" s="45"/>
      <c r="N236" s="45"/>
      <c r="O236" s="45"/>
      <c r="P236" s="45"/>
      <c r="Q236" s="45"/>
      <c r="R236" s="51"/>
      <c r="S236" s="53">
        <v>8</v>
      </c>
      <c r="T236" s="45">
        <v>155.82</v>
      </c>
      <c r="U236" s="45"/>
      <c r="V236" s="45"/>
      <c r="W236" s="45"/>
      <c r="X236" s="45"/>
      <c r="Y236" s="45"/>
      <c r="Z236" s="51"/>
      <c r="AA236" s="53">
        <v>8</v>
      </c>
      <c r="AB236" s="45">
        <v>154.25</v>
      </c>
      <c r="AC236" s="45"/>
      <c r="AD236" s="45"/>
      <c r="AE236" s="45"/>
      <c r="AF236" s="45"/>
      <c r="AG236" s="45"/>
      <c r="AH236" s="51"/>
      <c r="AI236" s="53">
        <v>8</v>
      </c>
      <c r="AJ236" s="45">
        <v>153.77000000000001</v>
      </c>
      <c r="AK236" s="45"/>
      <c r="AL236" s="45"/>
      <c r="AM236" s="45"/>
      <c r="AN236" s="45"/>
      <c r="AO236" s="45"/>
      <c r="AP236" s="51"/>
    </row>
    <row r="237" spans="1:42" ht="21" customHeight="1" thickTop="1" thickBot="1" x14ac:dyDescent="0.35">
      <c r="A237" s="63"/>
      <c r="B237" s="78"/>
      <c r="C237" s="53">
        <v>9</v>
      </c>
      <c r="D237" s="45">
        <v>153.06</v>
      </c>
      <c r="E237" s="45"/>
      <c r="F237" s="45"/>
      <c r="G237" s="45"/>
      <c r="H237" s="45"/>
      <c r="I237" s="45"/>
      <c r="J237" s="51"/>
      <c r="K237" s="53">
        <v>9</v>
      </c>
      <c r="L237" s="45">
        <v>154.31</v>
      </c>
      <c r="M237" s="45"/>
      <c r="N237" s="45"/>
      <c r="O237" s="45"/>
      <c r="P237" s="45"/>
      <c r="Q237" s="45"/>
      <c r="R237" s="51"/>
      <c r="S237" s="53">
        <v>9</v>
      </c>
      <c r="T237" s="45">
        <v>155.78</v>
      </c>
      <c r="U237" s="45"/>
      <c r="V237" s="45"/>
      <c r="W237" s="45"/>
      <c r="X237" s="45"/>
      <c r="Y237" s="45"/>
      <c r="Z237" s="51"/>
      <c r="AA237" s="53">
        <v>9</v>
      </c>
      <c r="AB237" s="45">
        <v>156.09</v>
      </c>
      <c r="AC237" s="45"/>
      <c r="AD237" s="45"/>
      <c r="AE237" s="45"/>
      <c r="AF237" s="45"/>
      <c r="AG237" s="45"/>
      <c r="AH237" s="51"/>
      <c r="AI237" s="53">
        <v>9</v>
      </c>
      <c r="AJ237" s="45">
        <v>155.31</v>
      </c>
      <c r="AK237" s="45"/>
      <c r="AL237" s="45"/>
      <c r="AM237" s="45"/>
      <c r="AN237" s="45"/>
      <c r="AO237" s="45"/>
      <c r="AP237" s="51"/>
    </row>
    <row r="238" spans="1:42" ht="21" customHeight="1" thickTop="1" thickBot="1" x14ac:dyDescent="0.35">
      <c r="A238" s="63"/>
      <c r="B238" s="78"/>
      <c r="C238" s="53">
        <v>10</v>
      </c>
      <c r="D238" s="45">
        <v>153.52000000000001</v>
      </c>
      <c r="E238" s="45"/>
      <c r="F238" s="45"/>
      <c r="G238" s="45"/>
      <c r="H238" s="45"/>
      <c r="I238" s="45"/>
      <c r="J238" s="51"/>
      <c r="K238" s="53">
        <v>10</v>
      </c>
      <c r="L238" s="45">
        <v>151.55000000000001</v>
      </c>
      <c r="M238" s="45"/>
      <c r="N238" s="45"/>
      <c r="O238" s="45"/>
      <c r="P238" s="45"/>
      <c r="Q238" s="45"/>
      <c r="R238" s="51"/>
      <c r="S238" s="53">
        <v>10</v>
      </c>
      <c r="T238" s="45">
        <v>156.15</v>
      </c>
      <c r="U238" s="45"/>
      <c r="V238" s="45"/>
      <c r="W238" s="45"/>
      <c r="X238" s="45"/>
      <c r="Y238" s="45"/>
      <c r="Z238" s="51"/>
      <c r="AA238" s="53">
        <v>10</v>
      </c>
      <c r="AB238" s="45">
        <v>152.47999999999999</v>
      </c>
      <c r="AC238" s="45"/>
      <c r="AD238" s="45"/>
      <c r="AE238" s="45"/>
      <c r="AF238" s="45"/>
      <c r="AG238" s="45"/>
      <c r="AH238" s="51"/>
      <c r="AI238" s="53">
        <v>10</v>
      </c>
      <c r="AJ238" s="45">
        <v>154.53</v>
      </c>
      <c r="AK238" s="45"/>
      <c r="AL238" s="45"/>
      <c r="AM238" s="45"/>
      <c r="AN238" s="45"/>
      <c r="AO238" s="45"/>
      <c r="AP238" s="51"/>
    </row>
    <row r="239" spans="1:42" ht="21" customHeight="1" thickTop="1" thickBot="1" x14ac:dyDescent="0.35">
      <c r="A239" s="63"/>
      <c r="B239" s="78"/>
      <c r="C239" s="53"/>
      <c r="D239" s="45"/>
      <c r="E239" s="45"/>
      <c r="F239" s="45"/>
      <c r="G239" s="45"/>
      <c r="H239" s="45"/>
      <c r="I239" s="45"/>
      <c r="J239" s="51"/>
      <c r="K239" s="53"/>
      <c r="L239" s="45"/>
      <c r="M239" s="45"/>
      <c r="N239" s="45"/>
      <c r="O239" s="45"/>
      <c r="P239" s="45"/>
      <c r="Q239" s="45"/>
      <c r="R239" s="51"/>
      <c r="S239" s="53"/>
      <c r="T239" s="45"/>
      <c r="U239" s="45"/>
      <c r="V239" s="45"/>
      <c r="W239" s="45"/>
      <c r="X239" s="45"/>
      <c r="Y239" s="45"/>
      <c r="Z239" s="51"/>
      <c r="AA239" s="53"/>
      <c r="AB239" s="45"/>
      <c r="AC239" s="45"/>
      <c r="AD239" s="45"/>
      <c r="AE239" s="45"/>
      <c r="AF239" s="45"/>
      <c r="AG239" s="45"/>
      <c r="AH239" s="51"/>
      <c r="AI239" s="53"/>
      <c r="AJ239" s="45"/>
      <c r="AK239" s="45"/>
      <c r="AL239" s="45"/>
      <c r="AM239" s="45"/>
      <c r="AN239" s="45"/>
      <c r="AO239" s="45"/>
      <c r="AP239" s="51"/>
    </row>
    <row r="240" spans="1:42" ht="41" customHeight="1" thickTop="1" thickBot="1" x14ac:dyDescent="0.35">
      <c r="A240" s="63"/>
      <c r="B240" s="78"/>
      <c r="C240" s="54" t="s">
        <v>16</v>
      </c>
      <c r="D240" s="49">
        <f>MIN(D229:D238)</f>
        <v>150.63999999999999</v>
      </c>
      <c r="E240" s="45"/>
      <c r="F240" s="55" t="s">
        <v>17</v>
      </c>
      <c r="G240" s="49" t="s">
        <v>18</v>
      </c>
      <c r="H240" s="49" t="s">
        <v>19</v>
      </c>
      <c r="I240" s="45"/>
      <c r="J240" s="51"/>
      <c r="K240" s="54" t="s">
        <v>16</v>
      </c>
      <c r="L240" s="49">
        <f>MIN(L229:L238)</f>
        <v>151.55000000000001</v>
      </c>
      <c r="M240" s="45"/>
      <c r="N240" s="55" t="s">
        <v>17</v>
      </c>
      <c r="O240" s="49" t="s">
        <v>18</v>
      </c>
      <c r="P240" s="49" t="s">
        <v>19</v>
      </c>
      <c r="Q240" s="45"/>
      <c r="R240" s="51"/>
      <c r="S240" s="54" t="s">
        <v>16</v>
      </c>
      <c r="T240" s="49">
        <f>MIN(T229:T238)</f>
        <v>152.93</v>
      </c>
      <c r="U240" s="45"/>
      <c r="V240" s="55" t="s">
        <v>17</v>
      </c>
      <c r="W240" s="49" t="s">
        <v>18</v>
      </c>
      <c r="X240" s="49" t="s">
        <v>19</v>
      </c>
      <c r="Y240" s="45"/>
      <c r="Z240" s="51"/>
      <c r="AA240" s="54" t="s">
        <v>16</v>
      </c>
      <c r="AB240" s="49">
        <f>MIN(AB229:AB238)</f>
        <v>151.52000000000001</v>
      </c>
      <c r="AC240" s="45"/>
      <c r="AD240" s="55" t="s">
        <v>17</v>
      </c>
      <c r="AE240" s="49" t="s">
        <v>18</v>
      </c>
      <c r="AF240" s="49" t="s">
        <v>19</v>
      </c>
      <c r="AG240" s="45"/>
      <c r="AH240" s="51"/>
      <c r="AI240" s="54" t="s">
        <v>16</v>
      </c>
      <c r="AJ240" s="49">
        <f>MIN(AJ229:AJ238)</f>
        <v>153.38999999999999</v>
      </c>
      <c r="AK240" s="45"/>
      <c r="AL240" s="55" t="s">
        <v>17</v>
      </c>
      <c r="AM240" s="49" t="s">
        <v>18</v>
      </c>
      <c r="AN240" s="49" t="s">
        <v>19</v>
      </c>
      <c r="AO240" s="45"/>
      <c r="AP240" s="51"/>
    </row>
    <row r="241" spans="1:42" ht="21" customHeight="1" thickTop="1" thickBot="1" x14ac:dyDescent="0.35">
      <c r="A241" s="63"/>
      <c r="B241" s="78"/>
      <c r="C241" s="54" t="s">
        <v>20</v>
      </c>
      <c r="D241" s="48">
        <f>AVERAGE(D229:D238)</f>
        <v>152.13199999999998</v>
      </c>
      <c r="E241" s="47"/>
      <c r="F241" s="48">
        <f>_xlfn.STDEV.S(D229:D238) / AVERAGE(D229:D238) * 100%</f>
        <v>8.8550961003863813E-3</v>
      </c>
      <c r="G241" s="48">
        <f t="array" ref="G241">MIN((D229:D238 - MIN(D229:D238,L229:L238,T229:T238,AB229:AB238,AJ229:AJ238))/MIN(D229:D238,L229:L238,T229:T238,AB229:AB238,AJ229:AJ238)*100%)</f>
        <v>0</v>
      </c>
      <c r="H241" s="48">
        <f t="array" ref="H241">AVERAGE((D229:D238 - MIN(D229:D238,L229:L238,T229:T238,AB229:AB238,AJ229:AJ238))/MIN(D229:D238,L229:L238,T229:T238,AB229:AB238,AJ229:AJ238)*100%)</f>
        <v>9.9044078597982817E-3</v>
      </c>
      <c r="I241" s="45"/>
      <c r="J241" s="51"/>
      <c r="K241" s="54" t="s">
        <v>20</v>
      </c>
      <c r="L241" s="48">
        <f>AVERAGE(L229:L238)</f>
        <v>153.29400000000001</v>
      </c>
      <c r="M241" s="47"/>
      <c r="N241" s="48">
        <f>_xlfn.STDEV.S(L229:L238) / AVERAGE(L229:L238) * 100%</f>
        <v>7.2130314935773578E-3</v>
      </c>
      <c r="O241" s="48">
        <f t="array" ref="O241">MIN((L229:L238 - MIN(D229:D238,L229:L238,T229:T238,AB229:AB238,AJ229:AJ238))/MIN(D229:D238,L229:L238,T229:T238,AB229:AB238,AJ229:AJ238)*100%)</f>
        <v>6.0408921933087171E-3</v>
      </c>
      <c r="P241" s="48">
        <f t="array" ref="P241">AVERAGE((L229:L238 - MIN(D229:D238,L229:L238,T229:T238,AB229:AB238,AJ229:AJ238))/MIN(D229:D238,L229:L238,T229:T238,AB229:AB238,AJ229:AJ238)*100%)</f>
        <v>1.7618162506638432E-2</v>
      </c>
      <c r="Q241" s="44"/>
      <c r="R241" s="51"/>
      <c r="S241" s="54" t="s">
        <v>20</v>
      </c>
      <c r="T241" s="48">
        <f>AVERAGE(T229:T238)</f>
        <v>154.77200000000002</v>
      </c>
      <c r="U241" s="47"/>
      <c r="V241" s="48">
        <f>_xlfn.STDEV.S(T229:T238) / AVERAGE(T229:T238) * 100%</f>
        <v>8.821090445372784E-3</v>
      </c>
      <c r="W241" s="48">
        <f t="array" ref="W241">MIN((T229:T238 - MIN(D229:D238,L229:L238,T229:T238,AB229:AB238,AJ229:AJ238))/MIN(D229:D238,L229:L238,T229:T238,AB229:AB238,AJ229:AJ238)*100%)</f>
        <v>1.5201805629315061E-2</v>
      </c>
      <c r="X241" s="48">
        <f t="array" ref="X241">AVERAGE((T229:T238 - MIN(D229:D238,L229:L238,T229:T238,AB229:AB238,AJ229:AJ238))/MIN(D229:D238,L229:L238,T229:T238,AB229:AB238,AJ229:AJ238)*100%)</f>
        <v>2.7429633563462685E-2</v>
      </c>
      <c r="Y241" s="44"/>
      <c r="Z241" s="51"/>
      <c r="AA241" s="54" t="s">
        <v>20</v>
      </c>
      <c r="AB241" s="48">
        <f>AVERAGE(AB229:AB238)</f>
        <v>153.45599999999996</v>
      </c>
      <c r="AC241" s="47"/>
      <c r="AD241" s="48">
        <f>_xlfn.STDEV.S(AB229:AB238) / AVERAGE(AB229:AB238) * 100%</f>
        <v>1.0578703359668776E-2</v>
      </c>
      <c r="AE241" s="48">
        <f t="array" ref="AE241">MIN((AB229:AB238 - MIN(D229:D238,L229:L238,T229:T238,AB229:AB238,AJ229:AJ238))/MIN(D229:D238,L229:L238,T229:T238,AB229:AB238,AJ229:AJ238)*100%)</f>
        <v>5.841741901221614E-3</v>
      </c>
      <c r="AF241" s="48">
        <f t="array" ref="AF241">AVERAGE((AB229:AB238 - MIN(D229:D238,L229:L238,T229:T238,AB229:AB238,AJ229:AJ238))/MIN(D229:D238,L229:L238,T229:T238,AB229:AB238,AJ229:AJ238)*100%)</f>
        <v>1.8693574083908749E-2</v>
      </c>
      <c r="AG241" s="44"/>
      <c r="AH241" s="51"/>
      <c r="AI241" s="54" t="s">
        <v>20</v>
      </c>
      <c r="AJ241" s="48">
        <f>AVERAGE(AJ229:AJ238)</f>
        <v>154.185</v>
      </c>
      <c r="AK241" s="47"/>
      <c r="AL241" s="48">
        <f>_xlfn.STDEV.S(AJ229:AJ238) / AVERAGE(AJ229:AJ238) * 100%</f>
        <v>3.7653473062289359E-3</v>
      </c>
      <c r="AM241" s="48">
        <f t="array" ref="AM241">MIN((AJ229:AJ238 - MIN(D229:D238,L229:L238,T229:T238,AB229:AB238,AJ229:AJ238))/MIN(D229:D238,L229:L238,T229:T238,AB229:AB238,AJ229:AJ238)*100%)</f>
        <v>1.8255443441317049E-2</v>
      </c>
      <c r="AN241" s="48">
        <f t="array" ref="AN241">AVERAGE((AJ229:AJ238 - MIN(D229:D238,L229:L238,T229:T238,AB229:AB238,AJ229:AJ238))/MIN(D229:D238,L229:L238,T229:T238,AB229:AB238,AJ229:AJ238)*100%)</f>
        <v>2.3532926181625152E-2</v>
      </c>
      <c r="AO241" s="44"/>
      <c r="AP241" s="51"/>
    </row>
    <row r="242" spans="1:42" ht="21" customHeight="1" thickTop="1" thickBot="1" x14ac:dyDescent="0.35">
      <c r="A242" s="64"/>
      <c r="B242" s="79"/>
      <c r="C242" s="56"/>
      <c r="D242" s="57"/>
      <c r="E242" s="57"/>
      <c r="F242" s="57"/>
      <c r="G242" s="57"/>
      <c r="H242" s="57"/>
      <c r="I242" s="57"/>
      <c r="J242" s="58"/>
      <c r="K242" s="56"/>
      <c r="L242" s="57"/>
      <c r="M242" s="57"/>
      <c r="N242" s="57"/>
      <c r="O242" s="57"/>
      <c r="P242" s="57"/>
      <c r="Q242" s="57"/>
      <c r="R242" s="58"/>
      <c r="S242" s="56"/>
      <c r="T242" s="57"/>
      <c r="U242" s="57"/>
      <c r="V242" s="57"/>
      <c r="W242" s="57"/>
      <c r="X242" s="57"/>
      <c r="Y242" s="57"/>
      <c r="Z242" s="58"/>
      <c r="AA242" s="56"/>
      <c r="AB242" s="57"/>
      <c r="AC242" s="57"/>
      <c r="AD242" s="57"/>
      <c r="AE242" s="57"/>
      <c r="AF242" s="57"/>
      <c r="AG242" s="57"/>
      <c r="AH242" s="58"/>
      <c r="AI242" s="56"/>
      <c r="AJ242" s="57"/>
      <c r="AK242" s="57"/>
      <c r="AL242" s="57"/>
      <c r="AM242" s="57"/>
      <c r="AN242" s="57"/>
      <c r="AO242" s="57"/>
      <c r="AP242" s="58"/>
    </row>
    <row r="243" spans="1:42" ht="21" customHeight="1" thickTop="1" thickBot="1" x14ac:dyDescent="0.35">
      <c r="A243" s="62">
        <v>3</v>
      </c>
      <c r="B243" s="77" t="s">
        <v>43</v>
      </c>
      <c r="C243" s="59" t="s">
        <v>8</v>
      </c>
      <c r="D243" s="46" t="s">
        <v>9</v>
      </c>
      <c r="E243" s="46" t="s">
        <v>10</v>
      </c>
      <c r="F243" s="46" t="s">
        <v>11</v>
      </c>
      <c r="G243" s="46" t="s">
        <v>12</v>
      </c>
      <c r="H243" s="46" t="s">
        <v>13</v>
      </c>
      <c r="I243" s="46" t="s">
        <v>14</v>
      </c>
      <c r="J243" s="60" t="s">
        <v>15</v>
      </c>
      <c r="K243" s="59" t="s">
        <v>8</v>
      </c>
      <c r="L243" s="46" t="s">
        <v>9</v>
      </c>
      <c r="M243" s="46" t="s">
        <v>10</v>
      </c>
      <c r="N243" s="46" t="s">
        <v>11</v>
      </c>
      <c r="O243" s="46" t="s">
        <v>12</v>
      </c>
      <c r="P243" s="46" t="s">
        <v>13</v>
      </c>
      <c r="Q243" s="46" t="s">
        <v>14</v>
      </c>
      <c r="R243" s="60" t="s">
        <v>15</v>
      </c>
      <c r="S243" s="59" t="s">
        <v>8</v>
      </c>
      <c r="T243" s="46" t="s">
        <v>9</v>
      </c>
      <c r="U243" s="46" t="s">
        <v>10</v>
      </c>
      <c r="V243" s="46" t="s">
        <v>11</v>
      </c>
      <c r="W243" s="46" t="s">
        <v>12</v>
      </c>
      <c r="X243" s="46" t="s">
        <v>13</v>
      </c>
      <c r="Y243" s="46" t="s">
        <v>14</v>
      </c>
      <c r="Z243" s="60" t="s">
        <v>15</v>
      </c>
      <c r="AA243" s="59" t="s">
        <v>8</v>
      </c>
      <c r="AB243" s="46" t="s">
        <v>9</v>
      </c>
      <c r="AC243" s="46" t="s">
        <v>10</v>
      </c>
      <c r="AD243" s="46" t="s">
        <v>11</v>
      </c>
      <c r="AE243" s="46" t="s">
        <v>12</v>
      </c>
      <c r="AF243" s="46" t="s">
        <v>13</v>
      </c>
      <c r="AG243" s="46" t="s">
        <v>14</v>
      </c>
      <c r="AH243" s="60" t="s">
        <v>15</v>
      </c>
      <c r="AI243" s="59" t="s">
        <v>8</v>
      </c>
      <c r="AJ243" s="46" t="s">
        <v>9</v>
      </c>
      <c r="AK243" s="46" t="s">
        <v>10</v>
      </c>
      <c r="AL243" s="46" t="s">
        <v>11</v>
      </c>
      <c r="AM243" s="46" t="s">
        <v>12</v>
      </c>
      <c r="AN243" s="46" t="s">
        <v>13</v>
      </c>
      <c r="AO243" s="46" t="s">
        <v>14</v>
      </c>
      <c r="AP243" s="60" t="s">
        <v>15</v>
      </c>
    </row>
    <row r="244" spans="1:42" ht="21" customHeight="1" thickTop="1" thickBot="1" x14ac:dyDescent="0.35">
      <c r="A244" s="63"/>
      <c r="B244" s="78"/>
      <c r="C244" s="52">
        <v>1</v>
      </c>
      <c r="D244" s="44">
        <v>76.62</v>
      </c>
      <c r="E244" s="44"/>
      <c r="F244" s="44"/>
      <c r="G244" s="44"/>
      <c r="H244" s="44"/>
      <c r="I244" s="44"/>
      <c r="J244" s="51"/>
      <c r="K244" s="52">
        <v>1</v>
      </c>
      <c r="L244" s="44">
        <v>76.84</v>
      </c>
      <c r="M244" s="44"/>
      <c r="N244" s="44"/>
      <c r="O244" s="44"/>
      <c r="P244" s="44"/>
      <c r="Q244" s="44"/>
      <c r="R244" s="51"/>
      <c r="S244" s="52">
        <v>1</v>
      </c>
      <c r="T244" s="44">
        <v>76.92</v>
      </c>
      <c r="U244" s="44"/>
      <c r="V244" s="44"/>
      <c r="W244" s="44"/>
      <c r="X244" s="44"/>
      <c r="Y244" s="44"/>
      <c r="Z244" s="51"/>
      <c r="AA244" s="52">
        <v>1</v>
      </c>
      <c r="AB244" s="44">
        <v>76.410000000000011</v>
      </c>
      <c r="AC244" s="44"/>
      <c r="AD244" s="44"/>
      <c r="AE244" s="44"/>
      <c r="AF244" s="44"/>
      <c r="AG244" s="44"/>
      <c r="AH244" s="51"/>
      <c r="AI244" s="52">
        <v>1</v>
      </c>
      <c r="AJ244" s="44">
        <v>76.81</v>
      </c>
      <c r="AK244" s="44"/>
      <c r="AL244" s="44"/>
      <c r="AM244" s="44"/>
      <c r="AN244" s="44"/>
      <c r="AO244" s="44"/>
      <c r="AP244" s="51"/>
    </row>
    <row r="245" spans="1:42" ht="21" customHeight="1" thickTop="1" thickBot="1" x14ac:dyDescent="0.35">
      <c r="A245" s="63"/>
      <c r="B245" s="78"/>
      <c r="C245" s="53">
        <v>2</v>
      </c>
      <c r="D245" s="45">
        <v>76.92</v>
      </c>
      <c r="E245" s="45"/>
      <c r="F245" s="45"/>
      <c r="G245" s="45"/>
      <c r="H245" s="45"/>
      <c r="I245" s="45"/>
      <c r="J245" s="51"/>
      <c r="K245" s="53">
        <v>2</v>
      </c>
      <c r="L245" s="45">
        <v>77.13</v>
      </c>
      <c r="M245" s="45"/>
      <c r="N245" s="45"/>
      <c r="O245" s="45"/>
      <c r="P245" s="45"/>
      <c r="Q245" s="45"/>
      <c r="R245" s="51"/>
      <c r="S245" s="53">
        <v>2</v>
      </c>
      <c r="T245" s="45">
        <v>76.84</v>
      </c>
      <c r="U245" s="45"/>
      <c r="V245" s="45"/>
      <c r="W245" s="45"/>
      <c r="X245" s="45"/>
      <c r="Y245" s="45"/>
      <c r="Z245" s="51"/>
      <c r="AA245" s="53">
        <v>2</v>
      </c>
      <c r="AB245" s="45">
        <v>77.190000000000012</v>
      </c>
      <c r="AC245" s="45"/>
      <c r="AD245" s="45"/>
      <c r="AE245" s="45"/>
      <c r="AF245" s="45"/>
      <c r="AG245" s="45"/>
      <c r="AH245" s="51"/>
      <c r="AI245" s="53">
        <v>2</v>
      </c>
      <c r="AJ245" s="45">
        <v>77.06</v>
      </c>
      <c r="AK245" s="45"/>
      <c r="AL245" s="45"/>
      <c r="AM245" s="45"/>
      <c r="AN245" s="45"/>
      <c r="AO245" s="45"/>
      <c r="AP245" s="51"/>
    </row>
    <row r="246" spans="1:42" ht="21" customHeight="1" thickTop="1" thickBot="1" x14ac:dyDescent="0.35">
      <c r="A246" s="63"/>
      <c r="B246" s="78"/>
      <c r="C246" s="53">
        <v>3</v>
      </c>
      <c r="D246" s="45">
        <v>75.77000000000001</v>
      </c>
      <c r="E246" s="45"/>
      <c r="F246" s="45"/>
      <c r="G246" s="44"/>
      <c r="H246" s="44"/>
      <c r="I246" s="44"/>
      <c r="J246" s="51"/>
      <c r="K246" s="53">
        <v>3</v>
      </c>
      <c r="L246" s="45">
        <v>76.73</v>
      </c>
      <c r="M246" s="45"/>
      <c r="N246" s="45"/>
      <c r="O246" s="44"/>
      <c r="P246" s="44"/>
      <c r="Q246" s="44"/>
      <c r="R246" s="51"/>
      <c r="S246" s="53">
        <v>3</v>
      </c>
      <c r="T246" s="45">
        <v>77.83</v>
      </c>
      <c r="U246" s="45"/>
      <c r="V246" s="45"/>
      <c r="W246" s="44"/>
      <c r="X246" s="44"/>
      <c r="Y246" s="44"/>
      <c r="Z246" s="51"/>
      <c r="AA246" s="53">
        <v>3</v>
      </c>
      <c r="AB246" s="45">
        <v>77.13</v>
      </c>
      <c r="AC246" s="45"/>
      <c r="AD246" s="45"/>
      <c r="AE246" s="44"/>
      <c r="AF246" s="44"/>
      <c r="AG246" s="44"/>
      <c r="AH246" s="51"/>
      <c r="AI246" s="53">
        <v>3</v>
      </c>
      <c r="AJ246" s="45">
        <v>77.22</v>
      </c>
      <c r="AK246" s="45"/>
      <c r="AL246" s="45"/>
      <c r="AM246" s="44"/>
      <c r="AN246" s="44"/>
      <c r="AO246" s="44"/>
      <c r="AP246" s="51"/>
    </row>
    <row r="247" spans="1:42" ht="21" customHeight="1" thickTop="1" thickBot="1" x14ac:dyDescent="0.35">
      <c r="A247" s="63"/>
      <c r="B247" s="78"/>
      <c r="C247" s="53">
        <v>4</v>
      </c>
      <c r="D247" s="45">
        <v>76.84</v>
      </c>
      <c r="E247" s="45"/>
      <c r="F247" s="45"/>
      <c r="G247" s="45"/>
      <c r="H247" s="45"/>
      <c r="I247" s="45"/>
      <c r="J247" s="51"/>
      <c r="K247" s="53">
        <v>4</v>
      </c>
      <c r="L247" s="45">
        <v>76.66</v>
      </c>
      <c r="M247" s="45"/>
      <c r="N247" s="45"/>
      <c r="O247" s="45"/>
      <c r="P247" s="45"/>
      <c r="Q247" s="45"/>
      <c r="R247" s="51"/>
      <c r="S247" s="53">
        <v>4</v>
      </c>
      <c r="T247" s="45">
        <v>76.88000000000001</v>
      </c>
      <c r="U247" s="45"/>
      <c r="V247" s="45"/>
      <c r="W247" s="45"/>
      <c r="X247" s="45"/>
      <c r="Y247" s="45"/>
      <c r="Z247" s="51"/>
      <c r="AA247" s="53">
        <v>4</v>
      </c>
      <c r="AB247" s="45">
        <v>77.14</v>
      </c>
      <c r="AC247" s="45"/>
      <c r="AD247" s="45"/>
      <c r="AE247" s="45"/>
      <c r="AF247" s="45"/>
      <c r="AG247" s="45"/>
      <c r="AH247" s="51"/>
      <c r="AI247" s="53">
        <v>4</v>
      </c>
      <c r="AJ247" s="45">
        <v>76.350000000000009</v>
      </c>
      <c r="AK247" s="45"/>
      <c r="AL247" s="45"/>
      <c r="AM247" s="45"/>
      <c r="AN247" s="45"/>
      <c r="AO247" s="45"/>
      <c r="AP247" s="51"/>
    </row>
    <row r="248" spans="1:42" ht="21" customHeight="1" thickTop="1" thickBot="1" x14ac:dyDescent="0.35">
      <c r="A248" s="63"/>
      <c r="B248" s="78"/>
      <c r="C248" s="53">
        <v>5</v>
      </c>
      <c r="D248" s="45">
        <v>76.5</v>
      </c>
      <c r="E248" s="45"/>
      <c r="F248" s="45"/>
      <c r="G248" s="45"/>
      <c r="H248" s="45"/>
      <c r="I248" s="45"/>
      <c r="J248" s="51"/>
      <c r="K248" s="53">
        <v>5</v>
      </c>
      <c r="L248" s="45">
        <v>76.77</v>
      </c>
      <c r="M248" s="45"/>
      <c r="N248" s="45"/>
      <c r="O248" s="45"/>
      <c r="P248" s="45"/>
      <c r="Q248" s="45"/>
      <c r="R248" s="51"/>
      <c r="S248" s="53">
        <v>5</v>
      </c>
      <c r="T248" s="45">
        <v>77.44</v>
      </c>
      <c r="U248" s="45"/>
      <c r="V248" s="45"/>
      <c r="W248" s="45"/>
      <c r="X248" s="45"/>
      <c r="Y248" s="45"/>
      <c r="Z248" s="51"/>
      <c r="AA248" s="53">
        <v>5</v>
      </c>
      <c r="AB248" s="45">
        <v>76.77</v>
      </c>
      <c r="AC248" s="45"/>
      <c r="AD248" s="45"/>
      <c r="AE248" s="45"/>
      <c r="AF248" s="45"/>
      <c r="AG248" s="45"/>
      <c r="AH248" s="51"/>
      <c r="AI248" s="53">
        <v>5</v>
      </c>
      <c r="AJ248" s="45">
        <v>76.88000000000001</v>
      </c>
      <c r="AK248" s="45"/>
      <c r="AL248" s="45"/>
      <c r="AM248" s="45"/>
      <c r="AN248" s="45"/>
      <c r="AO248" s="45"/>
      <c r="AP248" s="51"/>
    </row>
    <row r="249" spans="1:42" ht="21" customHeight="1" thickTop="1" thickBot="1" x14ac:dyDescent="0.35">
      <c r="A249" s="63"/>
      <c r="B249" s="78"/>
      <c r="C249" s="53">
        <v>6</v>
      </c>
      <c r="D249" s="45">
        <v>74.73</v>
      </c>
      <c r="E249" s="45"/>
      <c r="F249" s="45"/>
      <c r="G249" s="45"/>
      <c r="H249" s="45"/>
      <c r="I249" s="45"/>
      <c r="J249" s="51"/>
      <c r="K249" s="53">
        <v>6</v>
      </c>
      <c r="L249" s="45">
        <v>76.14</v>
      </c>
      <c r="M249" s="45"/>
      <c r="N249" s="45"/>
      <c r="O249" s="45"/>
      <c r="P249" s="45"/>
      <c r="Q249" s="45"/>
      <c r="R249" s="51"/>
      <c r="S249" s="53">
        <v>6</v>
      </c>
      <c r="T249" s="45">
        <v>78.099999999999994</v>
      </c>
      <c r="U249" s="45"/>
      <c r="V249" s="45"/>
      <c r="W249" s="45"/>
      <c r="X249" s="45"/>
      <c r="Y249" s="45"/>
      <c r="Z249" s="51"/>
      <c r="AA249" s="53">
        <v>6</v>
      </c>
      <c r="AB249" s="45">
        <v>76.850000000000009</v>
      </c>
      <c r="AC249" s="45"/>
      <c r="AD249" s="45"/>
      <c r="AE249" s="45"/>
      <c r="AF249" s="45"/>
      <c r="AG249" s="45"/>
      <c r="AH249" s="51"/>
      <c r="AI249" s="53">
        <v>6</v>
      </c>
      <c r="AJ249" s="45">
        <v>76.83</v>
      </c>
      <c r="AK249" s="45"/>
      <c r="AL249" s="45"/>
      <c r="AM249" s="45"/>
      <c r="AN249" s="45"/>
      <c r="AO249" s="45"/>
      <c r="AP249" s="51"/>
    </row>
    <row r="250" spans="1:42" ht="21" customHeight="1" thickTop="1" thickBot="1" x14ac:dyDescent="0.35">
      <c r="A250" s="63"/>
      <c r="B250" s="78"/>
      <c r="C250" s="53">
        <v>7</v>
      </c>
      <c r="D250" s="45">
        <v>76.02</v>
      </c>
      <c r="E250" s="45"/>
      <c r="F250" s="45"/>
      <c r="G250" s="45"/>
      <c r="H250" s="45"/>
      <c r="I250" s="45"/>
      <c r="J250" s="51"/>
      <c r="K250" s="53">
        <v>7</v>
      </c>
      <c r="L250" s="45">
        <v>76.63</v>
      </c>
      <c r="M250" s="45"/>
      <c r="N250" s="45"/>
      <c r="O250" s="45"/>
      <c r="P250" s="45"/>
      <c r="Q250" s="45"/>
      <c r="R250" s="51"/>
      <c r="S250" s="53">
        <v>7</v>
      </c>
      <c r="T250" s="45">
        <v>79.78</v>
      </c>
      <c r="U250" s="45"/>
      <c r="V250" s="45"/>
      <c r="W250" s="45"/>
      <c r="X250" s="45"/>
      <c r="Y250" s="45"/>
      <c r="Z250" s="51"/>
      <c r="AA250" s="53">
        <v>7</v>
      </c>
      <c r="AB250" s="45">
        <v>78.510000000000005</v>
      </c>
      <c r="AC250" s="45"/>
      <c r="AD250" s="45"/>
      <c r="AE250" s="45"/>
      <c r="AF250" s="45"/>
      <c r="AG250" s="45"/>
      <c r="AH250" s="51"/>
      <c r="AI250" s="53">
        <v>7</v>
      </c>
      <c r="AJ250" s="45">
        <v>77.09</v>
      </c>
      <c r="AK250" s="45"/>
      <c r="AL250" s="45"/>
      <c r="AM250" s="45"/>
      <c r="AN250" s="45"/>
      <c r="AO250" s="45"/>
      <c r="AP250" s="51"/>
    </row>
    <row r="251" spans="1:42" ht="21" customHeight="1" thickTop="1" thickBot="1" x14ac:dyDescent="0.35">
      <c r="A251" s="63"/>
      <c r="B251" s="78"/>
      <c r="C251" s="53">
        <v>8</v>
      </c>
      <c r="D251" s="45">
        <v>76.58</v>
      </c>
      <c r="E251" s="45"/>
      <c r="F251" s="45"/>
      <c r="G251" s="45"/>
      <c r="H251" s="45"/>
      <c r="I251" s="45"/>
      <c r="J251" s="51"/>
      <c r="K251" s="53">
        <v>8</v>
      </c>
      <c r="L251" s="45">
        <v>76.92</v>
      </c>
      <c r="M251" s="45"/>
      <c r="N251" s="45"/>
      <c r="O251" s="45"/>
      <c r="P251" s="45"/>
      <c r="Q251" s="45"/>
      <c r="R251" s="51"/>
      <c r="S251" s="53">
        <v>8</v>
      </c>
      <c r="T251" s="45">
        <v>76.77</v>
      </c>
      <c r="U251" s="45"/>
      <c r="V251" s="45"/>
      <c r="W251" s="45"/>
      <c r="X251" s="45"/>
      <c r="Y251" s="45"/>
      <c r="Z251" s="51"/>
      <c r="AA251" s="53">
        <v>8</v>
      </c>
      <c r="AB251" s="45">
        <v>77.13</v>
      </c>
      <c r="AC251" s="45"/>
      <c r="AD251" s="45"/>
      <c r="AE251" s="45"/>
      <c r="AF251" s="45"/>
      <c r="AG251" s="45"/>
      <c r="AH251" s="51"/>
      <c r="AI251" s="53">
        <v>8</v>
      </c>
      <c r="AJ251" s="45">
        <v>77.22</v>
      </c>
      <c r="AK251" s="45"/>
      <c r="AL251" s="45"/>
      <c r="AM251" s="45"/>
      <c r="AN251" s="45"/>
      <c r="AO251" s="45"/>
      <c r="AP251" s="51"/>
    </row>
    <row r="252" spans="1:42" ht="21" customHeight="1" thickTop="1" thickBot="1" x14ac:dyDescent="0.35">
      <c r="A252" s="63"/>
      <c r="B252" s="78"/>
      <c r="C252" s="53">
        <v>9</v>
      </c>
      <c r="D252" s="45">
        <v>75.77</v>
      </c>
      <c r="E252" s="45"/>
      <c r="F252" s="45"/>
      <c r="G252" s="45"/>
      <c r="H252" s="45"/>
      <c r="I252" s="45"/>
      <c r="J252" s="51"/>
      <c r="K252" s="53">
        <v>9</v>
      </c>
      <c r="L252" s="45">
        <v>77.95</v>
      </c>
      <c r="M252" s="45"/>
      <c r="N252" s="45"/>
      <c r="O252" s="45"/>
      <c r="P252" s="45"/>
      <c r="Q252" s="45"/>
      <c r="R252" s="51"/>
      <c r="S252" s="53">
        <v>9</v>
      </c>
      <c r="T252" s="45">
        <v>77.61</v>
      </c>
      <c r="U252" s="45"/>
      <c r="V252" s="45"/>
      <c r="W252" s="45"/>
      <c r="X252" s="45"/>
      <c r="Y252" s="45"/>
      <c r="Z252" s="51"/>
      <c r="AA252" s="53">
        <v>9</v>
      </c>
      <c r="AB252" s="45">
        <v>77.13</v>
      </c>
      <c r="AC252" s="45"/>
      <c r="AD252" s="45"/>
      <c r="AE252" s="45"/>
      <c r="AF252" s="45"/>
      <c r="AG252" s="45"/>
      <c r="AH252" s="51"/>
      <c r="AI252" s="53">
        <v>9</v>
      </c>
      <c r="AJ252" s="45">
        <v>77.289999999999992</v>
      </c>
      <c r="AK252" s="45"/>
      <c r="AL252" s="45"/>
      <c r="AM252" s="45"/>
      <c r="AN252" s="45"/>
      <c r="AO252" s="45"/>
      <c r="AP252" s="51"/>
    </row>
    <row r="253" spans="1:42" ht="21" customHeight="1" thickTop="1" thickBot="1" x14ac:dyDescent="0.35">
      <c r="A253" s="63"/>
      <c r="B253" s="78"/>
      <c r="C253" s="53">
        <v>10</v>
      </c>
      <c r="D253" s="45">
        <v>75.06</v>
      </c>
      <c r="E253" s="45"/>
      <c r="F253" s="45"/>
      <c r="G253" s="45"/>
      <c r="H253" s="45"/>
      <c r="I253" s="45"/>
      <c r="J253" s="51"/>
      <c r="K253" s="53">
        <v>10</v>
      </c>
      <c r="L253" s="45">
        <v>77.210000000000008</v>
      </c>
      <c r="M253" s="45"/>
      <c r="N253" s="45"/>
      <c r="O253" s="45"/>
      <c r="P253" s="45"/>
      <c r="Q253" s="45"/>
      <c r="R253" s="51"/>
      <c r="S253" s="53">
        <v>10</v>
      </c>
      <c r="T253" s="45">
        <v>78.670000000000016</v>
      </c>
      <c r="U253" s="45"/>
      <c r="V253" s="45"/>
      <c r="W253" s="45"/>
      <c r="X253" s="45"/>
      <c r="Y253" s="45"/>
      <c r="Z253" s="51"/>
      <c r="AA253" s="53">
        <v>10</v>
      </c>
      <c r="AB253" s="45">
        <v>76.06</v>
      </c>
      <c r="AC253" s="45"/>
      <c r="AD253" s="45"/>
      <c r="AE253" s="45"/>
      <c r="AF253" s="45"/>
      <c r="AG253" s="45"/>
      <c r="AH253" s="51"/>
      <c r="AI253" s="53">
        <v>10</v>
      </c>
      <c r="AJ253" s="45">
        <v>76.5</v>
      </c>
      <c r="AK253" s="45"/>
      <c r="AL253" s="45"/>
      <c r="AM253" s="45"/>
      <c r="AN253" s="45"/>
      <c r="AO253" s="45"/>
      <c r="AP253" s="51"/>
    </row>
    <row r="254" spans="1:42" ht="21" customHeight="1" thickTop="1" thickBot="1" x14ac:dyDescent="0.35">
      <c r="A254" s="63"/>
      <c r="B254" s="78"/>
      <c r="C254" s="53"/>
      <c r="D254" s="45"/>
      <c r="E254" s="45"/>
      <c r="F254" s="45"/>
      <c r="G254" s="45"/>
      <c r="H254" s="45"/>
      <c r="I254" s="45"/>
      <c r="J254" s="51"/>
      <c r="K254" s="53"/>
      <c r="L254" s="45"/>
      <c r="M254" s="45"/>
      <c r="N254" s="45"/>
      <c r="O254" s="45"/>
      <c r="P254" s="45"/>
      <c r="Q254" s="45"/>
      <c r="R254" s="51"/>
      <c r="S254" s="53"/>
      <c r="T254" s="45"/>
      <c r="U254" s="45"/>
      <c r="V254" s="45"/>
      <c r="W254" s="45"/>
      <c r="X254" s="45"/>
      <c r="Y254" s="45"/>
      <c r="Z254" s="51"/>
      <c r="AA254" s="53"/>
      <c r="AB254" s="45"/>
      <c r="AC254" s="45"/>
      <c r="AD254" s="45"/>
      <c r="AE254" s="45"/>
      <c r="AF254" s="45"/>
      <c r="AG254" s="45"/>
      <c r="AH254" s="51"/>
      <c r="AI254" s="53"/>
      <c r="AJ254" s="45"/>
      <c r="AK254" s="45"/>
      <c r="AL254" s="45"/>
      <c r="AM254" s="45"/>
      <c r="AN254" s="45"/>
      <c r="AO254" s="45"/>
      <c r="AP254" s="51"/>
    </row>
    <row r="255" spans="1:42" ht="41" customHeight="1" thickTop="1" thickBot="1" x14ac:dyDescent="0.35">
      <c r="A255" s="63"/>
      <c r="B255" s="78"/>
      <c r="C255" s="54" t="s">
        <v>16</v>
      </c>
      <c r="D255" s="49">
        <f>MIN(D244:D253)</f>
        <v>74.73</v>
      </c>
      <c r="E255" s="45"/>
      <c r="F255" s="55" t="s">
        <v>17</v>
      </c>
      <c r="G255" s="49" t="s">
        <v>18</v>
      </c>
      <c r="H255" s="49" t="s">
        <v>19</v>
      </c>
      <c r="I255" s="45"/>
      <c r="J255" s="51"/>
      <c r="K255" s="54" t="s">
        <v>16</v>
      </c>
      <c r="L255" s="49">
        <f>MIN(L244:L253)</f>
        <v>76.14</v>
      </c>
      <c r="M255" s="45"/>
      <c r="N255" s="55" t="s">
        <v>17</v>
      </c>
      <c r="O255" s="49" t="s">
        <v>18</v>
      </c>
      <c r="P255" s="49" t="s">
        <v>19</v>
      </c>
      <c r="Q255" s="45"/>
      <c r="R255" s="51"/>
      <c r="S255" s="54" t="s">
        <v>16</v>
      </c>
      <c r="T255" s="49">
        <f>MIN(T244:T253)</f>
        <v>76.77</v>
      </c>
      <c r="U255" s="45"/>
      <c r="V255" s="55" t="s">
        <v>17</v>
      </c>
      <c r="W255" s="49" t="s">
        <v>18</v>
      </c>
      <c r="X255" s="49" t="s">
        <v>19</v>
      </c>
      <c r="Y255" s="45"/>
      <c r="Z255" s="51"/>
      <c r="AA255" s="54" t="s">
        <v>16</v>
      </c>
      <c r="AB255" s="49">
        <f>MIN(AB244:AB253)</f>
        <v>76.06</v>
      </c>
      <c r="AC255" s="45"/>
      <c r="AD255" s="55" t="s">
        <v>17</v>
      </c>
      <c r="AE255" s="49" t="s">
        <v>18</v>
      </c>
      <c r="AF255" s="49" t="s">
        <v>19</v>
      </c>
      <c r="AG255" s="45"/>
      <c r="AH255" s="51"/>
      <c r="AI255" s="54" t="s">
        <v>16</v>
      </c>
      <c r="AJ255" s="49">
        <f>MIN(AJ244:AJ253)</f>
        <v>76.350000000000009</v>
      </c>
      <c r="AK255" s="45"/>
      <c r="AL255" s="55" t="s">
        <v>17</v>
      </c>
      <c r="AM255" s="49" t="s">
        <v>18</v>
      </c>
      <c r="AN255" s="49" t="s">
        <v>19</v>
      </c>
      <c r="AO255" s="45"/>
      <c r="AP255" s="51"/>
    </row>
    <row r="256" spans="1:42" ht="21" customHeight="1" thickTop="1" thickBot="1" x14ac:dyDescent="0.35">
      <c r="A256" s="63"/>
      <c r="B256" s="78"/>
      <c r="C256" s="54" t="s">
        <v>20</v>
      </c>
      <c r="D256" s="48">
        <f>AVERAGE(D244:D253)</f>
        <v>76.081000000000017</v>
      </c>
      <c r="E256" s="47"/>
      <c r="F256" s="48">
        <f>_xlfn.STDEV.S(D244:D253) / AVERAGE(D244:D253) * 100%</f>
        <v>9.8553731121005499E-3</v>
      </c>
      <c r="G256" s="48">
        <f t="array" ref="G256">MIN((D244:D253 - MIN(D244:D253,L244:L253,T244:T253,AB244:AB253,AJ244:AJ253))/MIN(D244:D253,L244:L253,T244:T253,AB244:AB253,AJ244:AJ253)*100%)</f>
        <v>0</v>
      </c>
      <c r="H256" s="48">
        <f t="array" ref="H256">AVERAGE((D244:D253 - MIN(D244:D253,L244:L253,T244:T253,AB244:AB253,AJ244:AJ253))/MIN(D244:D253,L244:L253,T244:T253,AB244:AB253,AJ244:AJ253)*100%)</f>
        <v>1.8078415629599862E-2</v>
      </c>
      <c r="I256" s="45"/>
      <c r="J256" s="51"/>
      <c r="K256" s="54" t="s">
        <v>20</v>
      </c>
      <c r="L256" s="48">
        <f>AVERAGE(L244:L253)</f>
        <v>76.897999999999996</v>
      </c>
      <c r="M256" s="47"/>
      <c r="N256" s="48">
        <f>_xlfn.STDEV.S(L244:L253) / AVERAGE(L244:L253) * 100%</f>
        <v>6.1445852918100953E-3</v>
      </c>
      <c r="O256" s="48">
        <f t="array" ref="O256">MIN((L244:L253 - MIN(D244:D253,L244:L253,T244:T253,AB244:AB253,AJ244:AJ253))/MIN(D244:D253,L244:L253,T244:T253,AB244:AB253,AJ244:AJ253)*100%)</f>
        <v>1.8867924528301841E-2</v>
      </c>
      <c r="P256" s="48">
        <f t="array" ref="P256">AVERAGE((L244:L253 - MIN(D244:D253,L244:L253,T244:T253,AB244:AB253,AJ244:AJ253))/MIN(D244:D253,L244:L253,T244:T253,AB244:AB253,AJ244:AJ253)*100%)</f>
        <v>2.9011106650608808E-2</v>
      </c>
      <c r="Q256" s="44"/>
      <c r="R256" s="51"/>
      <c r="S256" s="54" t="s">
        <v>20</v>
      </c>
      <c r="T256" s="48">
        <f>AVERAGE(T244:T253)</f>
        <v>77.683999999999997</v>
      </c>
      <c r="U256" s="47"/>
      <c r="V256" s="48">
        <f>_xlfn.STDEV.S(T244:T253) / AVERAGE(T244:T253) * 100%</f>
        <v>1.2438128643941483E-2</v>
      </c>
      <c r="W256" s="48">
        <f t="array" ref="W256">MIN((T244:T253 - MIN(D244:D253,L244:L253,T244:T253,AB244:AB253,AJ244:AJ253))/MIN(D244:D253,L244:L253,T244:T253,AB244:AB253,AJ244:AJ253)*100%)</f>
        <v>2.7298273785628154E-2</v>
      </c>
      <c r="X256" s="48">
        <f t="array" ref="X256">AVERAGE((T244:T253 - MIN(D244:D253,L244:L253,T244:T253,AB244:AB253,AJ244:AJ253))/MIN(D244:D253,L244:L253,T244:T253,AB244:AB253,AJ244:AJ253)*100%)</f>
        <v>3.9528970962130303E-2</v>
      </c>
      <c r="Y256" s="44"/>
      <c r="Z256" s="51"/>
      <c r="AA256" s="54" t="s">
        <v>20</v>
      </c>
      <c r="AB256" s="48">
        <f>AVERAGE(AB244:AB253)</f>
        <v>77.031999999999996</v>
      </c>
      <c r="AC256" s="47"/>
      <c r="AD256" s="48">
        <f>_xlfn.STDEV.S(AB244:AB253) / AVERAGE(AB244:AB253) * 100%</f>
        <v>8.3048091271743004E-3</v>
      </c>
      <c r="AE256" s="48">
        <f t="array" ref="AE256">MIN((AB244:AB253 - MIN(D244:D253,L244:L253,T244:T253,AB244:AB253,AJ244:AJ253))/MIN(D244:D253,L244:L253,T244:T253,AB244:AB253,AJ244:AJ253)*100%)</f>
        <v>1.7797403987688989E-2</v>
      </c>
      <c r="AF256" s="48">
        <f t="array" ref="AF256">AVERAGE((AB244:AB253 - MIN(D244:D253,L244:L253,T244:T253,AB244:AB253,AJ244:AJ253))/MIN(D244:D253,L244:L253,T244:T253,AB244:AB253,AJ244:AJ253)*100%)</f>
        <v>3.0804228556135398E-2</v>
      </c>
      <c r="AG256" s="44"/>
      <c r="AH256" s="51"/>
      <c r="AI256" s="54" t="s">
        <v>20</v>
      </c>
      <c r="AJ256" s="48">
        <f>AVERAGE(AJ244:AJ253)</f>
        <v>76.924999999999997</v>
      </c>
      <c r="AK256" s="47"/>
      <c r="AL256" s="48">
        <f>_xlfn.STDEV.S(AJ244:AJ253) / AVERAGE(AJ244:AJ253) * 100%</f>
        <v>4.0839352558932679E-3</v>
      </c>
      <c r="AM256" s="48">
        <f t="array" ref="AM256">MIN((AJ244:AJ253 - MIN(D244:D253,L244:L253,T244:T253,AB244:AB253,AJ244:AJ253))/MIN(D244:D253,L244:L253,T244:T253,AB244:AB253,AJ244:AJ253)*100%)</f>
        <v>2.1678040947410739E-2</v>
      </c>
      <c r="AN256" s="48">
        <f t="array" ref="AN256">AVERAGE((AJ244:AJ253 - MIN(D244:D253,L244:L253,T244:T253,AB244:AB253,AJ244:AJ253))/MIN(D244:D253,L244:L253,T244:T253,AB244:AB253,AJ244:AJ253)*100%)</f>
        <v>2.9372407333065665E-2</v>
      </c>
      <c r="AO256" s="44"/>
      <c r="AP256" s="51"/>
    </row>
    <row r="257" spans="1:42" ht="21" customHeight="1" thickTop="1" thickBot="1" x14ac:dyDescent="0.35">
      <c r="A257" s="63"/>
      <c r="B257" s="79"/>
      <c r="C257" s="53"/>
      <c r="D257" s="44"/>
      <c r="E257" s="44"/>
      <c r="F257" s="44"/>
      <c r="G257" s="44"/>
      <c r="H257" s="44"/>
      <c r="I257" s="44"/>
      <c r="J257" s="51"/>
      <c r="K257" s="53"/>
      <c r="L257" s="44"/>
      <c r="M257" s="44"/>
      <c r="N257" s="44"/>
      <c r="O257" s="44"/>
      <c r="P257" s="44"/>
      <c r="Q257" s="44"/>
      <c r="R257" s="51"/>
      <c r="S257" s="53"/>
      <c r="T257" s="44"/>
      <c r="U257" s="44"/>
      <c r="V257" s="44"/>
      <c r="W257" s="44"/>
      <c r="X257" s="44"/>
      <c r="Y257" s="44"/>
      <c r="Z257" s="51"/>
      <c r="AA257" s="53"/>
      <c r="AB257" s="44"/>
      <c r="AC257" s="44"/>
      <c r="AD257" s="44"/>
      <c r="AE257" s="44"/>
      <c r="AF257" s="44"/>
      <c r="AG257" s="44"/>
      <c r="AH257" s="51"/>
      <c r="AI257" s="53"/>
      <c r="AJ257" s="44"/>
      <c r="AK257" s="44"/>
      <c r="AL257" s="44"/>
      <c r="AM257" s="44"/>
      <c r="AN257" s="44"/>
      <c r="AO257" s="44"/>
      <c r="AP257" s="51"/>
    </row>
    <row r="258" spans="1:42" ht="21" customHeight="1" thickTop="1" thickBot="1" x14ac:dyDescent="0.35">
      <c r="A258" s="63"/>
      <c r="B258" s="77" t="s">
        <v>44</v>
      </c>
      <c r="C258" s="59" t="s">
        <v>8</v>
      </c>
      <c r="D258" s="46" t="s">
        <v>9</v>
      </c>
      <c r="E258" s="46" t="s">
        <v>10</v>
      </c>
      <c r="F258" s="46" t="s">
        <v>11</v>
      </c>
      <c r="G258" s="46" t="s">
        <v>12</v>
      </c>
      <c r="H258" s="46" t="s">
        <v>13</v>
      </c>
      <c r="I258" s="46" t="s">
        <v>14</v>
      </c>
      <c r="J258" s="60" t="s">
        <v>15</v>
      </c>
      <c r="K258" s="59" t="s">
        <v>8</v>
      </c>
      <c r="L258" s="46" t="s">
        <v>9</v>
      </c>
      <c r="M258" s="46" t="s">
        <v>10</v>
      </c>
      <c r="N258" s="46" t="s">
        <v>11</v>
      </c>
      <c r="O258" s="46" t="s">
        <v>12</v>
      </c>
      <c r="P258" s="46" t="s">
        <v>13</v>
      </c>
      <c r="Q258" s="46" t="s">
        <v>14</v>
      </c>
      <c r="R258" s="60" t="s">
        <v>15</v>
      </c>
      <c r="S258" s="59" t="s">
        <v>8</v>
      </c>
      <c r="T258" s="46" t="s">
        <v>9</v>
      </c>
      <c r="U258" s="46" t="s">
        <v>10</v>
      </c>
      <c r="V258" s="46" t="s">
        <v>11</v>
      </c>
      <c r="W258" s="46" t="s">
        <v>12</v>
      </c>
      <c r="X258" s="46" t="s">
        <v>13</v>
      </c>
      <c r="Y258" s="46" t="s">
        <v>14</v>
      </c>
      <c r="Z258" s="60" t="s">
        <v>15</v>
      </c>
      <c r="AA258" s="59" t="s">
        <v>8</v>
      </c>
      <c r="AB258" s="46" t="s">
        <v>9</v>
      </c>
      <c r="AC258" s="46" t="s">
        <v>10</v>
      </c>
      <c r="AD258" s="46" t="s">
        <v>11</v>
      </c>
      <c r="AE258" s="46" t="s">
        <v>12</v>
      </c>
      <c r="AF258" s="46" t="s">
        <v>13</v>
      </c>
      <c r="AG258" s="46" t="s">
        <v>14</v>
      </c>
      <c r="AH258" s="60" t="s">
        <v>15</v>
      </c>
      <c r="AI258" s="59" t="s">
        <v>8</v>
      </c>
      <c r="AJ258" s="46" t="s">
        <v>9</v>
      </c>
      <c r="AK258" s="46" t="s">
        <v>10</v>
      </c>
      <c r="AL258" s="46" t="s">
        <v>11</v>
      </c>
      <c r="AM258" s="46" t="s">
        <v>12</v>
      </c>
      <c r="AN258" s="46" t="s">
        <v>13</v>
      </c>
      <c r="AO258" s="46" t="s">
        <v>14</v>
      </c>
      <c r="AP258" s="60" t="s">
        <v>15</v>
      </c>
    </row>
    <row r="259" spans="1:42" ht="21" customHeight="1" thickTop="1" thickBot="1" x14ac:dyDescent="0.35">
      <c r="A259" s="63"/>
      <c r="B259" s="78"/>
      <c r="C259" s="52">
        <v>1</v>
      </c>
      <c r="D259" s="44">
        <v>91.76</v>
      </c>
      <c r="E259" s="44"/>
      <c r="F259" s="44"/>
      <c r="G259" s="44"/>
      <c r="H259" s="44"/>
      <c r="I259" s="44"/>
      <c r="J259" s="51"/>
      <c r="K259" s="52">
        <v>1</v>
      </c>
      <c r="L259" s="44">
        <v>93.570000000000007</v>
      </c>
      <c r="M259" s="44"/>
      <c r="N259" s="44"/>
      <c r="O259" s="44"/>
      <c r="P259" s="44"/>
      <c r="Q259" s="44"/>
      <c r="R259" s="51"/>
      <c r="S259" s="52">
        <v>1</v>
      </c>
      <c r="T259" s="44">
        <v>96.240000000000009</v>
      </c>
      <c r="U259" s="44"/>
      <c r="V259" s="44"/>
      <c r="W259" s="44"/>
      <c r="X259" s="44"/>
      <c r="Y259" s="44"/>
      <c r="Z259" s="51"/>
      <c r="AA259" s="52">
        <v>1</v>
      </c>
      <c r="AB259" s="44">
        <v>94.72</v>
      </c>
      <c r="AC259" s="44"/>
      <c r="AD259" s="44"/>
      <c r="AE259" s="44"/>
      <c r="AF259" s="44"/>
      <c r="AG259" s="44"/>
      <c r="AH259" s="51"/>
      <c r="AI259" s="52">
        <v>1</v>
      </c>
      <c r="AJ259" s="44">
        <v>95.100000000000009</v>
      </c>
      <c r="AK259" s="44"/>
      <c r="AL259" s="44"/>
      <c r="AM259" s="44"/>
      <c r="AN259" s="44"/>
      <c r="AO259" s="44"/>
      <c r="AP259" s="51"/>
    </row>
    <row r="260" spans="1:42" ht="21" customHeight="1" thickTop="1" thickBot="1" x14ac:dyDescent="0.35">
      <c r="A260" s="63"/>
      <c r="B260" s="78"/>
      <c r="C260" s="53">
        <v>2</v>
      </c>
      <c r="D260" s="45">
        <v>92.910000000000011</v>
      </c>
      <c r="E260" s="45"/>
      <c r="F260" s="45"/>
      <c r="G260" s="45"/>
      <c r="H260" s="45"/>
      <c r="I260" s="45"/>
      <c r="J260" s="51"/>
      <c r="K260" s="53">
        <v>2</v>
      </c>
      <c r="L260" s="45">
        <v>92.28</v>
      </c>
      <c r="M260" s="45"/>
      <c r="N260" s="45"/>
      <c r="O260" s="45"/>
      <c r="P260" s="45"/>
      <c r="Q260" s="45"/>
      <c r="R260" s="51"/>
      <c r="S260" s="53">
        <v>2</v>
      </c>
      <c r="T260" s="45">
        <v>96.34</v>
      </c>
      <c r="U260" s="45"/>
      <c r="V260" s="45"/>
      <c r="W260" s="45"/>
      <c r="X260" s="45"/>
      <c r="Y260" s="45"/>
      <c r="Z260" s="51"/>
      <c r="AA260" s="53">
        <v>2</v>
      </c>
      <c r="AB260" s="45">
        <v>95.15</v>
      </c>
      <c r="AC260" s="45"/>
      <c r="AD260" s="45"/>
      <c r="AE260" s="45"/>
      <c r="AF260" s="45"/>
      <c r="AG260" s="45"/>
      <c r="AH260" s="51"/>
      <c r="AI260" s="53">
        <v>2</v>
      </c>
      <c r="AJ260" s="45">
        <v>94.34</v>
      </c>
      <c r="AK260" s="45"/>
      <c r="AL260" s="45"/>
      <c r="AM260" s="45"/>
      <c r="AN260" s="45"/>
      <c r="AO260" s="45"/>
      <c r="AP260" s="51"/>
    </row>
    <row r="261" spans="1:42" ht="21" customHeight="1" thickTop="1" thickBot="1" x14ac:dyDescent="0.35">
      <c r="A261" s="63"/>
      <c r="B261" s="78"/>
      <c r="C261" s="53">
        <v>3</v>
      </c>
      <c r="D261" s="45">
        <v>92.81</v>
      </c>
      <c r="E261" s="45"/>
      <c r="F261" s="45"/>
      <c r="G261" s="44"/>
      <c r="H261" s="44"/>
      <c r="I261" s="44"/>
      <c r="J261" s="51"/>
      <c r="K261" s="53">
        <v>3</v>
      </c>
      <c r="L261" s="45">
        <v>93.940000000000012</v>
      </c>
      <c r="M261" s="45"/>
      <c r="N261" s="45"/>
      <c r="O261" s="44"/>
      <c r="P261" s="44"/>
      <c r="Q261" s="44"/>
      <c r="R261" s="51"/>
      <c r="S261" s="53">
        <v>3</v>
      </c>
      <c r="T261" s="45">
        <v>95.7</v>
      </c>
      <c r="U261" s="45"/>
      <c r="V261" s="45"/>
      <c r="W261" s="44"/>
      <c r="X261" s="44"/>
      <c r="Y261" s="44"/>
      <c r="Z261" s="51"/>
      <c r="AA261" s="53">
        <v>3</v>
      </c>
      <c r="AB261" s="45">
        <v>94.240000000000009</v>
      </c>
      <c r="AC261" s="45"/>
      <c r="AD261" s="45"/>
      <c r="AE261" s="44"/>
      <c r="AF261" s="44"/>
      <c r="AG261" s="44"/>
      <c r="AH261" s="51"/>
      <c r="AI261" s="53">
        <v>3</v>
      </c>
      <c r="AJ261" s="45">
        <v>94.54</v>
      </c>
      <c r="AK261" s="45"/>
      <c r="AL261" s="45"/>
      <c r="AM261" s="44"/>
      <c r="AN261" s="44"/>
      <c r="AO261" s="44"/>
      <c r="AP261" s="51"/>
    </row>
    <row r="262" spans="1:42" ht="21" customHeight="1" thickTop="1" thickBot="1" x14ac:dyDescent="0.35">
      <c r="A262" s="63"/>
      <c r="B262" s="78"/>
      <c r="C262" s="53">
        <v>4</v>
      </c>
      <c r="D262" s="45">
        <v>92.910000000000011</v>
      </c>
      <c r="E262" s="45"/>
      <c r="F262" s="45"/>
      <c r="G262" s="45"/>
      <c r="H262" s="45"/>
      <c r="I262" s="45"/>
      <c r="J262" s="51"/>
      <c r="K262" s="53">
        <v>4</v>
      </c>
      <c r="L262" s="45">
        <v>94.410000000000011</v>
      </c>
      <c r="M262" s="45"/>
      <c r="N262" s="45"/>
      <c r="O262" s="45"/>
      <c r="P262" s="45"/>
      <c r="Q262" s="45"/>
      <c r="R262" s="51"/>
      <c r="S262" s="53">
        <v>4</v>
      </c>
      <c r="T262" s="45">
        <v>95.610000000000014</v>
      </c>
      <c r="U262" s="45"/>
      <c r="V262" s="45"/>
      <c r="W262" s="45"/>
      <c r="X262" s="45"/>
      <c r="Y262" s="45"/>
      <c r="Z262" s="51"/>
      <c r="AA262" s="53">
        <v>4</v>
      </c>
      <c r="AB262" s="45">
        <v>94.64</v>
      </c>
      <c r="AC262" s="45"/>
      <c r="AD262" s="45"/>
      <c r="AE262" s="45"/>
      <c r="AF262" s="45"/>
      <c r="AG262" s="45"/>
      <c r="AH262" s="51"/>
      <c r="AI262" s="53">
        <v>4</v>
      </c>
      <c r="AJ262" s="45">
        <v>94.04</v>
      </c>
      <c r="AK262" s="45"/>
      <c r="AL262" s="45"/>
      <c r="AM262" s="45"/>
      <c r="AN262" s="45"/>
      <c r="AO262" s="45"/>
      <c r="AP262" s="51"/>
    </row>
    <row r="263" spans="1:42" ht="21" customHeight="1" thickTop="1" thickBot="1" x14ac:dyDescent="0.35">
      <c r="A263" s="63"/>
      <c r="B263" s="78"/>
      <c r="C263" s="53">
        <v>5</v>
      </c>
      <c r="D263" s="45">
        <v>92.820000000000007</v>
      </c>
      <c r="E263" s="45"/>
      <c r="F263" s="45"/>
      <c r="G263" s="45"/>
      <c r="H263" s="45"/>
      <c r="I263" s="45"/>
      <c r="J263" s="51"/>
      <c r="K263" s="53">
        <v>5</v>
      </c>
      <c r="L263" s="45">
        <v>91.79</v>
      </c>
      <c r="M263" s="45"/>
      <c r="N263" s="45"/>
      <c r="O263" s="45"/>
      <c r="P263" s="45"/>
      <c r="Q263" s="45"/>
      <c r="R263" s="51"/>
      <c r="S263" s="53">
        <v>5</v>
      </c>
      <c r="T263" s="45">
        <v>94.11</v>
      </c>
      <c r="U263" s="45"/>
      <c r="V263" s="45"/>
      <c r="W263" s="45"/>
      <c r="X263" s="45"/>
      <c r="Y263" s="45"/>
      <c r="Z263" s="51"/>
      <c r="AA263" s="53">
        <v>5</v>
      </c>
      <c r="AB263" s="45">
        <v>93.52000000000001</v>
      </c>
      <c r="AC263" s="45"/>
      <c r="AD263" s="45"/>
      <c r="AE263" s="45"/>
      <c r="AF263" s="45"/>
      <c r="AG263" s="45"/>
      <c r="AH263" s="51"/>
      <c r="AI263" s="53">
        <v>5</v>
      </c>
      <c r="AJ263" s="45">
        <v>94.9</v>
      </c>
      <c r="AK263" s="45"/>
      <c r="AL263" s="45"/>
      <c r="AM263" s="45"/>
      <c r="AN263" s="45"/>
      <c r="AO263" s="45"/>
      <c r="AP263" s="51"/>
    </row>
    <row r="264" spans="1:42" ht="21" customHeight="1" thickTop="1" thickBot="1" x14ac:dyDescent="0.35">
      <c r="A264" s="63"/>
      <c r="B264" s="78"/>
      <c r="C264" s="53">
        <v>6</v>
      </c>
      <c r="D264" s="45">
        <v>92.92</v>
      </c>
      <c r="E264" s="45"/>
      <c r="F264" s="45"/>
      <c r="G264" s="45"/>
      <c r="H264" s="45"/>
      <c r="I264" s="45"/>
      <c r="J264" s="51"/>
      <c r="K264" s="53">
        <v>6</v>
      </c>
      <c r="L264" s="45">
        <v>93.820000000000007</v>
      </c>
      <c r="M264" s="45"/>
      <c r="N264" s="45"/>
      <c r="O264" s="45"/>
      <c r="P264" s="45"/>
      <c r="Q264" s="45"/>
      <c r="R264" s="51"/>
      <c r="S264" s="53">
        <v>6</v>
      </c>
      <c r="T264" s="45">
        <v>95.080000000000013</v>
      </c>
      <c r="U264" s="45"/>
      <c r="V264" s="45"/>
      <c r="W264" s="45"/>
      <c r="X264" s="45"/>
      <c r="Y264" s="45"/>
      <c r="Z264" s="51"/>
      <c r="AA264" s="53">
        <v>6</v>
      </c>
      <c r="AB264" s="45">
        <v>94.92</v>
      </c>
      <c r="AC264" s="45"/>
      <c r="AD264" s="45"/>
      <c r="AE264" s="45"/>
      <c r="AF264" s="45"/>
      <c r="AG264" s="45"/>
      <c r="AH264" s="51"/>
      <c r="AI264" s="53">
        <v>6</v>
      </c>
      <c r="AJ264" s="45">
        <v>94.920000000000016</v>
      </c>
      <c r="AK264" s="45"/>
      <c r="AL264" s="45"/>
      <c r="AM264" s="45"/>
      <c r="AN264" s="45"/>
      <c r="AO264" s="45"/>
      <c r="AP264" s="51"/>
    </row>
    <row r="265" spans="1:42" ht="21" customHeight="1" thickTop="1" thickBot="1" x14ac:dyDescent="0.35">
      <c r="A265" s="63"/>
      <c r="B265" s="78"/>
      <c r="C265" s="53">
        <v>7</v>
      </c>
      <c r="D265" s="45">
        <v>92.88000000000001</v>
      </c>
      <c r="E265" s="45"/>
      <c r="F265" s="45"/>
      <c r="G265" s="45"/>
      <c r="H265" s="45"/>
      <c r="I265" s="45"/>
      <c r="J265" s="51"/>
      <c r="K265" s="53">
        <v>7</v>
      </c>
      <c r="L265" s="45">
        <v>93.940000000000012</v>
      </c>
      <c r="M265" s="45"/>
      <c r="N265" s="45"/>
      <c r="O265" s="45"/>
      <c r="P265" s="45"/>
      <c r="Q265" s="45"/>
      <c r="R265" s="51"/>
      <c r="S265" s="53">
        <v>7</v>
      </c>
      <c r="T265" s="45">
        <v>95.940000000000012</v>
      </c>
      <c r="U265" s="45"/>
      <c r="V265" s="45"/>
      <c r="W265" s="45"/>
      <c r="X265" s="45"/>
      <c r="Y265" s="45"/>
      <c r="Z265" s="51"/>
      <c r="AA265" s="53">
        <v>7</v>
      </c>
      <c r="AB265" s="45">
        <v>94.240000000000009</v>
      </c>
      <c r="AC265" s="45"/>
      <c r="AD265" s="45"/>
      <c r="AE265" s="45"/>
      <c r="AF265" s="45"/>
      <c r="AG265" s="45"/>
      <c r="AH265" s="51"/>
      <c r="AI265" s="53">
        <v>7</v>
      </c>
      <c r="AJ265" s="45">
        <v>94.79</v>
      </c>
      <c r="AK265" s="45"/>
      <c r="AL265" s="45"/>
      <c r="AM265" s="45"/>
      <c r="AN265" s="45"/>
      <c r="AO265" s="45"/>
      <c r="AP265" s="51"/>
    </row>
    <row r="266" spans="1:42" ht="21" customHeight="1" thickTop="1" thickBot="1" x14ac:dyDescent="0.35">
      <c r="A266" s="63"/>
      <c r="B266" s="78"/>
      <c r="C266" s="53">
        <v>8</v>
      </c>
      <c r="D266" s="45">
        <v>93.26</v>
      </c>
      <c r="E266" s="45"/>
      <c r="F266" s="45"/>
      <c r="G266" s="45"/>
      <c r="H266" s="45"/>
      <c r="I266" s="45"/>
      <c r="J266" s="51"/>
      <c r="K266" s="53">
        <v>8</v>
      </c>
      <c r="L266" s="45">
        <v>92.36</v>
      </c>
      <c r="M266" s="45"/>
      <c r="N266" s="45"/>
      <c r="O266" s="45"/>
      <c r="P266" s="45"/>
      <c r="Q266" s="45"/>
      <c r="R266" s="51"/>
      <c r="S266" s="53">
        <v>8</v>
      </c>
      <c r="T266" s="45">
        <v>96.970000000000013</v>
      </c>
      <c r="U266" s="45"/>
      <c r="V266" s="45"/>
      <c r="W266" s="45"/>
      <c r="X266" s="45"/>
      <c r="Y266" s="45"/>
      <c r="Z266" s="51"/>
      <c r="AA266" s="53">
        <v>8</v>
      </c>
      <c r="AB266" s="45">
        <v>94.190000000000012</v>
      </c>
      <c r="AC266" s="45"/>
      <c r="AD266" s="45"/>
      <c r="AE266" s="45"/>
      <c r="AF266" s="45"/>
      <c r="AG266" s="45"/>
      <c r="AH266" s="51"/>
      <c r="AI266" s="53">
        <v>8</v>
      </c>
      <c r="AJ266" s="45">
        <v>95.030000000000015</v>
      </c>
      <c r="AK266" s="45"/>
      <c r="AL266" s="45"/>
      <c r="AM266" s="45"/>
      <c r="AN266" s="45"/>
      <c r="AO266" s="45"/>
      <c r="AP266" s="51"/>
    </row>
    <row r="267" spans="1:42" ht="21" customHeight="1" thickTop="1" thickBot="1" x14ac:dyDescent="0.35">
      <c r="A267" s="63"/>
      <c r="B267" s="78"/>
      <c r="C267" s="53">
        <v>9</v>
      </c>
      <c r="D267" s="45">
        <v>93.550000000000011</v>
      </c>
      <c r="E267" s="45"/>
      <c r="F267" s="45"/>
      <c r="G267" s="45"/>
      <c r="H267" s="45"/>
      <c r="I267" s="45"/>
      <c r="J267" s="51"/>
      <c r="K267" s="53">
        <v>9</v>
      </c>
      <c r="L267" s="45">
        <v>92.5</v>
      </c>
      <c r="M267" s="45"/>
      <c r="N267" s="45"/>
      <c r="O267" s="45"/>
      <c r="P267" s="45"/>
      <c r="Q267" s="45"/>
      <c r="R267" s="51"/>
      <c r="S267" s="53">
        <v>9</v>
      </c>
      <c r="T267" s="45">
        <v>97.28</v>
      </c>
      <c r="U267" s="45"/>
      <c r="V267" s="45"/>
      <c r="W267" s="45"/>
      <c r="X267" s="45"/>
      <c r="Y267" s="45"/>
      <c r="Z267" s="51"/>
      <c r="AA267" s="53">
        <v>9</v>
      </c>
      <c r="AB267" s="45">
        <v>95.470000000000013</v>
      </c>
      <c r="AC267" s="45"/>
      <c r="AD267" s="45"/>
      <c r="AE267" s="45"/>
      <c r="AF267" s="45"/>
      <c r="AG267" s="45"/>
      <c r="AH267" s="51"/>
      <c r="AI267" s="53">
        <v>9</v>
      </c>
      <c r="AJ267" s="45">
        <v>94.190000000000012</v>
      </c>
      <c r="AK267" s="45"/>
      <c r="AL267" s="45"/>
      <c r="AM267" s="45"/>
      <c r="AN267" s="45"/>
      <c r="AO267" s="45"/>
      <c r="AP267" s="51"/>
    </row>
    <row r="268" spans="1:42" ht="21" customHeight="1" thickTop="1" thickBot="1" x14ac:dyDescent="0.35">
      <c r="A268" s="63"/>
      <c r="B268" s="78"/>
      <c r="C268" s="53">
        <v>10</v>
      </c>
      <c r="D268" s="45">
        <v>93.940000000000012</v>
      </c>
      <c r="E268" s="45"/>
      <c r="F268" s="45"/>
      <c r="G268" s="45"/>
      <c r="H268" s="45"/>
      <c r="I268" s="45"/>
      <c r="J268" s="51"/>
      <c r="K268" s="53">
        <v>10</v>
      </c>
      <c r="L268" s="45">
        <v>93.37</v>
      </c>
      <c r="M268" s="45"/>
      <c r="N268" s="45"/>
      <c r="O268" s="45"/>
      <c r="P268" s="45"/>
      <c r="Q268" s="45"/>
      <c r="R268" s="51"/>
      <c r="S268" s="53">
        <v>10</v>
      </c>
      <c r="T268" s="45">
        <v>97.56</v>
      </c>
      <c r="U268" s="45"/>
      <c r="V268" s="45"/>
      <c r="W268" s="45"/>
      <c r="X268" s="45"/>
      <c r="Y268" s="45"/>
      <c r="Z268" s="51"/>
      <c r="AA268" s="53">
        <v>10</v>
      </c>
      <c r="AB268" s="45">
        <v>93.500000000000014</v>
      </c>
      <c r="AC268" s="45"/>
      <c r="AD268" s="45"/>
      <c r="AE268" s="45"/>
      <c r="AF268" s="45"/>
      <c r="AG268" s="45"/>
      <c r="AH268" s="51"/>
      <c r="AI268" s="53">
        <v>10</v>
      </c>
      <c r="AJ268" s="45">
        <v>94.9</v>
      </c>
      <c r="AK268" s="45"/>
      <c r="AL268" s="45"/>
      <c r="AM268" s="45"/>
      <c r="AN268" s="45"/>
      <c r="AO268" s="45"/>
      <c r="AP268" s="51"/>
    </row>
    <row r="269" spans="1:42" ht="21" customHeight="1" thickTop="1" thickBot="1" x14ac:dyDescent="0.35">
      <c r="A269" s="63"/>
      <c r="B269" s="78"/>
      <c r="C269" s="53"/>
      <c r="D269" s="45"/>
      <c r="E269" s="45"/>
      <c r="F269" s="45"/>
      <c r="G269" s="45"/>
      <c r="H269" s="45"/>
      <c r="I269" s="45"/>
      <c r="J269" s="51"/>
      <c r="K269" s="53"/>
      <c r="L269" s="45"/>
      <c r="M269" s="45"/>
      <c r="N269" s="45"/>
      <c r="O269" s="45"/>
      <c r="P269" s="45"/>
      <c r="Q269" s="45"/>
      <c r="R269" s="51"/>
      <c r="S269" s="53"/>
      <c r="T269" s="45"/>
      <c r="U269" s="45"/>
      <c r="V269" s="45"/>
      <c r="W269" s="45"/>
      <c r="X269" s="45"/>
      <c r="Y269" s="45"/>
      <c r="Z269" s="51"/>
      <c r="AA269" s="53"/>
      <c r="AB269" s="45"/>
      <c r="AC269" s="45"/>
      <c r="AD269" s="45"/>
      <c r="AE269" s="45"/>
      <c r="AF269" s="45"/>
      <c r="AG269" s="45"/>
      <c r="AH269" s="51"/>
      <c r="AI269" s="53"/>
      <c r="AJ269" s="45"/>
      <c r="AK269" s="45"/>
      <c r="AL269" s="45"/>
      <c r="AM269" s="45"/>
      <c r="AN269" s="45"/>
      <c r="AO269" s="45"/>
      <c r="AP269" s="51"/>
    </row>
    <row r="270" spans="1:42" ht="41" customHeight="1" thickTop="1" thickBot="1" x14ac:dyDescent="0.35">
      <c r="A270" s="63"/>
      <c r="B270" s="78"/>
      <c r="C270" s="54" t="s">
        <v>16</v>
      </c>
      <c r="D270" s="49">
        <f>MIN(D259:D268)</f>
        <v>91.76</v>
      </c>
      <c r="E270" s="45"/>
      <c r="F270" s="55" t="s">
        <v>17</v>
      </c>
      <c r="G270" s="49" t="s">
        <v>18</v>
      </c>
      <c r="H270" s="49" t="s">
        <v>19</v>
      </c>
      <c r="I270" s="45"/>
      <c r="J270" s="51"/>
      <c r="K270" s="54" t="s">
        <v>16</v>
      </c>
      <c r="L270" s="49">
        <f>MIN(L259:L268)</f>
        <v>91.79</v>
      </c>
      <c r="M270" s="45"/>
      <c r="N270" s="55" t="s">
        <v>17</v>
      </c>
      <c r="O270" s="49" t="s">
        <v>18</v>
      </c>
      <c r="P270" s="49" t="s">
        <v>19</v>
      </c>
      <c r="Q270" s="45"/>
      <c r="R270" s="51"/>
      <c r="S270" s="54" t="s">
        <v>16</v>
      </c>
      <c r="T270" s="49">
        <f>MIN(T259:T268)</f>
        <v>94.11</v>
      </c>
      <c r="U270" s="45"/>
      <c r="V270" s="55" t="s">
        <v>17</v>
      </c>
      <c r="W270" s="49" t="s">
        <v>18</v>
      </c>
      <c r="X270" s="49" t="s">
        <v>19</v>
      </c>
      <c r="Y270" s="45"/>
      <c r="Z270" s="51"/>
      <c r="AA270" s="54" t="s">
        <v>16</v>
      </c>
      <c r="AB270" s="49">
        <f>MIN(AB259:AB268)</f>
        <v>93.500000000000014</v>
      </c>
      <c r="AC270" s="45"/>
      <c r="AD270" s="55" t="s">
        <v>17</v>
      </c>
      <c r="AE270" s="49" t="s">
        <v>18</v>
      </c>
      <c r="AF270" s="49" t="s">
        <v>19</v>
      </c>
      <c r="AG270" s="45"/>
      <c r="AH270" s="51"/>
      <c r="AI270" s="54" t="s">
        <v>16</v>
      </c>
      <c r="AJ270" s="49">
        <f>MIN(AJ259:AJ268)</f>
        <v>94.04</v>
      </c>
      <c r="AK270" s="45"/>
      <c r="AL270" s="55" t="s">
        <v>17</v>
      </c>
      <c r="AM270" s="49" t="s">
        <v>18</v>
      </c>
      <c r="AN270" s="49" t="s">
        <v>19</v>
      </c>
      <c r="AO270" s="45"/>
      <c r="AP270" s="51"/>
    </row>
    <row r="271" spans="1:42" ht="21" customHeight="1" thickTop="1" thickBot="1" x14ac:dyDescent="0.35">
      <c r="A271" s="63"/>
      <c r="B271" s="78"/>
      <c r="C271" s="54" t="s">
        <v>20</v>
      </c>
      <c r="D271" s="48">
        <f>AVERAGE(D259:D268)</f>
        <v>92.975999999999999</v>
      </c>
      <c r="E271" s="47"/>
      <c r="F271" s="48">
        <f>_xlfn.STDEV.S(D259:D268) / AVERAGE(D259:D268) * 100%</f>
        <v>6.0958593430529362E-3</v>
      </c>
      <c r="G271" s="48">
        <f t="array" ref="G271">MIN((D259:D268 - MIN(D259:D268,L259:L268,T259:T268,AB259:AB268,AJ259:AJ268))/MIN(D259:D268,L259:L268,T259:T268,AB259:AB268,AJ259:AJ268)*100%)</f>
        <v>0</v>
      </c>
      <c r="H271" s="48">
        <f t="array" ref="H271">AVERAGE((D259:D268 - MIN(D259:D268,L259:L268,T259:T268,AB259:AB268,AJ259:AJ268))/MIN(D259:D268,L259:L268,T259:T268,AB259:AB268,AJ259:AJ268)*100%)</f>
        <v>1.3251961639058441E-2</v>
      </c>
      <c r="I271" s="45"/>
      <c r="J271" s="51"/>
      <c r="K271" s="54" t="s">
        <v>20</v>
      </c>
      <c r="L271" s="48">
        <f>AVERAGE(L259:L268)</f>
        <v>93.198000000000008</v>
      </c>
      <c r="M271" s="47"/>
      <c r="N271" s="48">
        <f>_xlfn.STDEV.S(L259:L268) / AVERAGE(L259:L268) * 100%</f>
        <v>9.556698316052107E-3</v>
      </c>
      <c r="O271" s="48">
        <f t="array" ref="O271">MIN((L259:L268 - MIN(D259:D268,L259:L268,T259:T268,AB259:AB268,AJ259:AJ268))/MIN(D259:D268,L259:L268,T259:T268,AB259:AB268,AJ259:AJ268)*100%)</f>
        <v>3.269398430688877E-4</v>
      </c>
      <c r="P271" s="48">
        <f t="array" ref="P271">AVERAGE((L259:L268 - MIN(D259:D268,L259:L268,T259:T268,AB259:AB268,AJ259:AJ268))/MIN(D259:D268,L259:L268,T259:T268,AB259:AB268,AJ259:AJ268)*100%)</f>
        <v>1.56713164777681E-2</v>
      </c>
      <c r="Q271" s="44"/>
      <c r="R271" s="51"/>
      <c r="S271" s="54" t="s">
        <v>20</v>
      </c>
      <c r="T271" s="48">
        <f>AVERAGE(T259:T268)</f>
        <v>96.083000000000013</v>
      </c>
      <c r="U271" s="47"/>
      <c r="V271" s="48">
        <f>_xlfn.STDEV.S(T259:T268) / AVERAGE(T259:T268) * 100%</f>
        <v>1.0850079550108197E-2</v>
      </c>
      <c r="W271" s="48">
        <f t="array" ref="W271">MIN((T259:T268 - MIN(D259:D268,L259:L268,T259:T268,AB259:AB268,AJ259:AJ268))/MIN(D259:D268,L259:L268,T259:T268,AB259:AB268,AJ259:AJ268)*100%)</f>
        <v>2.5610287707061839E-2</v>
      </c>
      <c r="X271" s="48">
        <f t="array" ref="X271">AVERAGE((T259:T268 - MIN(D259:D268,L259:L268,T259:T268,AB259:AB268,AJ259:AJ268))/MIN(D259:D268,L259:L268,T259:T268,AB259:AB268,AJ259:AJ268)*100%)</f>
        <v>4.7112031386224953E-2</v>
      </c>
      <c r="Y271" s="44"/>
      <c r="Z271" s="51"/>
      <c r="AA271" s="54" t="s">
        <v>20</v>
      </c>
      <c r="AB271" s="48">
        <f>AVERAGE(AB259:AB268)</f>
        <v>94.459000000000003</v>
      </c>
      <c r="AC271" s="47"/>
      <c r="AD271" s="48">
        <f>_xlfn.STDEV.S(AB259:AB268) / AVERAGE(AB259:AB268) * 100%</f>
        <v>6.8633441663983434E-3</v>
      </c>
      <c r="AE271" s="48">
        <f t="array" ref="AE271">MIN((AB259:AB268 - MIN(D259:D268,L259:L268,T259:T268,AB259:AB268,AJ259:AJ268))/MIN(D259:D268,L259:L268,T259:T268,AB259:AB268,AJ259:AJ268)*100%)</f>
        <v>1.8962510897994868E-2</v>
      </c>
      <c r="AF271" s="48">
        <f t="array" ref="AF271">AVERAGE((AB259:AB268 - MIN(D259:D268,L259:L268,T259:T268,AB259:AB268,AJ259:AJ268))/MIN(D259:D268,L259:L268,T259:T268,AB259:AB268,AJ259:AJ268)*100%)</f>
        <v>2.9413687881429847E-2</v>
      </c>
      <c r="AG271" s="44"/>
      <c r="AH271" s="51"/>
      <c r="AI271" s="54" t="s">
        <v>20</v>
      </c>
      <c r="AJ271" s="48">
        <f>AVERAGE(AJ259:AJ268)</f>
        <v>94.675000000000011</v>
      </c>
      <c r="AK271" s="47"/>
      <c r="AL271" s="48">
        <f>_xlfn.STDEV.S(AJ259:AJ268) / AVERAGE(AJ259:AJ268) * 100%</f>
        <v>3.9364716106190358E-3</v>
      </c>
      <c r="AM271" s="48">
        <f t="array" ref="AM271">MIN((AJ259:AJ268 - MIN(D259:D268,L259:L268,T259:T268,AB259:AB268,AJ259:AJ268))/MIN(D259:D268,L259:L268,T259:T268,AB259:AB268,AJ259:AJ268)*100%)</f>
        <v>2.4847428073234534E-2</v>
      </c>
      <c r="AN271" s="48">
        <f t="array" ref="AN271">AVERAGE((AJ259:AJ268 - MIN(D259:D268,L259:L268,T259:T268,AB259:AB268,AJ259:AJ268))/MIN(D259:D268,L259:L268,T259:T268,AB259:AB268,AJ259:AJ268)*100%)</f>
        <v>3.1767654751525751E-2</v>
      </c>
      <c r="AO271" s="44"/>
      <c r="AP271" s="51"/>
    </row>
    <row r="272" spans="1:42" ht="21" customHeight="1" thickTop="1" thickBot="1" x14ac:dyDescent="0.35">
      <c r="A272" s="63"/>
      <c r="B272" s="79"/>
      <c r="C272" s="53"/>
      <c r="D272" s="44"/>
      <c r="E272" s="44"/>
      <c r="F272" s="44"/>
      <c r="G272" s="44"/>
      <c r="H272" s="44"/>
      <c r="I272" s="44"/>
      <c r="J272" s="51"/>
      <c r="K272" s="53"/>
      <c r="L272" s="44"/>
      <c r="M272" s="44"/>
      <c r="N272" s="44"/>
      <c r="O272" s="44"/>
      <c r="P272" s="44"/>
      <c r="Q272" s="44"/>
      <c r="R272" s="51"/>
      <c r="S272" s="53"/>
      <c r="T272" s="44"/>
      <c r="U272" s="44"/>
      <c r="V272" s="44"/>
      <c r="W272" s="44"/>
      <c r="X272" s="44"/>
      <c r="Y272" s="44"/>
      <c r="Z272" s="51"/>
      <c r="AA272" s="53"/>
      <c r="AB272" s="44"/>
      <c r="AC272" s="44"/>
      <c r="AD272" s="44"/>
      <c r="AE272" s="44"/>
      <c r="AF272" s="44"/>
      <c r="AG272" s="44"/>
      <c r="AH272" s="51"/>
      <c r="AI272" s="53"/>
      <c r="AJ272" s="44"/>
      <c r="AK272" s="44"/>
      <c r="AL272" s="44"/>
      <c r="AM272" s="44"/>
      <c r="AN272" s="44"/>
      <c r="AO272" s="44"/>
      <c r="AP272" s="51"/>
    </row>
    <row r="273" spans="1:42" ht="21" customHeight="1" thickTop="1" thickBot="1" x14ac:dyDescent="0.35">
      <c r="A273" s="63"/>
      <c r="B273" s="77" t="s">
        <v>45</v>
      </c>
      <c r="C273" s="59" t="s">
        <v>8</v>
      </c>
      <c r="D273" s="46" t="s">
        <v>9</v>
      </c>
      <c r="E273" s="46" t="s">
        <v>10</v>
      </c>
      <c r="F273" s="46" t="s">
        <v>11</v>
      </c>
      <c r="G273" s="46" t="s">
        <v>12</v>
      </c>
      <c r="H273" s="46" t="s">
        <v>13</v>
      </c>
      <c r="I273" s="46" t="s">
        <v>14</v>
      </c>
      <c r="J273" s="60" t="s">
        <v>15</v>
      </c>
      <c r="K273" s="59" t="s">
        <v>8</v>
      </c>
      <c r="L273" s="46" t="s">
        <v>9</v>
      </c>
      <c r="M273" s="46" t="s">
        <v>10</v>
      </c>
      <c r="N273" s="46" t="s">
        <v>11</v>
      </c>
      <c r="O273" s="46" t="s">
        <v>12</v>
      </c>
      <c r="P273" s="46" t="s">
        <v>13</v>
      </c>
      <c r="Q273" s="46" t="s">
        <v>14</v>
      </c>
      <c r="R273" s="60" t="s">
        <v>15</v>
      </c>
      <c r="S273" s="59" t="s">
        <v>8</v>
      </c>
      <c r="T273" s="46" t="s">
        <v>9</v>
      </c>
      <c r="U273" s="46" t="s">
        <v>10</v>
      </c>
      <c r="V273" s="46" t="s">
        <v>11</v>
      </c>
      <c r="W273" s="46" t="s">
        <v>12</v>
      </c>
      <c r="X273" s="46" t="s">
        <v>13</v>
      </c>
      <c r="Y273" s="46" t="s">
        <v>14</v>
      </c>
      <c r="Z273" s="60" t="s">
        <v>15</v>
      </c>
      <c r="AA273" s="59" t="s">
        <v>8</v>
      </c>
      <c r="AB273" s="46" t="s">
        <v>9</v>
      </c>
      <c r="AC273" s="46" t="s">
        <v>10</v>
      </c>
      <c r="AD273" s="46" t="s">
        <v>11</v>
      </c>
      <c r="AE273" s="46" t="s">
        <v>12</v>
      </c>
      <c r="AF273" s="46" t="s">
        <v>13</v>
      </c>
      <c r="AG273" s="46" t="s">
        <v>14</v>
      </c>
      <c r="AH273" s="60" t="s">
        <v>15</v>
      </c>
      <c r="AI273" s="59" t="s">
        <v>8</v>
      </c>
      <c r="AJ273" s="46" t="s">
        <v>9</v>
      </c>
      <c r="AK273" s="46" t="s">
        <v>10</v>
      </c>
      <c r="AL273" s="46" t="s">
        <v>11</v>
      </c>
      <c r="AM273" s="46" t="s">
        <v>12</v>
      </c>
      <c r="AN273" s="46" t="s">
        <v>13</v>
      </c>
      <c r="AO273" s="46" t="s">
        <v>14</v>
      </c>
      <c r="AP273" s="60" t="s">
        <v>15</v>
      </c>
    </row>
    <row r="274" spans="1:42" ht="21" customHeight="1" thickTop="1" thickBot="1" x14ac:dyDescent="0.35">
      <c r="A274" s="63"/>
      <c r="B274" s="78"/>
      <c r="C274" s="52">
        <v>1</v>
      </c>
      <c r="D274" s="44">
        <v>91.33</v>
      </c>
      <c r="E274" s="44"/>
      <c r="F274" s="44"/>
      <c r="G274" s="44"/>
      <c r="H274" s="44"/>
      <c r="I274" s="44"/>
      <c r="J274" s="51"/>
      <c r="K274" s="52">
        <v>1</v>
      </c>
      <c r="L274" s="44">
        <v>92.38000000000001</v>
      </c>
      <c r="M274" s="44"/>
      <c r="N274" s="44"/>
      <c r="O274" s="44"/>
      <c r="P274" s="44"/>
      <c r="Q274" s="44"/>
      <c r="R274" s="51"/>
      <c r="S274" s="52">
        <v>1</v>
      </c>
      <c r="T274" s="44">
        <v>93.110000000000014</v>
      </c>
      <c r="U274" s="44"/>
      <c r="V274" s="44"/>
      <c r="W274" s="44"/>
      <c r="X274" s="44"/>
      <c r="Y274" s="44"/>
      <c r="Z274" s="51"/>
      <c r="AA274" s="52">
        <v>1</v>
      </c>
      <c r="AB274" s="44">
        <v>93.7</v>
      </c>
      <c r="AC274" s="44"/>
      <c r="AD274" s="44"/>
      <c r="AE274" s="44"/>
      <c r="AF274" s="44"/>
      <c r="AG274" s="44"/>
      <c r="AH274" s="51"/>
      <c r="AI274" s="52">
        <v>1</v>
      </c>
      <c r="AJ274" s="44">
        <v>94.280000000000015</v>
      </c>
      <c r="AK274" s="44"/>
      <c r="AL274" s="44"/>
      <c r="AM274" s="44"/>
      <c r="AN274" s="44"/>
      <c r="AO274" s="44"/>
      <c r="AP274" s="51"/>
    </row>
    <row r="275" spans="1:42" ht="21" customHeight="1" thickTop="1" thickBot="1" x14ac:dyDescent="0.35">
      <c r="A275" s="63"/>
      <c r="B275" s="78"/>
      <c r="C275" s="53">
        <v>2</v>
      </c>
      <c r="D275" s="45">
        <v>92.100000000000009</v>
      </c>
      <c r="E275" s="45"/>
      <c r="F275" s="45"/>
      <c r="G275" s="45"/>
      <c r="H275" s="45"/>
      <c r="I275" s="45"/>
      <c r="J275" s="51"/>
      <c r="K275" s="53">
        <v>2</v>
      </c>
      <c r="L275" s="45">
        <v>93.330000000000013</v>
      </c>
      <c r="M275" s="45"/>
      <c r="N275" s="45"/>
      <c r="O275" s="45"/>
      <c r="P275" s="45"/>
      <c r="Q275" s="45"/>
      <c r="R275" s="51"/>
      <c r="S275" s="53">
        <v>2</v>
      </c>
      <c r="T275" s="45">
        <v>95.610000000000014</v>
      </c>
      <c r="U275" s="45"/>
      <c r="V275" s="45"/>
      <c r="W275" s="45"/>
      <c r="X275" s="45"/>
      <c r="Y275" s="45"/>
      <c r="Z275" s="51"/>
      <c r="AA275" s="53">
        <v>2</v>
      </c>
      <c r="AB275" s="45">
        <v>93.61</v>
      </c>
      <c r="AC275" s="45"/>
      <c r="AD275" s="45"/>
      <c r="AE275" s="45"/>
      <c r="AF275" s="45"/>
      <c r="AG275" s="45"/>
      <c r="AH275" s="51"/>
      <c r="AI275" s="53">
        <v>2</v>
      </c>
      <c r="AJ275" s="45">
        <v>92.860000000000014</v>
      </c>
      <c r="AK275" s="45"/>
      <c r="AL275" s="45"/>
      <c r="AM275" s="45"/>
      <c r="AN275" s="45"/>
      <c r="AO275" s="45"/>
      <c r="AP275" s="51"/>
    </row>
    <row r="276" spans="1:42" ht="21" customHeight="1" thickTop="1" thickBot="1" x14ac:dyDescent="0.35">
      <c r="A276" s="63"/>
      <c r="B276" s="78"/>
      <c r="C276" s="53">
        <v>3</v>
      </c>
      <c r="D276" s="45">
        <v>91.7</v>
      </c>
      <c r="E276" s="45"/>
      <c r="F276" s="45"/>
      <c r="G276" s="44"/>
      <c r="H276" s="44"/>
      <c r="I276" s="44"/>
      <c r="J276" s="51"/>
      <c r="K276" s="53">
        <v>3</v>
      </c>
      <c r="L276" s="45">
        <v>92.04</v>
      </c>
      <c r="M276" s="45"/>
      <c r="N276" s="45"/>
      <c r="O276" s="44"/>
      <c r="P276" s="44"/>
      <c r="Q276" s="44"/>
      <c r="R276" s="51"/>
      <c r="S276" s="53">
        <v>3</v>
      </c>
      <c r="T276" s="45">
        <v>94.42</v>
      </c>
      <c r="U276" s="45"/>
      <c r="V276" s="45"/>
      <c r="W276" s="44"/>
      <c r="X276" s="44"/>
      <c r="Y276" s="44"/>
      <c r="Z276" s="51"/>
      <c r="AA276" s="53">
        <v>3</v>
      </c>
      <c r="AB276" s="45">
        <v>92.36</v>
      </c>
      <c r="AC276" s="45"/>
      <c r="AD276" s="45"/>
      <c r="AE276" s="44"/>
      <c r="AF276" s="44"/>
      <c r="AG276" s="44"/>
      <c r="AH276" s="51"/>
      <c r="AI276" s="53">
        <v>3</v>
      </c>
      <c r="AJ276" s="45">
        <v>94.820000000000007</v>
      </c>
      <c r="AK276" s="45"/>
      <c r="AL276" s="45"/>
      <c r="AM276" s="44"/>
      <c r="AN276" s="44"/>
      <c r="AO276" s="44"/>
      <c r="AP276" s="51"/>
    </row>
    <row r="277" spans="1:42" ht="21" customHeight="1" thickTop="1" thickBot="1" x14ac:dyDescent="0.35">
      <c r="A277" s="63"/>
      <c r="B277" s="78"/>
      <c r="C277" s="53">
        <v>4</v>
      </c>
      <c r="D277" s="45">
        <v>92.2</v>
      </c>
      <c r="E277" s="45"/>
      <c r="F277" s="45"/>
      <c r="G277" s="45"/>
      <c r="H277" s="45"/>
      <c r="I277" s="45"/>
      <c r="J277" s="51"/>
      <c r="K277" s="53">
        <v>4</v>
      </c>
      <c r="L277" s="45">
        <v>92.11</v>
      </c>
      <c r="M277" s="45"/>
      <c r="N277" s="45"/>
      <c r="O277" s="45"/>
      <c r="P277" s="45"/>
      <c r="Q277" s="45"/>
      <c r="R277" s="51"/>
      <c r="S277" s="53">
        <v>4</v>
      </c>
      <c r="T277" s="45">
        <v>94.14</v>
      </c>
      <c r="U277" s="45"/>
      <c r="V277" s="45"/>
      <c r="W277" s="45"/>
      <c r="X277" s="45"/>
      <c r="Y277" s="45"/>
      <c r="Z277" s="51"/>
      <c r="AA277" s="53">
        <v>4</v>
      </c>
      <c r="AB277" s="45">
        <v>94.28</v>
      </c>
      <c r="AC277" s="45"/>
      <c r="AD277" s="45"/>
      <c r="AE277" s="45"/>
      <c r="AF277" s="45"/>
      <c r="AG277" s="45"/>
      <c r="AH277" s="51"/>
      <c r="AI277" s="53">
        <v>4</v>
      </c>
      <c r="AJ277" s="45">
        <v>94.28</v>
      </c>
      <c r="AK277" s="45"/>
      <c r="AL277" s="45"/>
      <c r="AM277" s="45"/>
      <c r="AN277" s="45"/>
      <c r="AO277" s="45"/>
      <c r="AP277" s="51"/>
    </row>
    <row r="278" spans="1:42" ht="21" customHeight="1" thickTop="1" thickBot="1" x14ac:dyDescent="0.35">
      <c r="A278" s="63"/>
      <c r="B278" s="78"/>
      <c r="C278" s="53">
        <v>5</v>
      </c>
      <c r="D278" s="45">
        <v>92.330000000000013</v>
      </c>
      <c r="E278" s="45"/>
      <c r="F278" s="45"/>
      <c r="G278" s="45"/>
      <c r="H278" s="45"/>
      <c r="I278" s="45"/>
      <c r="J278" s="51"/>
      <c r="K278" s="53">
        <v>5</v>
      </c>
      <c r="L278" s="45">
        <v>92.01</v>
      </c>
      <c r="M278" s="45"/>
      <c r="N278" s="45"/>
      <c r="O278" s="45"/>
      <c r="P278" s="45"/>
      <c r="Q278" s="45"/>
      <c r="R278" s="51"/>
      <c r="S278" s="53">
        <v>5</v>
      </c>
      <c r="T278" s="45">
        <v>94.660000000000011</v>
      </c>
      <c r="U278" s="45"/>
      <c r="V278" s="45"/>
      <c r="W278" s="45"/>
      <c r="X278" s="45"/>
      <c r="Y278" s="45"/>
      <c r="Z278" s="51"/>
      <c r="AA278" s="53">
        <v>5</v>
      </c>
      <c r="AB278" s="45">
        <v>93.56</v>
      </c>
      <c r="AC278" s="45"/>
      <c r="AD278" s="45"/>
      <c r="AE278" s="45"/>
      <c r="AF278" s="45"/>
      <c r="AG278" s="45"/>
      <c r="AH278" s="51"/>
      <c r="AI278" s="53">
        <v>5</v>
      </c>
      <c r="AJ278" s="45">
        <v>94.98</v>
      </c>
      <c r="AK278" s="45"/>
      <c r="AL278" s="45"/>
      <c r="AM278" s="45"/>
      <c r="AN278" s="45"/>
      <c r="AO278" s="45"/>
      <c r="AP278" s="51"/>
    </row>
    <row r="279" spans="1:42" ht="21" customHeight="1" thickTop="1" thickBot="1" x14ac:dyDescent="0.35">
      <c r="A279" s="63"/>
      <c r="B279" s="78"/>
      <c r="C279" s="53">
        <v>6</v>
      </c>
      <c r="D279" s="45">
        <v>93.26</v>
      </c>
      <c r="E279" s="45"/>
      <c r="F279" s="45"/>
      <c r="G279" s="45"/>
      <c r="H279" s="45"/>
      <c r="I279" s="45"/>
      <c r="J279" s="51"/>
      <c r="K279" s="53">
        <v>6</v>
      </c>
      <c r="L279" s="45">
        <v>92.330000000000013</v>
      </c>
      <c r="M279" s="45"/>
      <c r="N279" s="45"/>
      <c r="O279" s="45"/>
      <c r="P279" s="45"/>
      <c r="Q279" s="45"/>
      <c r="R279" s="51"/>
      <c r="S279" s="53">
        <v>6</v>
      </c>
      <c r="T279" s="45">
        <v>92.86</v>
      </c>
      <c r="U279" s="45"/>
      <c r="V279" s="45"/>
      <c r="W279" s="45"/>
      <c r="X279" s="45"/>
      <c r="Y279" s="45"/>
      <c r="Z279" s="51"/>
      <c r="AA279" s="53">
        <v>6</v>
      </c>
      <c r="AB279" s="45">
        <v>93.300000000000011</v>
      </c>
      <c r="AC279" s="45"/>
      <c r="AD279" s="45"/>
      <c r="AE279" s="45"/>
      <c r="AF279" s="45"/>
      <c r="AG279" s="45"/>
      <c r="AH279" s="51"/>
      <c r="AI279" s="53">
        <v>6</v>
      </c>
      <c r="AJ279" s="45">
        <v>94.710000000000008</v>
      </c>
      <c r="AK279" s="45"/>
      <c r="AL279" s="45"/>
      <c r="AM279" s="45"/>
      <c r="AN279" s="45"/>
      <c r="AO279" s="45"/>
      <c r="AP279" s="51"/>
    </row>
    <row r="280" spans="1:42" ht="21" customHeight="1" thickTop="1" thickBot="1" x14ac:dyDescent="0.35">
      <c r="A280" s="63"/>
      <c r="B280" s="78"/>
      <c r="C280" s="53">
        <v>7</v>
      </c>
      <c r="D280" s="45">
        <v>92.28</v>
      </c>
      <c r="E280" s="45"/>
      <c r="F280" s="45"/>
      <c r="G280" s="45"/>
      <c r="H280" s="45"/>
      <c r="I280" s="45"/>
      <c r="J280" s="51"/>
      <c r="K280" s="53">
        <v>7</v>
      </c>
      <c r="L280" s="45">
        <v>92.03</v>
      </c>
      <c r="M280" s="45"/>
      <c r="N280" s="45"/>
      <c r="O280" s="45"/>
      <c r="P280" s="45"/>
      <c r="Q280" s="45"/>
      <c r="R280" s="51"/>
      <c r="S280" s="53">
        <v>7</v>
      </c>
      <c r="T280" s="45">
        <v>94.64</v>
      </c>
      <c r="U280" s="45"/>
      <c r="V280" s="45"/>
      <c r="W280" s="45"/>
      <c r="X280" s="45"/>
      <c r="Y280" s="45"/>
      <c r="Z280" s="51"/>
      <c r="AA280" s="53">
        <v>7</v>
      </c>
      <c r="AB280" s="45">
        <v>94.28</v>
      </c>
      <c r="AC280" s="45"/>
      <c r="AD280" s="45"/>
      <c r="AE280" s="45"/>
      <c r="AF280" s="45"/>
      <c r="AG280" s="45"/>
      <c r="AH280" s="51"/>
      <c r="AI280" s="53">
        <v>7</v>
      </c>
      <c r="AJ280" s="45">
        <v>93.370000000000019</v>
      </c>
      <c r="AK280" s="45"/>
      <c r="AL280" s="45"/>
      <c r="AM280" s="45"/>
      <c r="AN280" s="45"/>
      <c r="AO280" s="45"/>
      <c r="AP280" s="51"/>
    </row>
    <row r="281" spans="1:42" ht="21" customHeight="1" thickTop="1" thickBot="1" x14ac:dyDescent="0.35">
      <c r="A281" s="63"/>
      <c r="B281" s="78"/>
      <c r="C281" s="53">
        <v>8</v>
      </c>
      <c r="D281" s="45">
        <v>92.06</v>
      </c>
      <c r="E281" s="45"/>
      <c r="F281" s="45"/>
      <c r="G281" s="45"/>
      <c r="H281" s="45"/>
      <c r="I281" s="45"/>
      <c r="J281" s="51"/>
      <c r="K281" s="53">
        <v>8</v>
      </c>
      <c r="L281" s="45">
        <v>92.17</v>
      </c>
      <c r="M281" s="45"/>
      <c r="N281" s="45"/>
      <c r="O281" s="45"/>
      <c r="P281" s="45"/>
      <c r="Q281" s="45"/>
      <c r="R281" s="51"/>
      <c r="S281" s="53">
        <v>8</v>
      </c>
      <c r="T281" s="45">
        <v>95.68</v>
      </c>
      <c r="U281" s="45"/>
      <c r="V281" s="45"/>
      <c r="W281" s="45"/>
      <c r="X281" s="45"/>
      <c r="Y281" s="45"/>
      <c r="Z281" s="51"/>
      <c r="AA281" s="53">
        <v>8</v>
      </c>
      <c r="AB281" s="45">
        <v>94.78</v>
      </c>
      <c r="AC281" s="45"/>
      <c r="AD281" s="45"/>
      <c r="AE281" s="45"/>
      <c r="AF281" s="45"/>
      <c r="AG281" s="45"/>
      <c r="AH281" s="51"/>
      <c r="AI281" s="53">
        <v>8</v>
      </c>
      <c r="AJ281" s="45">
        <v>94.87</v>
      </c>
      <c r="AK281" s="45"/>
      <c r="AL281" s="45"/>
      <c r="AM281" s="45"/>
      <c r="AN281" s="45"/>
      <c r="AO281" s="45"/>
      <c r="AP281" s="51"/>
    </row>
    <row r="282" spans="1:42" ht="21" customHeight="1" thickTop="1" thickBot="1" x14ac:dyDescent="0.35">
      <c r="A282" s="63"/>
      <c r="B282" s="78"/>
      <c r="C282" s="53">
        <v>9</v>
      </c>
      <c r="D282" s="45">
        <v>92.59</v>
      </c>
      <c r="E282" s="45"/>
      <c r="F282" s="45"/>
      <c r="G282" s="45"/>
      <c r="H282" s="45"/>
      <c r="I282" s="45"/>
      <c r="J282" s="51"/>
      <c r="K282" s="53">
        <v>9</v>
      </c>
      <c r="L282" s="45">
        <v>93.02000000000001</v>
      </c>
      <c r="M282" s="45"/>
      <c r="N282" s="45"/>
      <c r="O282" s="45"/>
      <c r="P282" s="45"/>
      <c r="Q282" s="45"/>
      <c r="R282" s="51"/>
      <c r="S282" s="53">
        <v>9</v>
      </c>
      <c r="T282" s="45">
        <v>94.55</v>
      </c>
      <c r="U282" s="45"/>
      <c r="V282" s="45"/>
      <c r="W282" s="45"/>
      <c r="X282" s="45"/>
      <c r="Y282" s="45"/>
      <c r="Z282" s="51"/>
      <c r="AA282" s="53">
        <v>9</v>
      </c>
      <c r="AB282" s="45">
        <v>93.070000000000007</v>
      </c>
      <c r="AC282" s="45"/>
      <c r="AD282" s="45"/>
      <c r="AE282" s="45"/>
      <c r="AF282" s="45"/>
      <c r="AG282" s="45"/>
      <c r="AH282" s="51"/>
      <c r="AI282" s="53">
        <v>9</v>
      </c>
      <c r="AJ282" s="45">
        <v>93.39</v>
      </c>
      <c r="AK282" s="45"/>
      <c r="AL282" s="45"/>
      <c r="AM282" s="45"/>
      <c r="AN282" s="45"/>
      <c r="AO282" s="45"/>
      <c r="AP282" s="51"/>
    </row>
    <row r="283" spans="1:42" ht="21" customHeight="1" thickTop="1" thickBot="1" x14ac:dyDescent="0.35">
      <c r="A283" s="63"/>
      <c r="B283" s="78"/>
      <c r="C283" s="53">
        <v>10</v>
      </c>
      <c r="D283" s="45">
        <v>91.990000000000009</v>
      </c>
      <c r="E283" s="45"/>
      <c r="F283" s="45"/>
      <c r="G283" s="45"/>
      <c r="H283" s="45"/>
      <c r="I283" s="45"/>
      <c r="J283" s="51"/>
      <c r="K283" s="53">
        <v>10</v>
      </c>
      <c r="L283" s="45">
        <v>92.070000000000007</v>
      </c>
      <c r="M283" s="45"/>
      <c r="N283" s="45"/>
      <c r="O283" s="45"/>
      <c r="P283" s="45"/>
      <c r="Q283" s="45"/>
      <c r="R283" s="51"/>
      <c r="S283" s="53">
        <v>10</v>
      </c>
      <c r="T283" s="45">
        <v>93.350000000000009</v>
      </c>
      <c r="U283" s="45"/>
      <c r="V283" s="45"/>
      <c r="W283" s="45"/>
      <c r="X283" s="45"/>
      <c r="Y283" s="45"/>
      <c r="Z283" s="51"/>
      <c r="AA283" s="53">
        <v>10</v>
      </c>
      <c r="AB283" s="45">
        <v>93.02000000000001</v>
      </c>
      <c r="AC283" s="45"/>
      <c r="AD283" s="45"/>
      <c r="AE283" s="45"/>
      <c r="AF283" s="45"/>
      <c r="AG283" s="45"/>
      <c r="AH283" s="51"/>
      <c r="AI283" s="53">
        <v>10</v>
      </c>
      <c r="AJ283" s="45">
        <v>93.88000000000001</v>
      </c>
      <c r="AK283" s="45"/>
      <c r="AL283" s="45"/>
      <c r="AM283" s="45"/>
      <c r="AN283" s="45"/>
      <c r="AO283" s="45"/>
      <c r="AP283" s="51"/>
    </row>
    <row r="284" spans="1:42" ht="21" customHeight="1" thickTop="1" thickBot="1" x14ac:dyDescent="0.35">
      <c r="A284" s="63"/>
      <c r="B284" s="78"/>
      <c r="C284" s="53"/>
      <c r="D284" s="45"/>
      <c r="E284" s="45"/>
      <c r="F284" s="45"/>
      <c r="G284" s="45"/>
      <c r="H284" s="45"/>
      <c r="I284" s="45"/>
      <c r="J284" s="51"/>
      <c r="K284" s="53"/>
      <c r="L284" s="45"/>
      <c r="M284" s="45"/>
      <c r="N284" s="45"/>
      <c r="O284" s="45"/>
      <c r="P284" s="45"/>
      <c r="Q284" s="45"/>
      <c r="R284" s="51"/>
      <c r="S284" s="53"/>
      <c r="T284" s="45"/>
      <c r="U284" s="45"/>
      <c r="V284" s="45"/>
      <c r="W284" s="45"/>
      <c r="X284" s="45"/>
      <c r="Y284" s="45"/>
      <c r="Z284" s="51"/>
      <c r="AA284" s="53"/>
      <c r="AB284" s="45"/>
      <c r="AC284" s="45"/>
      <c r="AD284" s="45"/>
      <c r="AE284" s="45"/>
      <c r="AF284" s="45"/>
      <c r="AG284" s="45"/>
      <c r="AH284" s="51"/>
      <c r="AI284" s="53"/>
      <c r="AJ284" s="45"/>
      <c r="AK284" s="45"/>
      <c r="AL284" s="45"/>
      <c r="AM284" s="45"/>
      <c r="AN284" s="45"/>
      <c r="AO284" s="45"/>
      <c r="AP284" s="51"/>
    </row>
    <row r="285" spans="1:42" ht="41" customHeight="1" thickTop="1" thickBot="1" x14ac:dyDescent="0.35">
      <c r="A285" s="63"/>
      <c r="B285" s="78"/>
      <c r="C285" s="54" t="s">
        <v>16</v>
      </c>
      <c r="D285" s="49">
        <f>MIN(D274:D283)</f>
        <v>91.33</v>
      </c>
      <c r="E285" s="45"/>
      <c r="F285" s="55" t="s">
        <v>17</v>
      </c>
      <c r="G285" s="49" t="s">
        <v>18</v>
      </c>
      <c r="H285" s="49" t="s">
        <v>19</v>
      </c>
      <c r="I285" s="45"/>
      <c r="J285" s="51"/>
      <c r="K285" s="54" t="s">
        <v>16</v>
      </c>
      <c r="L285" s="49">
        <f>MIN(L274:L283)</f>
        <v>92.01</v>
      </c>
      <c r="M285" s="45"/>
      <c r="N285" s="55" t="s">
        <v>17</v>
      </c>
      <c r="O285" s="49" t="s">
        <v>18</v>
      </c>
      <c r="P285" s="49" t="s">
        <v>19</v>
      </c>
      <c r="Q285" s="45"/>
      <c r="R285" s="51"/>
      <c r="S285" s="54" t="s">
        <v>16</v>
      </c>
      <c r="T285" s="49">
        <f>MIN(T274:T283)</f>
        <v>92.86</v>
      </c>
      <c r="U285" s="45"/>
      <c r="V285" s="55" t="s">
        <v>17</v>
      </c>
      <c r="W285" s="49" t="s">
        <v>18</v>
      </c>
      <c r="X285" s="49" t="s">
        <v>19</v>
      </c>
      <c r="Y285" s="45"/>
      <c r="Z285" s="51"/>
      <c r="AA285" s="54" t="s">
        <v>16</v>
      </c>
      <c r="AB285" s="49">
        <f>MIN(AB274:AB283)</f>
        <v>92.36</v>
      </c>
      <c r="AC285" s="45"/>
      <c r="AD285" s="55" t="s">
        <v>17</v>
      </c>
      <c r="AE285" s="49" t="s">
        <v>18</v>
      </c>
      <c r="AF285" s="49" t="s">
        <v>19</v>
      </c>
      <c r="AG285" s="45"/>
      <c r="AH285" s="51"/>
      <c r="AI285" s="54" t="s">
        <v>16</v>
      </c>
      <c r="AJ285" s="49">
        <f>MIN(AJ274:AJ283)</f>
        <v>92.860000000000014</v>
      </c>
      <c r="AK285" s="45"/>
      <c r="AL285" s="55" t="s">
        <v>17</v>
      </c>
      <c r="AM285" s="49" t="s">
        <v>18</v>
      </c>
      <c r="AN285" s="49" t="s">
        <v>19</v>
      </c>
      <c r="AO285" s="45"/>
      <c r="AP285" s="51"/>
    </row>
    <row r="286" spans="1:42" ht="21" customHeight="1" thickTop="1" thickBot="1" x14ac:dyDescent="0.35">
      <c r="A286" s="63"/>
      <c r="B286" s="78"/>
      <c r="C286" s="54" t="s">
        <v>20</v>
      </c>
      <c r="D286" s="48">
        <f>AVERAGE(D274:D283)</f>
        <v>92.183999999999997</v>
      </c>
      <c r="E286" s="47"/>
      <c r="F286" s="48">
        <f>_xlfn.STDEV.S(D274:D283) / AVERAGE(D274:D283) * 100%</f>
        <v>5.5749559651530724E-3</v>
      </c>
      <c r="G286" s="48">
        <f t="array" ref="G286">MIN((D274:D283 - MIN(D274:D283,L274:L283,T274:T283,AB274:AB283,AJ274:AJ283))/MIN(D274:D283,L274:L283,T274:T283,AB274:AB283,AJ274:AJ283)*100%)</f>
        <v>0</v>
      </c>
      <c r="H286" s="48">
        <f t="array" ref="H286">AVERAGE((D274:D283 - MIN(D274:D283,L274:L283,T274:T283,AB274:AB283,AJ274:AJ283))/MIN(D274:D283,L274:L283,T274:T283,AB274:AB283,AJ274:AJ283)*100%)</f>
        <v>9.3507062301544548E-3</v>
      </c>
      <c r="I286" s="45"/>
      <c r="J286" s="51"/>
      <c r="K286" s="54" t="s">
        <v>20</v>
      </c>
      <c r="L286" s="48">
        <f>AVERAGE(L274:L283)</f>
        <v>92.349000000000004</v>
      </c>
      <c r="M286" s="47"/>
      <c r="N286" s="48">
        <f>_xlfn.STDEV.S(L274:L283) / AVERAGE(L274:L283) * 100%</f>
        <v>4.9662911767916137E-3</v>
      </c>
      <c r="O286" s="48">
        <f t="array" ref="O286">MIN((L274:L283 - MIN(D274:D283,L274:L283,T274:T283,AB274:AB283,AJ274:AJ283))/MIN(D274:D283,L274:L283,T274:T283,AB274:AB283,AJ274:AJ283)*100%)</f>
        <v>7.4455272090223016E-3</v>
      </c>
      <c r="P286" s="48">
        <f t="array" ref="P286">AVERAGE((L274:L283 - MIN(D274:D283,L274:L283,T274:T283,AB274:AB283,AJ274:AJ283))/MIN(D274:D283,L274:L283,T274:T283,AB274:AB283,AJ274:AJ283)*100%)</f>
        <v>1.115734150881428E-2</v>
      </c>
      <c r="Q286" s="44"/>
      <c r="R286" s="51"/>
      <c r="S286" s="54" t="s">
        <v>20</v>
      </c>
      <c r="T286" s="48">
        <f>AVERAGE(T274:T283)</f>
        <v>94.302000000000007</v>
      </c>
      <c r="U286" s="47"/>
      <c r="V286" s="48">
        <f>_xlfn.STDEV.S(T274:T283) / AVERAGE(T274:T283) * 100%</f>
        <v>1.0220457369556513E-2</v>
      </c>
      <c r="W286" s="48">
        <f t="array" ref="W286">MIN((T274:T283 - MIN(D274:D283,L274:L283,T274:T283,AB274:AB283,AJ274:AJ283))/MIN(D274:D283,L274:L283,T274:T283,AB274:AB283,AJ274:AJ283)*100%)</f>
        <v>1.6752436220300024E-2</v>
      </c>
      <c r="X286" s="48">
        <f t="array" ref="X286">AVERAGE((T274:T283 - MIN(D274:D283,L274:L283,T274:T283,AB274:AB283,AJ274:AJ283))/MIN(D274:D283,L274:L283,T274:T283,AB274:AB283,AJ274:AJ283)*100%)</f>
        <v>3.2541333625314868E-2</v>
      </c>
      <c r="Y286" s="44"/>
      <c r="Z286" s="51"/>
      <c r="AA286" s="54" t="s">
        <v>20</v>
      </c>
      <c r="AB286" s="48">
        <f>AVERAGE(AB274:AB283)</f>
        <v>93.596000000000004</v>
      </c>
      <c r="AC286" s="47"/>
      <c r="AD286" s="48">
        <f>_xlfn.STDEV.S(AB274:AB283) / AVERAGE(AB274:AB283) * 100%</f>
        <v>7.6164473669627086E-3</v>
      </c>
      <c r="AE286" s="48">
        <f t="array" ref="AE286">MIN((AB274:AB283 - MIN(D274:D283,L274:L283,T274:T283,AB274:AB283,AJ274:AJ283))/MIN(D274:D283,L274:L283,T274:T283,AB274:AB283,AJ274:AJ283)*100%)</f>
        <v>1.1277783860724857E-2</v>
      </c>
      <c r="AF286" s="48">
        <f t="array" ref="AF286">AVERAGE((AB274:AB283 - MIN(D274:D283,L274:L283,T274:T283,AB274:AB283,AJ274:AJ283))/MIN(D274:D283,L274:L283,T274:T283,AB274:AB283,AJ274:AJ283)*100%)</f>
        <v>2.4811124493594718E-2</v>
      </c>
      <c r="AG286" s="44"/>
      <c r="AH286" s="51"/>
      <c r="AI286" s="54" t="s">
        <v>20</v>
      </c>
      <c r="AJ286" s="48">
        <f>AVERAGE(AJ274:AJ283)</f>
        <v>94.144000000000005</v>
      </c>
      <c r="AK286" s="47"/>
      <c r="AL286" s="48">
        <f>_xlfn.STDEV.S(AJ274:AJ283) / AVERAGE(AJ274:AJ283) * 100%</f>
        <v>7.858576436798841E-3</v>
      </c>
      <c r="AM286" s="48">
        <f t="array" ref="AM286">MIN((AJ274:AJ283 - MIN(D274:D283,L274:L283,T274:T283,AB274:AB283,AJ274:AJ283))/MIN(D274:D283,L274:L283,T274:T283,AB274:AB283,AJ274:AJ283)*100%)</f>
        <v>1.675243622030018E-2</v>
      </c>
      <c r="AN286" s="48">
        <f t="array" ref="AN286">AVERAGE((AJ274:AJ283 - MIN(D274:D283,L274:L283,T274:T283,AB274:AB283,AJ274:AJ283))/MIN(D274:D283,L274:L283,T274:T283,AB274:AB283,AJ274:AJ283)*100%)</f>
        <v>3.0811343479689158E-2</v>
      </c>
      <c r="AO286" s="44"/>
      <c r="AP286" s="51"/>
    </row>
    <row r="287" spans="1:42" ht="21" customHeight="1" thickTop="1" thickBot="1" x14ac:dyDescent="0.35">
      <c r="A287" s="63"/>
      <c r="B287" s="79"/>
      <c r="C287" s="53"/>
      <c r="D287" s="44"/>
      <c r="E287" s="44"/>
      <c r="F287" s="44"/>
      <c r="G287" s="44"/>
      <c r="H287" s="44"/>
      <c r="I287" s="44"/>
      <c r="J287" s="51"/>
      <c r="K287" s="53"/>
      <c r="L287" s="44"/>
      <c r="M287" s="44"/>
      <c r="N287" s="44"/>
      <c r="O287" s="44"/>
      <c r="P287" s="44"/>
      <c r="Q287" s="44"/>
      <c r="R287" s="51"/>
      <c r="S287" s="53"/>
      <c r="T287" s="44"/>
      <c r="U287" s="44"/>
      <c r="V287" s="44"/>
      <c r="W287" s="44"/>
      <c r="X287" s="44"/>
      <c r="Y287" s="44"/>
      <c r="Z287" s="51"/>
      <c r="AA287" s="53"/>
      <c r="AB287" s="44"/>
      <c r="AC287" s="44"/>
      <c r="AD287" s="44"/>
      <c r="AE287" s="44"/>
      <c r="AF287" s="44"/>
      <c r="AG287" s="44"/>
      <c r="AH287" s="51"/>
      <c r="AI287" s="53"/>
      <c r="AJ287" s="44"/>
      <c r="AK287" s="44"/>
      <c r="AL287" s="44"/>
      <c r="AM287" s="44"/>
      <c r="AN287" s="44"/>
      <c r="AO287" s="44"/>
      <c r="AP287" s="51"/>
    </row>
    <row r="288" spans="1:42" ht="21" customHeight="1" thickTop="1" thickBot="1" x14ac:dyDescent="0.35">
      <c r="A288" s="63"/>
      <c r="B288" s="77" t="s">
        <v>46</v>
      </c>
      <c r="C288" s="59" t="s">
        <v>8</v>
      </c>
      <c r="D288" s="46" t="s">
        <v>9</v>
      </c>
      <c r="E288" s="46" t="s">
        <v>10</v>
      </c>
      <c r="F288" s="46" t="s">
        <v>11</v>
      </c>
      <c r="G288" s="46" t="s">
        <v>12</v>
      </c>
      <c r="H288" s="46" t="s">
        <v>13</v>
      </c>
      <c r="I288" s="46" t="s">
        <v>14</v>
      </c>
      <c r="J288" s="60" t="s">
        <v>15</v>
      </c>
      <c r="K288" s="59" t="s">
        <v>8</v>
      </c>
      <c r="L288" s="46" t="s">
        <v>9</v>
      </c>
      <c r="M288" s="46" t="s">
        <v>10</v>
      </c>
      <c r="N288" s="46" t="s">
        <v>11</v>
      </c>
      <c r="O288" s="46" t="s">
        <v>12</v>
      </c>
      <c r="P288" s="46" t="s">
        <v>13</v>
      </c>
      <c r="Q288" s="46" t="s">
        <v>14</v>
      </c>
      <c r="R288" s="60" t="s">
        <v>15</v>
      </c>
      <c r="S288" s="59" t="s">
        <v>8</v>
      </c>
      <c r="T288" s="46" t="s">
        <v>9</v>
      </c>
      <c r="U288" s="46" t="s">
        <v>10</v>
      </c>
      <c r="V288" s="46" t="s">
        <v>11</v>
      </c>
      <c r="W288" s="46" t="s">
        <v>12</v>
      </c>
      <c r="X288" s="46" t="s">
        <v>13</v>
      </c>
      <c r="Y288" s="46" t="s">
        <v>14</v>
      </c>
      <c r="Z288" s="60" t="s">
        <v>15</v>
      </c>
      <c r="AA288" s="59" t="s">
        <v>8</v>
      </c>
      <c r="AB288" s="46" t="s">
        <v>9</v>
      </c>
      <c r="AC288" s="46" t="s">
        <v>10</v>
      </c>
      <c r="AD288" s="46" t="s">
        <v>11</v>
      </c>
      <c r="AE288" s="46" t="s">
        <v>12</v>
      </c>
      <c r="AF288" s="46" t="s">
        <v>13</v>
      </c>
      <c r="AG288" s="46" t="s">
        <v>14</v>
      </c>
      <c r="AH288" s="60" t="s">
        <v>15</v>
      </c>
      <c r="AI288" s="59" t="s">
        <v>8</v>
      </c>
      <c r="AJ288" s="46" t="s">
        <v>9</v>
      </c>
      <c r="AK288" s="46" t="s">
        <v>10</v>
      </c>
      <c r="AL288" s="46" t="s">
        <v>11</v>
      </c>
      <c r="AM288" s="46" t="s">
        <v>12</v>
      </c>
      <c r="AN288" s="46" t="s">
        <v>13</v>
      </c>
      <c r="AO288" s="46" t="s">
        <v>14</v>
      </c>
      <c r="AP288" s="60" t="s">
        <v>15</v>
      </c>
    </row>
    <row r="289" spans="1:42" ht="21" customHeight="1" thickTop="1" thickBot="1" x14ac:dyDescent="0.35">
      <c r="A289" s="63"/>
      <c r="B289" s="78"/>
      <c r="C289" s="52">
        <v>1</v>
      </c>
      <c r="D289" s="44">
        <v>116.99</v>
      </c>
      <c r="E289" s="44"/>
      <c r="F289" s="44"/>
      <c r="G289" s="44"/>
      <c r="H289" s="44"/>
      <c r="I289" s="44"/>
      <c r="J289" s="51"/>
      <c r="K289" s="52">
        <v>1</v>
      </c>
      <c r="L289" s="44">
        <v>117.98</v>
      </c>
      <c r="M289" s="44"/>
      <c r="N289" s="44"/>
      <c r="O289" s="44"/>
      <c r="P289" s="44"/>
      <c r="Q289" s="44"/>
      <c r="R289" s="51"/>
      <c r="S289" s="52">
        <v>1</v>
      </c>
      <c r="T289" s="44">
        <v>119.07</v>
      </c>
      <c r="U289" s="44"/>
      <c r="V289" s="44"/>
      <c r="W289" s="44"/>
      <c r="X289" s="44"/>
      <c r="Y289" s="44"/>
      <c r="Z289" s="51"/>
      <c r="AA289" s="52">
        <v>1</v>
      </c>
      <c r="AB289" s="44">
        <v>120.3</v>
      </c>
      <c r="AC289" s="44"/>
      <c r="AD289" s="44"/>
      <c r="AE289" s="44"/>
      <c r="AF289" s="44"/>
      <c r="AG289" s="44"/>
      <c r="AH289" s="51"/>
      <c r="AI289" s="52">
        <v>1</v>
      </c>
      <c r="AJ289" s="44">
        <v>123.1</v>
      </c>
      <c r="AK289" s="44"/>
      <c r="AL289" s="44"/>
      <c r="AM289" s="44"/>
      <c r="AN289" s="44"/>
      <c r="AO289" s="44"/>
      <c r="AP289" s="51"/>
    </row>
    <row r="290" spans="1:42" ht="21" customHeight="1" thickTop="1" thickBot="1" x14ac:dyDescent="0.35">
      <c r="A290" s="63"/>
      <c r="B290" s="78"/>
      <c r="C290" s="53">
        <v>2</v>
      </c>
      <c r="D290" s="45">
        <v>118.64</v>
      </c>
      <c r="E290" s="45"/>
      <c r="F290" s="45"/>
      <c r="G290" s="45"/>
      <c r="H290" s="45"/>
      <c r="I290" s="45"/>
      <c r="J290" s="51"/>
      <c r="K290" s="53">
        <v>2</v>
      </c>
      <c r="L290" s="45">
        <v>118.64</v>
      </c>
      <c r="M290" s="45"/>
      <c r="N290" s="45"/>
      <c r="O290" s="45"/>
      <c r="P290" s="45"/>
      <c r="Q290" s="45"/>
      <c r="R290" s="51"/>
      <c r="S290" s="53">
        <v>2</v>
      </c>
      <c r="T290" s="45">
        <v>120.04</v>
      </c>
      <c r="U290" s="45"/>
      <c r="V290" s="45"/>
      <c r="W290" s="45"/>
      <c r="X290" s="45"/>
      <c r="Y290" s="45"/>
      <c r="Z290" s="51"/>
      <c r="AA290" s="53">
        <v>2</v>
      </c>
      <c r="AB290" s="45">
        <v>120.39</v>
      </c>
      <c r="AC290" s="45"/>
      <c r="AD290" s="45"/>
      <c r="AE290" s="45"/>
      <c r="AF290" s="45"/>
      <c r="AG290" s="45"/>
      <c r="AH290" s="51"/>
      <c r="AI290" s="53">
        <v>2</v>
      </c>
      <c r="AJ290" s="45">
        <v>121.7</v>
      </c>
      <c r="AK290" s="45"/>
      <c r="AL290" s="45"/>
      <c r="AM290" s="45"/>
      <c r="AN290" s="45"/>
      <c r="AO290" s="45"/>
      <c r="AP290" s="51"/>
    </row>
    <row r="291" spans="1:42" ht="21" customHeight="1" thickTop="1" thickBot="1" x14ac:dyDescent="0.35">
      <c r="A291" s="63"/>
      <c r="B291" s="78"/>
      <c r="C291" s="53">
        <v>3</v>
      </c>
      <c r="D291" s="45">
        <v>115.58</v>
      </c>
      <c r="E291" s="45"/>
      <c r="F291" s="45"/>
      <c r="G291" s="44"/>
      <c r="H291" s="44"/>
      <c r="I291" s="44"/>
      <c r="J291" s="51"/>
      <c r="K291" s="53">
        <v>3</v>
      </c>
      <c r="L291" s="45">
        <v>118.51</v>
      </c>
      <c r="M291" s="45"/>
      <c r="N291" s="45"/>
      <c r="O291" s="44"/>
      <c r="P291" s="44"/>
      <c r="Q291" s="44"/>
      <c r="R291" s="51"/>
      <c r="S291" s="53">
        <v>3</v>
      </c>
      <c r="T291" s="45">
        <v>119.34</v>
      </c>
      <c r="U291" s="45"/>
      <c r="V291" s="45"/>
      <c r="W291" s="44"/>
      <c r="X291" s="44"/>
      <c r="Y291" s="44"/>
      <c r="Z291" s="51"/>
      <c r="AA291" s="53">
        <v>3</v>
      </c>
      <c r="AB291" s="45">
        <v>120.3</v>
      </c>
      <c r="AC291" s="45"/>
      <c r="AD291" s="45"/>
      <c r="AE291" s="44"/>
      <c r="AF291" s="44"/>
      <c r="AG291" s="44"/>
      <c r="AH291" s="51"/>
      <c r="AI291" s="53">
        <v>3</v>
      </c>
      <c r="AJ291" s="45">
        <v>123.21</v>
      </c>
      <c r="AK291" s="45"/>
      <c r="AL291" s="45"/>
      <c r="AM291" s="44"/>
      <c r="AN291" s="44"/>
      <c r="AO291" s="44"/>
      <c r="AP291" s="51"/>
    </row>
    <row r="292" spans="1:42" ht="21" customHeight="1" thickTop="1" thickBot="1" x14ac:dyDescent="0.35">
      <c r="A292" s="63"/>
      <c r="B292" s="78"/>
      <c r="C292" s="53">
        <v>4</v>
      </c>
      <c r="D292" s="45">
        <v>118.51</v>
      </c>
      <c r="E292" s="45"/>
      <c r="F292" s="45"/>
      <c r="G292" s="45"/>
      <c r="H292" s="45"/>
      <c r="I292" s="45"/>
      <c r="J292" s="51"/>
      <c r="K292" s="53">
        <v>4</v>
      </c>
      <c r="L292" s="45">
        <v>118.24</v>
      </c>
      <c r="M292" s="45"/>
      <c r="N292" s="45"/>
      <c r="O292" s="45"/>
      <c r="P292" s="45"/>
      <c r="Q292" s="45"/>
      <c r="R292" s="51"/>
      <c r="S292" s="53">
        <v>4</v>
      </c>
      <c r="T292" s="45">
        <v>122.32</v>
      </c>
      <c r="U292" s="45"/>
      <c r="V292" s="45"/>
      <c r="W292" s="45"/>
      <c r="X292" s="45"/>
      <c r="Y292" s="45"/>
      <c r="Z292" s="51"/>
      <c r="AA292" s="53">
        <v>4</v>
      </c>
      <c r="AB292" s="45">
        <v>121.97</v>
      </c>
      <c r="AC292" s="45"/>
      <c r="AD292" s="45"/>
      <c r="AE292" s="45"/>
      <c r="AF292" s="45"/>
      <c r="AG292" s="45"/>
      <c r="AH292" s="51"/>
      <c r="AI292" s="53">
        <v>4</v>
      </c>
      <c r="AJ292" s="45">
        <v>121.32</v>
      </c>
      <c r="AK292" s="45"/>
      <c r="AL292" s="45"/>
      <c r="AM292" s="45"/>
      <c r="AN292" s="45"/>
      <c r="AO292" s="45"/>
      <c r="AP292" s="51"/>
    </row>
    <row r="293" spans="1:42" ht="21" customHeight="1" thickTop="1" thickBot="1" x14ac:dyDescent="0.35">
      <c r="A293" s="63"/>
      <c r="B293" s="78"/>
      <c r="C293" s="53">
        <v>5</v>
      </c>
      <c r="D293" s="45">
        <v>116.33</v>
      </c>
      <c r="E293" s="45"/>
      <c r="F293" s="45"/>
      <c r="G293" s="45"/>
      <c r="H293" s="45"/>
      <c r="I293" s="45"/>
      <c r="J293" s="51"/>
      <c r="K293" s="53">
        <v>5</v>
      </c>
      <c r="L293" s="45">
        <v>118.89</v>
      </c>
      <c r="M293" s="45"/>
      <c r="N293" s="45"/>
      <c r="O293" s="45"/>
      <c r="P293" s="45"/>
      <c r="Q293" s="45"/>
      <c r="R293" s="51"/>
      <c r="S293" s="53">
        <v>5</v>
      </c>
      <c r="T293" s="45">
        <v>121.84</v>
      </c>
      <c r="U293" s="45"/>
      <c r="V293" s="45"/>
      <c r="W293" s="45"/>
      <c r="X293" s="45"/>
      <c r="Y293" s="45"/>
      <c r="Z293" s="51"/>
      <c r="AA293" s="53">
        <v>5</v>
      </c>
      <c r="AB293" s="45">
        <v>120.3</v>
      </c>
      <c r="AC293" s="45"/>
      <c r="AD293" s="45"/>
      <c r="AE293" s="45"/>
      <c r="AF293" s="45"/>
      <c r="AG293" s="45"/>
      <c r="AH293" s="51"/>
      <c r="AI293" s="53">
        <v>5</v>
      </c>
      <c r="AJ293" s="45">
        <v>122.18</v>
      </c>
      <c r="AK293" s="45"/>
      <c r="AL293" s="45"/>
      <c r="AM293" s="45"/>
      <c r="AN293" s="45"/>
      <c r="AO293" s="45"/>
      <c r="AP293" s="51"/>
    </row>
    <row r="294" spans="1:42" ht="21" customHeight="1" thickTop="1" thickBot="1" x14ac:dyDescent="0.35">
      <c r="A294" s="63"/>
      <c r="B294" s="78"/>
      <c r="C294" s="53">
        <v>6</v>
      </c>
      <c r="D294" s="45">
        <v>118.69</v>
      </c>
      <c r="E294" s="45"/>
      <c r="F294" s="45"/>
      <c r="G294" s="45"/>
      <c r="H294" s="45"/>
      <c r="I294" s="45"/>
      <c r="J294" s="51"/>
      <c r="K294" s="53">
        <v>6</v>
      </c>
      <c r="L294" s="45">
        <v>117.48</v>
      </c>
      <c r="M294" s="45"/>
      <c r="N294" s="45"/>
      <c r="O294" s="45"/>
      <c r="P294" s="45"/>
      <c r="Q294" s="45"/>
      <c r="R294" s="51"/>
      <c r="S294" s="53">
        <v>6</v>
      </c>
      <c r="T294" s="45">
        <v>120.4</v>
      </c>
      <c r="U294" s="45"/>
      <c r="V294" s="45"/>
      <c r="W294" s="45"/>
      <c r="X294" s="45"/>
      <c r="Y294" s="45"/>
      <c r="Z294" s="51"/>
      <c r="AA294" s="53">
        <v>6</v>
      </c>
      <c r="AB294" s="45">
        <v>118.86</v>
      </c>
      <c r="AC294" s="45"/>
      <c r="AD294" s="45"/>
      <c r="AE294" s="45"/>
      <c r="AF294" s="45"/>
      <c r="AG294" s="45"/>
      <c r="AH294" s="51"/>
      <c r="AI294" s="53">
        <v>6</v>
      </c>
      <c r="AJ294" s="45">
        <v>121.66</v>
      </c>
      <c r="AK294" s="45"/>
      <c r="AL294" s="45"/>
      <c r="AM294" s="45"/>
      <c r="AN294" s="45"/>
      <c r="AO294" s="45"/>
      <c r="AP294" s="51"/>
    </row>
    <row r="295" spans="1:42" ht="21" customHeight="1" thickTop="1" thickBot="1" x14ac:dyDescent="0.35">
      <c r="A295" s="63"/>
      <c r="B295" s="78"/>
      <c r="C295" s="53">
        <v>7</v>
      </c>
      <c r="D295" s="45">
        <v>118.32</v>
      </c>
      <c r="E295" s="45"/>
      <c r="F295" s="45"/>
      <c r="G295" s="45"/>
      <c r="H295" s="45"/>
      <c r="I295" s="45"/>
      <c r="J295" s="51"/>
      <c r="K295" s="53">
        <v>7</v>
      </c>
      <c r="L295" s="45">
        <v>117.48</v>
      </c>
      <c r="M295" s="45"/>
      <c r="N295" s="45"/>
      <c r="O295" s="45"/>
      <c r="P295" s="45"/>
      <c r="Q295" s="45"/>
      <c r="R295" s="51"/>
      <c r="S295" s="53">
        <v>7</v>
      </c>
      <c r="T295" s="45">
        <v>117.65</v>
      </c>
      <c r="U295" s="45"/>
      <c r="V295" s="45"/>
      <c r="W295" s="45"/>
      <c r="X295" s="45"/>
      <c r="Y295" s="45"/>
      <c r="Z295" s="51"/>
      <c r="AA295" s="53">
        <v>7</v>
      </c>
      <c r="AB295" s="45">
        <v>120.5</v>
      </c>
      <c r="AC295" s="45"/>
      <c r="AD295" s="45"/>
      <c r="AE295" s="45"/>
      <c r="AF295" s="45"/>
      <c r="AG295" s="45"/>
      <c r="AH295" s="51"/>
      <c r="AI295" s="53">
        <v>7</v>
      </c>
      <c r="AJ295" s="45">
        <v>123.09</v>
      </c>
      <c r="AK295" s="45"/>
      <c r="AL295" s="45"/>
      <c r="AM295" s="45"/>
      <c r="AN295" s="45"/>
      <c r="AO295" s="45"/>
      <c r="AP295" s="51"/>
    </row>
    <row r="296" spans="1:42" ht="21" customHeight="1" thickTop="1" thickBot="1" x14ac:dyDescent="0.35">
      <c r="A296" s="63"/>
      <c r="B296" s="78"/>
      <c r="C296" s="53">
        <v>8</v>
      </c>
      <c r="D296" s="45">
        <v>116.61</v>
      </c>
      <c r="E296" s="45"/>
      <c r="F296" s="45"/>
      <c r="G296" s="45"/>
      <c r="H296" s="45"/>
      <c r="I296" s="45"/>
      <c r="J296" s="51"/>
      <c r="K296" s="53">
        <v>8</v>
      </c>
      <c r="L296" s="45">
        <v>117.67</v>
      </c>
      <c r="M296" s="45"/>
      <c r="N296" s="45"/>
      <c r="O296" s="45"/>
      <c r="P296" s="45"/>
      <c r="Q296" s="45"/>
      <c r="R296" s="51"/>
      <c r="S296" s="53">
        <v>8</v>
      </c>
      <c r="T296" s="45">
        <v>124.01</v>
      </c>
      <c r="U296" s="45"/>
      <c r="V296" s="45"/>
      <c r="W296" s="45"/>
      <c r="X296" s="45"/>
      <c r="Y296" s="45"/>
      <c r="Z296" s="51"/>
      <c r="AA296" s="53">
        <v>8</v>
      </c>
      <c r="AB296" s="45">
        <v>118.69</v>
      </c>
      <c r="AC296" s="45"/>
      <c r="AD296" s="45"/>
      <c r="AE296" s="45"/>
      <c r="AF296" s="45"/>
      <c r="AG296" s="45"/>
      <c r="AH296" s="51"/>
      <c r="AI296" s="53">
        <v>8</v>
      </c>
      <c r="AJ296" s="45">
        <v>123.64</v>
      </c>
      <c r="AK296" s="45"/>
      <c r="AL296" s="45"/>
      <c r="AM296" s="45"/>
      <c r="AN296" s="45"/>
      <c r="AO296" s="45"/>
      <c r="AP296" s="51"/>
    </row>
    <row r="297" spans="1:42" ht="21" customHeight="1" thickTop="1" thickBot="1" x14ac:dyDescent="0.35">
      <c r="A297" s="63"/>
      <c r="B297" s="78"/>
      <c r="C297" s="53">
        <v>9</v>
      </c>
      <c r="D297" s="45">
        <v>118.9</v>
      </c>
      <c r="E297" s="45"/>
      <c r="F297" s="45"/>
      <c r="G297" s="45"/>
      <c r="H297" s="45"/>
      <c r="I297" s="45"/>
      <c r="J297" s="51"/>
      <c r="K297" s="53">
        <v>9</v>
      </c>
      <c r="L297" s="45">
        <v>118.32</v>
      </c>
      <c r="M297" s="45"/>
      <c r="N297" s="45"/>
      <c r="O297" s="45"/>
      <c r="P297" s="45"/>
      <c r="Q297" s="45"/>
      <c r="R297" s="51"/>
      <c r="S297" s="53">
        <v>9</v>
      </c>
      <c r="T297" s="45">
        <v>119.68</v>
      </c>
      <c r="U297" s="45"/>
      <c r="V297" s="45"/>
      <c r="W297" s="45"/>
      <c r="X297" s="45"/>
      <c r="Y297" s="45"/>
      <c r="Z297" s="51"/>
      <c r="AA297" s="53">
        <v>9</v>
      </c>
      <c r="AB297" s="45">
        <v>118.69</v>
      </c>
      <c r="AC297" s="45"/>
      <c r="AD297" s="45"/>
      <c r="AE297" s="45"/>
      <c r="AF297" s="45"/>
      <c r="AG297" s="45"/>
      <c r="AH297" s="51"/>
      <c r="AI297" s="53">
        <v>9</v>
      </c>
      <c r="AJ297" s="45">
        <v>123.51</v>
      </c>
      <c r="AK297" s="45"/>
      <c r="AL297" s="45"/>
      <c r="AM297" s="45"/>
      <c r="AN297" s="45"/>
      <c r="AO297" s="45"/>
      <c r="AP297" s="51"/>
    </row>
    <row r="298" spans="1:42" ht="21" customHeight="1" thickTop="1" thickBot="1" x14ac:dyDescent="0.35">
      <c r="A298" s="63"/>
      <c r="B298" s="78"/>
      <c r="C298" s="53">
        <v>10</v>
      </c>
      <c r="D298" s="45">
        <v>116.06</v>
      </c>
      <c r="E298" s="45"/>
      <c r="F298" s="45"/>
      <c r="G298" s="45"/>
      <c r="H298" s="45"/>
      <c r="I298" s="45"/>
      <c r="J298" s="51"/>
      <c r="K298" s="53">
        <v>10</v>
      </c>
      <c r="L298" s="45">
        <v>118.69</v>
      </c>
      <c r="M298" s="45"/>
      <c r="N298" s="45"/>
      <c r="O298" s="45"/>
      <c r="P298" s="45"/>
      <c r="Q298" s="45"/>
      <c r="R298" s="51"/>
      <c r="S298" s="53">
        <v>10</v>
      </c>
      <c r="T298" s="45">
        <v>123.2</v>
      </c>
      <c r="U298" s="45"/>
      <c r="V298" s="45"/>
      <c r="W298" s="45"/>
      <c r="X298" s="45"/>
      <c r="Y298" s="45"/>
      <c r="Z298" s="51"/>
      <c r="AA298" s="53">
        <v>10</v>
      </c>
      <c r="AB298" s="45">
        <v>122.25</v>
      </c>
      <c r="AC298" s="45"/>
      <c r="AD298" s="45"/>
      <c r="AE298" s="45"/>
      <c r="AF298" s="45"/>
      <c r="AG298" s="45"/>
      <c r="AH298" s="51"/>
      <c r="AI298" s="53">
        <v>10</v>
      </c>
      <c r="AJ298" s="45">
        <v>123.07</v>
      </c>
      <c r="AK298" s="45"/>
      <c r="AL298" s="45"/>
      <c r="AM298" s="45"/>
      <c r="AN298" s="45"/>
      <c r="AO298" s="45"/>
      <c r="AP298" s="51"/>
    </row>
    <row r="299" spans="1:42" ht="21" customHeight="1" thickTop="1" thickBot="1" x14ac:dyDescent="0.35">
      <c r="A299" s="63"/>
      <c r="B299" s="78"/>
      <c r="C299" s="53"/>
      <c r="D299" s="45"/>
      <c r="E299" s="45"/>
      <c r="F299" s="45"/>
      <c r="G299" s="45"/>
      <c r="H299" s="45"/>
      <c r="I299" s="45"/>
      <c r="J299" s="51"/>
      <c r="K299" s="53"/>
      <c r="L299" s="45"/>
      <c r="M299" s="45"/>
      <c r="N299" s="45"/>
      <c r="O299" s="45"/>
      <c r="P299" s="45"/>
      <c r="Q299" s="45"/>
      <c r="R299" s="51"/>
      <c r="S299" s="53"/>
      <c r="T299" s="45"/>
      <c r="U299" s="45"/>
      <c r="V299" s="45"/>
      <c r="W299" s="45"/>
      <c r="X299" s="45"/>
      <c r="Y299" s="45"/>
      <c r="Z299" s="51"/>
      <c r="AA299" s="53"/>
      <c r="AB299" s="45"/>
      <c r="AC299" s="45"/>
      <c r="AD299" s="45"/>
      <c r="AE299" s="45"/>
      <c r="AF299" s="45"/>
      <c r="AG299" s="45"/>
      <c r="AH299" s="51"/>
      <c r="AI299" s="53"/>
      <c r="AJ299" s="45"/>
      <c r="AK299" s="45"/>
      <c r="AL299" s="45"/>
      <c r="AM299" s="45"/>
      <c r="AN299" s="45"/>
      <c r="AO299" s="45"/>
      <c r="AP299" s="51"/>
    </row>
    <row r="300" spans="1:42" ht="41" customHeight="1" thickTop="1" thickBot="1" x14ac:dyDescent="0.35">
      <c r="A300" s="63"/>
      <c r="B300" s="78"/>
      <c r="C300" s="54" t="s">
        <v>16</v>
      </c>
      <c r="D300" s="49">
        <f>MIN(D289:D298)</f>
        <v>115.58</v>
      </c>
      <c r="E300" s="45"/>
      <c r="F300" s="55" t="s">
        <v>17</v>
      </c>
      <c r="G300" s="49" t="s">
        <v>18</v>
      </c>
      <c r="H300" s="49" t="s">
        <v>19</v>
      </c>
      <c r="I300" s="45"/>
      <c r="J300" s="51"/>
      <c r="K300" s="54" t="s">
        <v>16</v>
      </c>
      <c r="L300" s="49">
        <f>MIN(L289:L298)</f>
        <v>117.48</v>
      </c>
      <c r="M300" s="45"/>
      <c r="N300" s="55" t="s">
        <v>17</v>
      </c>
      <c r="O300" s="49" t="s">
        <v>18</v>
      </c>
      <c r="P300" s="49" t="s">
        <v>19</v>
      </c>
      <c r="Q300" s="45"/>
      <c r="R300" s="51"/>
      <c r="S300" s="54" t="s">
        <v>16</v>
      </c>
      <c r="T300" s="49">
        <f>MIN(T289:T298)</f>
        <v>117.65</v>
      </c>
      <c r="U300" s="45"/>
      <c r="V300" s="55" t="s">
        <v>17</v>
      </c>
      <c r="W300" s="49" t="s">
        <v>18</v>
      </c>
      <c r="X300" s="49" t="s">
        <v>19</v>
      </c>
      <c r="Y300" s="45"/>
      <c r="Z300" s="51"/>
      <c r="AA300" s="54" t="s">
        <v>16</v>
      </c>
      <c r="AB300" s="49">
        <f>MIN(AB289:AB298)</f>
        <v>118.69</v>
      </c>
      <c r="AC300" s="45"/>
      <c r="AD300" s="55" t="s">
        <v>17</v>
      </c>
      <c r="AE300" s="49" t="s">
        <v>18</v>
      </c>
      <c r="AF300" s="49" t="s">
        <v>19</v>
      </c>
      <c r="AG300" s="45"/>
      <c r="AH300" s="51"/>
      <c r="AI300" s="54" t="s">
        <v>16</v>
      </c>
      <c r="AJ300" s="49">
        <f>MIN(AJ289:AJ298)</f>
        <v>121.32</v>
      </c>
      <c r="AK300" s="45"/>
      <c r="AL300" s="55" t="s">
        <v>17</v>
      </c>
      <c r="AM300" s="49" t="s">
        <v>18</v>
      </c>
      <c r="AN300" s="49" t="s">
        <v>19</v>
      </c>
      <c r="AO300" s="45"/>
      <c r="AP300" s="51"/>
    </row>
    <row r="301" spans="1:42" ht="21" customHeight="1" thickTop="1" thickBot="1" x14ac:dyDescent="0.35">
      <c r="A301" s="63"/>
      <c r="B301" s="78"/>
      <c r="C301" s="54" t="s">
        <v>20</v>
      </c>
      <c r="D301" s="48">
        <f>AVERAGE(D289:D298)</f>
        <v>117.46299999999999</v>
      </c>
      <c r="E301" s="47"/>
      <c r="F301" s="48">
        <f>_xlfn.STDEV.S(D289:D298) / AVERAGE(D289:D298) * 100%</f>
        <v>1.0819178543406032E-2</v>
      </c>
      <c r="G301" s="48">
        <f t="array" ref="G301">MIN((D289:D298 - MIN(D289:D298,L289:L298,T289:T298,AB289:AB298,AJ289:AJ298))/MIN(D289:D298,L289:L298,T289:T298,AB289:AB298,AJ289:AJ298)*100%)</f>
        <v>0</v>
      </c>
      <c r="H301" s="48">
        <f t="array" ref="H301">AVERAGE((D289:D298 - MIN(D289:D298,L289:L298,T289:T298,AB289:AB298,AJ289:AJ298))/MIN(D289:D298,L289:L298,T289:T298,AB289:AB298,AJ289:AJ298)*100%)</f>
        <v>1.629174597681261E-2</v>
      </c>
      <c r="I301" s="45"/>
      <c r="J301" s="51"/>
      <c r="K301" s="54" t="s">
        <v>20</v>
      </c>
      <c r="L301" s="48">
        <f>AVERAGE(L289:L298)</f>
        <v>118.19000000000001</v>
      </c>
      <c r="M301" s="47"/>
      <c r="N301" s="48">
        <f>_xlfn.STDEV.S(L289:L298) / AVERAGE(L289:L298) * 100%</f>
        <v>4.3573678240232516E-3</v>
      </c>
      <c r="O301" s="48">
        <f t="array" ref="O301">MIN((L289:L298 - MIN(D289:D298,L289:L298,T289:T298,AB289:AB298,AJ289:AJ298))/MIN(D289:D298,L289:L298,T289:T298,AB289:AB298,AJ289:AJ298)*100%)</f>
        <v>1.6438830247447706E-2</v>
      </c>
      <c r="P301" s="48">
        <f t="array" ref="P301">AVERAGE((L289:L298 - MIN(D289:D298,L289:L298,T289:T298,AB289:AB298,AJ289:AJ298))/MIN(D289:D298,L289:L298,T289:T298,AB289:AB298,AJ289:AJ298)*100%)</f>
        <v>2.2581761550441275E-2</v>
      </c>
      <c r="Q301" s="44"/>
      <c r="R301" s="51"/>
      <c r="S301" s="54" t="s">
        <v>20</v>
      </c>
      <c r="T301" s="48">
        <f>AVERAGE(T289:T298)</f>
        <v>120.755</v>
      </c>
      <c r="U301" s="47"/>
      <c r="V301" s="48">
        <f>_xlfn.STDEV.S(T289:T298) / AVERAGE(T289:T298) * 100%</f>
        <v>1.6671335070504667E-2</v>
      </c>
      <c r="W301" s="48">
        <f t="array" ref="W301">MIN((T289:T298 - MIN(D289:D298,L289:L298,T289:T298,AB289:AB298,AJ289:AJ298))/MIN(D289:D298,L289:L298,T289:T298,AB289:AB298,AJ289:AJ298)*100%)</f>
        <v>1.7909672953798299E-2</v>
      </c>
      <c r="X301" s="48">
        <f t="array" ref="X301">AVERAGE((T289:T298 - MIN(D289:D298,L289:L298,T289:T298,AB289:AB298,AJ289:AJ298))/MIN(D289:D298,L289:L298,T289:T298,AB289:AB298,AJ289:AJ298)*100%)</f>
        <v>4.4774182384495632E-2</v>
      </c>
      <c r="Y301" s="44"/>
      <c r="Z301" s="51"/>
      <c r="AA301" s="54" t="s">
        <v>20</v>
      </c>
      <c r="AB301" s="48">
        <f>AVERAGE(AB289:AB298)</f>
        <v>120.22499999999999</v>
      </c>
      <c r="AC301" s="47"/>
      <c r="AD301" s="48">
        <f>_xlfn.STDEV.S(AB289:AB298) / AVERAGE(AB289:AB298) * 100%</f>
        <v>1.0314982091205176E-2</v>
      </c>
      <c r="AE301" s="48">
        <f t="array" ref="AE301">MIN((AB289:AB298 - MIN(D289:D298,L289:L298,T289:T298,AB289:AB298,AJ289:AJ298))/MIN(D289:D298,L289:L298,T289:T298,AB289:AB298,AJ289:AJ298)*100%)</f>
        <v>2.6907769510295894E-2</v>
      </c>
      <c r="AF301" s="48">
        <f t="array" ref="AF301">AVERAGE((AB289:AB298 - MIN(D289:D298,L289:L298,T289:T298,AB289:AB298,AJ289:AJ298))/MIN(D289:D298,L289:L298,T289:T298,AB289:AB298,AJ289:AJ298)*100%)</f>
        <v>4.0188613947049666E-2</v>
      </c>
      <c r="AG301" s="44"/>
      <c r="AH301" s="51"/>
      <c r="AI301" s="54" t="s">
        <v>20</v>
      </c>
      <c r="AJ301" s="48">
        <f>AVERAGE(AJ289:AJ298)</f>
        <v>122.648</v>
      </c>
      <c r="AK301" s="47"/>
      <c r="AL301" s="48">
        <f>_xlfn.STDEV.S(AJ289:AJ298) / AVERAGE(AJ289:AJ298) * 100%</f>
        <v>6.9174194346956746E-3</v>
      </c>
      <c r="AM301" s="48">
        <f t="array" ref="AM301">MIN((AJ289:AJ298 - MIN(D289:D298,L289:L298,T289:T298,AB289:AB298,AJ289:AJ298))/MIN(D289:D298,L289:L298,T289:T298,AB289:AB298,AJ289:AJ298)*100%)</f>
        <v>4.9662571379131291E-2</v>
      </c>
      <c r="AN301" s="48">
        <f t="array" ref="AN301">AVERAGE((AJ289:AJ298 - MIN(D289:D298,L289:L298,T289:T298,AB289:AB298,AJ289:AJ298))/MIN(D289:D298,L289:L298,T289:T298,AB289:AB298,AJ289:AJ298)*100%)</f>
        <v>6.115244852050529E-2</v>
      </c>
      <c r="AO301" s="44"/>
      <c r="AP301" s="51"/>
    </row>
    <row r="302" spans="1:42" ht="21" customHeight="1" thickTop="1" thickBot="1" x14ac:dyDescent="0.35">
      <c r="A302" s="63"/>
      <c r="B302" s="79"/>
      <c r="C302" s="53"/>
      <c r="D302" s="44"/>
      <c r="E302" s="44"/>
      <c r="F302" s="44"/>
      <c r="G302" s="44"/>
      <c r="H302" s="44"/>
      <c r="I302" s="44"/>
      <c r="J302" s="51"/>
      <c r="K302" s="53"/>
      <c r="L302" s="44"/>
      <c r="M302" s="44"/>
      <c r="N302" s="44"/>
      <c r="O302" s="44"/>
      <c r="P302" s="44"/>
      <c r="Q302" s="44"/>
      <c r="R302" s="51"/>
      <c r="S302" s="53"/>
      <c r="T302" s="44"/>
      <c r="U302" s="44"/>
      <c r="V302" s="44"/>
      <c r="W302" s="44"/>
      <c r="X302" s="44"/>
      <c r="Y302" s="44"/>
      <c r="Z302" s="51"/>
      <c r="AA302" s="53"/>
      <c r="AB302" s="44"/>
      <c r="AC302" s="44"/>
      <c r="AD302" s="44"/>
      <c r="AE302" s="44"/>
      <c r="AF302" s="44"/>
      <c r="AG302" s="44"/>
      <c r="AH302" s="51"/>
      <c r="AI302" s="53"/>
      <c r="AJ302" s="44"/>
      <c r="AK302" s="44"/>
      <c r="AL302" s="44"/>
      <c r="AM302" s="44"/>
      <c r="AN302" s="44"/>
      <c r="AO302" s="44"/>
      <c r="AP302" s="51"/>
    </row>
    <row r="303" spans="1:42" ht="21" customHeight="1" thickTop="1" thickBot="1" x14ac:dyDescent="0.35">
      <c r="A303" s="63"/>
      <c r="B303" s="77" t="s">
        <v>47</v>
      </c>
      <c r="C303" s="59" t="s">
        <v>8</v>
      </c>
      <c r="D303" s="46" t="s">
        <v>9</v>
      </c>
      <c r="E303" s="46" t="s">
        <v>10</v>
      </c>
      <c r="F303" s="46" t="s">
        <v>11</v>
      </c>
      <c r="G303" s="46" t="s">
        <v>12</v>
      </c>
      <c r="H303" s="46" t="s">
        <v>13</v>
      </c>
      <c r="I303" s="46" t="s">
        <v>14</v>
      </c>
      <c r="J303" s="60" t="s">
        <v>15</v>
      </c>
      <c r="K303" s="59" t="s">
        <v>8</v>
      </c>
      <c r="L303" s="46" t="s">
        <v>9</v>
      </c>
      <c r="M303" s="46" t="s">
        <v>10</v>
      </c>
      <c r="N303" s="46" t="s">
        <v>11</v>
      </c>
      <c r="O303" s="46" t="s">
        <v>12</v>
      </c>
      <c r="P303" s="46" t="s">
        <v>13</v>
      </c>
      <c r="Q303" s="46" t="s">
        <v>14</v>
      </c>
      <c r="R303" s="60" t="s">
        <v>15</v>
      </c>
      <c r="S303" s="59" t="s">
        <v>8</v>
      </c>
      <c r="T303" s="46" t="s">
        <v>9</v>
      </c>
      <c r="U303" s="46" t="s">
        <v>10</v>
      </c>
      <c r="V303" s="46" t="s">
        <v>11</v>
      </c>
      <c r="W303" s="46" t="s">
        <v>12</v>
      </c>
      <c r="X303" s="46" t="s">
        <v>13</v>
      </c>
      <c r="Y303" s="46" t="s">
        <v>14</v>
      </c>
      <c r="Z303" s="60" t="s">
        <v>15</v>
      </c>
      <c r="AA303" s="59" t="s">
        <v>8</v>
      </c>
      <c r="AB303" s="46" t="s">
        <v>9</v>
      </c>
      <c r="AC303" s="46" t="s">
        <v>10</v>
      </c>
      <c r="AD303" s="46" t="s">
        <v>11</v>
      </c>
      <c r="AE303" s="46" t="s">
        <v>12</v>
      </c>
      <c r="AF303" s="46" t="s">
        <v>13</v>
      </c>
      <c r="AG303" s="46" t="s">
        <v>14</v>
      </c>
      <c r="AH303" s="60" t="s">
        <v>15</v>
      </c>
      <c r="AI303" s="59" t="s">
        <v>8</v>
      </c>
      <c r="AJ303" s="46" t="s">
        <v>9</v>
      </c>
      <c r="AK303" s="46" t="s">
        <v>10</v>
      </c>
      <c r="AL303" s="46" t="s">
        <v>11</v>
      </c>
      <c r="AM303" s="46" t="s">
        <v>12</v>
      </c>
      <c r="AN303" s="46" t="s">
        <v>13</v>
      </c>
      <c r="AO303" s="46" t="s">
        <v>14</v>
      </c>
      <c r="AP303" s="60" t="s">
        <v>15</v>
      </c>
    </row>
    <row r="304" spans="1:42" ht="21" customHeight="1" thickTop="1" thickBot="1" x14ac:dyDescent="0.35">
      <c r="A304" s="63"/>
      <c r="B304" s="78"/>
      <c r="C304" s="52">
        <v>1</v>
      </c>
      <c r="D304" s="44">
        <v>129.94999999999999</v>
      </c>
      <c r="E304" s="44"/>
      <c r="F304" s="44"/>
      <c r="G304" s="44"/>
      <c r="H304" s="44"/>
      <c r="I304" s="44"/>
      <c r="J304" s="51"/>
      <c r="K304" s="52">
        <v>1</v>
      </c>
      <c r="L304" s="44">
        <v>131.41999999999999</v>
      </c>
      <c r="M304" s="44"/>
      <c r="N304" s="44"/>
      <c r="O304" s="44"/>
      <c r="P304" s="44"/>
      <c r="Q304" s="44"/>
      <c r="R304" s="51"/>
      <c r="S304" s="52">
        <v>1</v>
      </c>
      <c r="T304" s="44">
        <v>131.15</v>
      </c>
      <c r="U304" s="44"/>
      <c r="V304" s="44"/>
      <c r="W304" s="44"/>
      <c r="X304" s="44"/>
      <c r="Y304" s="44"/>
      <c r="Z304" s="51"/>
      <c r="AA304" s="52">
        <v>1</v>
      </c>
      <c r="AB304" s="44">
        <v>130.19</v>
      </c>
      <c r="AC304" s="44"/>
      <c r="AD304" s="44"/>
      <c r="AE304" s="44"/>
      <c r="AF304" s="44"/>
      <c r="AG304" s="44"/>
      <c r="AH304" s="51"/>
      <c r="AI304" s="52">
        <v>1</v>
      </c>
      <c r="AJ304" s="44">
        <v>130.96</v>
      </c>
      <c r="AK304" s="44"/>
      <c r="AL304" s="44"/>
      <c r="AM304" s="44"/>
      <c r="AN304" s="44"/>
      <c r="AO304" s="44"/>
      <c r="AP304" s="51"/>
    </row>
    <row r="305" spans="1:42" ht="21" customHeight="1" thickTop="1" thickBot="1" x14ac:dyDescent="0.35">
      <c r="A305" s="63"/>
      <c r="B305" s="78"/>
      <c r="C305" s="53">
        <v>2</v>
      </c>
      <c r="D305" s="45">
        <v>130.77000000000001</v>
      </c>
      <c r="E305" s="45"/>
      <c r="F305" s="45"/>
      <c r="G305" s="45"/>
      <c r="H305" s="45"/>
      <c r="I305" s="45"/>
      <c r="J305" s="51"/>
      <c r="K305" s="53">
        <v>2</v>
      </c>
      <c r="L305" s="45">
        <v>131.07</v>
      </c>
      <c r="M305" s="45"/>
      <c r="N305" s="45"/>
      <c r="O305" s="45"/>
      <c r="P305" s="45"/>
      <c r="Q305" s="45"/>
      <c r="R305" s="51"/>
      <c r="S305" s="53">
        <v>2</v>
      </c>
      <c r="T305" s="45">
        <v>133.94999999999999</v>
      </c>
      <c r="U305" s="45"/>
      <c r="V305" s="45"/>
      <c r="W305" s="45"/>
      <c r="X305" s="45"/>
      <c r="Y305" s="45"/>
      <c r="Z305" s="51"/>
      <c r="AA305" s="53">
        <v>2</v>
      </c>
      <c r="AB305" s="45">
        <v>132.94999999999999</v>
      </c>
      <c r="AC305" s="45"/>
      <c r="AD305" s="45"/>
      <c r="AE305" s="45"/>
      <c r="AF305" s="45"/>
      <c r="AG305" s="45"/>
      <c r="AH305" s="51"/>
      <c r="AI305" s="53">
        <v>2</v>
      </c>
      <c r="AJ305" s="45">
        <v>131.43</v>
      </c>
      <c r="AK305" s="45"/>
      <c r="AL305" s="45"/>
      <c r="AM305" s="45"/>
      <c r="AN305" s="45"/>
      <c r="AO305" s="45"/>
      <c r="AP305" s="51"/>
    </row>
    <row r="306" spans="1:42" ht="21" customHeight="1" thickTop="1" thickBot="1" x14ac:dyDescent="0.35">
      <c r="A306" s="63"/>
      <c r="B306" s="78"/>
      <c r="C306" s="53">
        <v>3</v>
      </c>
      <c r="D306" s="45">
        <v>130.9</v>
      </c>
      <c r="E306" s="45"/>
      <c r="F306" s="45"/>
      <c r="G306" s="44"/>
      <c r="H306" s="44"/>
      <c r="I306" s="44"/>
      <c r="J306" s="51"/>
      <c r="K306" s="53">
        <v>3</v>
      </c>
      <c r="L306" s="45">
        <v>130.55000000000001</v>
      </c>
      <c r="M306" s="45"/>
      <c r="N306" s="45"/>
      <c r="O306" s="44"/>
      <c r="P306" s="44"/>
      <c r="Q306" s="44"/>
      <c r="R306" s="51"/>
      <c r="S306" s="53">
        <v>3</v>
      </c>
      <c r="T306" s="45">
        <v>134.01</v>
      </c>
      <c r="U306" s="45"/>
      <c r="V306" s="45"/>
      <c r="W306" s="44"/>
      <c r="X306" s="44"/>
      <c r="Y306" s="44"/>
      <c r="Z306" s="51"/>
      <c r="AA306" s="53">
        <v>3</v>
      </c>
      <c r="AB306" s="45">
        <v>129.61000000000001</v>
      </c>
      <c r="AC306" s="45"/>
      <c r="AD306" s="45"/>
      <c r="AE306" s="44"/>
      <c r="AF306" s="44"/>
      <c r="AG306" s="44"/>
      <c r="AH306" s="51"/>
      <c r="AI306" s="53">
        <v>3</v>
      </c>
      <c r="AJ306" s="45">
        <v>130.84</v>
      </c>
      <c r="AK306" s="45"/>
      <c r="AL306" s="45"/>
      <c r="AM306" s="44"/>
      <c r="AN306" s="44"/>
      <c r="AO306" s="44"/>
      <c r="AP306" s="51"/>
    </row>
    <row r="307" spans="1:42" ht="21" customHeight="1" thickTop="1" thickBot="1" x14ac:dyDescent="0.35">
      <c r="A307" s="63"/>
      <c r="B307" s="78"/>
      <c r="C307" s="53">
        <v>4</v>
      </c>
      <c r="D307" s="45">
        <v>129.32</v>
      </c>
      <c r="E307" s="45"/>
      <c r="F307" s="45"/>
      <c r="G307" s="45"/>
      <c r="H307" s="45"/>
      <c r="I307" s="45"/>
      <c r="J307" s="51"/>
      <c r="K307" s="53">
        <v>4</v>
      </c>
      <c r="L307" s="45">
        <v>130.15</v>
      </c>
      <c r="M307" s="45"/>
      <c r="N307" s="45"/>
      <c r="O307" s="45"/>
      <c r="P307" s="45"/>
      <c r="Q307" s="45"/>
      <c r="R307" s="51"/>
      <c r="S307" s="53">
        <v>4</v>
      </c>
      <c r="T307" s="45">
        <v>130.99</v>
      </c>
      <c r="U307" s="45"/>
      <c r="V307" s="45"/>
      <c r="W307" s="45"/>
      <c r="X307" s="45"/>
      <c r="Y307" s="45"/>
      <c r="Z307" s="51"/>
      <c r="AA307" s="53">
        <v>4</v>
      </c>
      <c r="AB307" s="45">
        <v>130.37</v>
      </c>
      <c r="AC307" s="45"/>
      <c r="AD307" s="45"/>
      <c r="AE307" s="45"/>
      <c r="AF307" s="45"/>
      <c r="AG307" s="45"/>
      <c r="AH307" s="51"/>
      <c r="AI307" s="53">
        <v>4</v>
      </c>
      <c r="AJ307" s="45">
        <v>130.05000000000001</v>
      </c>
      <c r="AK307" s="45"/>
      <c r="AL307" s="45"/>
      <c r="AM307" s="45"/>
      <c r="AN307" s="45"/>
      <c r="AO307" s="45"/>
      <c r="AP307" s="51"/>
    </row>
    <row r="308" spans="1:42" ht="21" customHeight="1" thickTop="1" thickBot="1" x14ac:dyDescent="0.35">
      <c r="A308" s="63"/>
      <c r="B308" s="78"/>
      <c r="C308" s="53">
        <v>5</v>
      </c>
      <c r="D308" s="45">
        <v>129.31</v>
      </c>
      <c r="E308" s="45"/>
      <c r="F308" s="45"/>
      <c r="G308" s="45"/>
      <c r="H308" s="45"/>
      <c r="I308" s="45"/>
      <c r="J308" s="51"/>
      <c r="K308" s="53">
        <v>5</v>
      </c>
      <c r="L308" s="45">
        <v>130</v>
      </c>
      <c r="M308" s="45"/>
      <c r="N308" s="45"/>
      <c r="O308" s="45"/>
      <c r="P308" s="45"/>
      <c r="Q308" s="45"/>
      <c r="R308" s="51"/>
      <c r="S308" s="53">
        <v>5</v>
      </c>
      <c r="T308" s="45">
        <v>133.41999999999999</v>
      </c>
      <c r="U308" s="45"/>
      <c r="V308" s="45"/>
      <c r="W308" s="45"/>
      <c r="X308" s="45"/>
      <c r="Y308" s="45"/>
      <c r="Z308" s="51"/>
      <c r="AA308" s="53">
        <v>5</v>
      </c>
      <c r="AB308" s="45">
        <v>131.66999999999999</v>
      </c>
      <c r="AC308" s="45"/>
      <c r="AD308" s="45"/>
      <c r="AE308" s="45"/>
      <c r="AF308" s="45"/>
      <c r="AG308" s="45"/>
      <c r="AH308" s="51"/>
      <c r="AI308" s="53">
        <v>5</v>
      </c>
      <c r="AJ308" s="45">
        <v>130.72</v>
      </c>
      <c r="AK308" s="45"/>
      <c r="AL308" s="45"/>
      <c r="AM308" s="45"/>
      <c r="AN308" s="45"/>
      <c r="AO308" s="45"/>
      <c r="AP308" s="51"/>
    </row>
    <row r="309" spans="1:42" ht="21" customHeight="1" thickTop="1" thickBot="1" x14ac:dyDescent="0.35">
      <c r="A309" s="63"/>
      <c r="B309" s="78"/>
      <c r="C309" s="53">
        <v>6</v>
      </c>
      <c r="D309" s="45">
        <v>129.32</v>
      </c>
      <c r="E309" s="45"/>
      <c r="F309" s="45"/>
      <c r="G309" s="45"/>
      <c r="H309" s="45"/>
      <c r="I309" s="45"/>
      <c r="J309" s="51"/>
      <c r="K309" s="53">
        <v>6</v>
      </c>
      <c r="L309" s="45">
        <v>130.11000000000001</v>
      </c>
      <c r="M309" s="45"/>
      <c r="N309" s="45"/>
      <c r="O309" s="45"/>
      <c r="P309" s="45"/>
      <c r="Q309" s="45"/>
      <c r="R309" s="51"/>
      <c r="S309" s="53">
        <v>6</v>
      </c>
      <c r="T309" s="45">
        <v>131.06</v>
      </c>
      <c r="U309" s="45"/>
      <c r="V309" s="45"/>
      <c r="W309" s="45"/>
      <c r="X309" s="45"/>
      <c r="Y309" s="45"/>
      <c r="Z309" s="51"/>
      <c r="AA309" s="53">
        <v>6</v>
      </c>
      <c r="AB309" s="45">
        <v>130.29</v>
      </c>
      <c r="AC309" s="45"/>
      <c r="AD309" s="45"/>
      <c r="AE309" s="45"/>
      <c r="AF309" s="45"/>
      <c r="AG309" s="45"/>
      <c r="AH309" s="51"/>
      <c r="AI309" s="53">
        <v>6</v>
      </c>
      <c r="AJ309" s="45">
        <v>130.19999999999999</v>
      </c>
      <c r="AK309" s="45"/>
      <c r="AL309" s="45"/>
      <c r="AM309" s="45"/>
      <c r="AN309" s="45"/>
      <c r="AO309" s="45"/>
      <c r="AP309" s="51"/>
    </row>
    <row r="310" spans="1:42" ht="21" customHeight="1" thickTop="1" thickBot="1" x14ac:dyDescent="0.35">
      <c r="A310" s="63"/>
      <c r="B310" s="78"/>
      <c r="C310" s="53">
        <v>7</v>
      </c>
      <c r="D310" s="45">
        <v>130.55000000000001</v>
      </c>
      <c r="E310" s="45"/>
      <c r="F310" s="45"/>
      <c r="G310" s="45"/>
      <c r="H310" s="45"/>
      <c r="I310" s="45"/>
      <c r="J310" s="51"/>
      <c r="K310" s="53">
        <v>7</v>
      </c>
      <c r="L310" s="45">
        <v>129.25</v>
      </c>
      <c r="M310" s="45"/>
      <c r="N310" s="45"/>
      <c r="O310" s="45"/>
      <c r="P310" s="45"/>
      <c r="Q310" s="45"/>
      <c r="R310" s="51"/>
      <c r="S310" s="53">
        <v>7</v>
      </c>
      <c r="T310" s="45">
        <v>131.15</v>
      </c>
      <c r="U310" s="45"/>
      <c r="V310" s="45"/>
      <c r="W310" s="45"/>
      <c r="X310" s="45"/>
      <c r="Y310" s="45"/>
      <c r="Z310" s="51"/>
      <c r="AA310" s="53">
        <v>7</v>
      </c>
      <c r="AB310" s="45">
        <v>131.36000000000001</v>
      </c>
      <c r="AC310" s="45"/>
      <c r="AD310" s="45"/>
      <c r="AE310" s="45"/>
      <c r="AF310" s="45"/>
      <c r="AG310" s="45"/>
      <c r="AH310" s="51"/>
      <c r="AI310" s="53">
        <v>7</v>
      </c>
      <c r="AJ310" s="45">
        <v>128.94</v>
      </c>
      <c r="AK310" s="45"/>
      <c r="AL310" s="45"/>
      <c r="AM310" s="45"/>
      <c r="AN310" s="45"/>
      <c r="AO310" s="45"/>
      <c r="AP310" s="51"/>
    </row>
    <row r="311" spans="1:42" ht="21" customHeight="1" thickTop="1" thickBot="1" x14ac:dyDescent="0.35">
      <c r="A311" s="63"/>
      <c r="B311" s="78"/>
      <c r="C311" s="53">
        <v>8</v>
      </c>
      <c r="D311" s="45">
        <v>126.54</v>
      </c>
      <c r="E311" s="45"/>
      <c r="F311" s="45"/>
      <c r="G311" s="45"/>
      <c r="H311" s="45"/>
      <c r="I311" s="45"/>
      <c r="J311" s="51"/>
      <c r="K311" s="53">
        <v>8</v>
      </c>
      <c r="L311" s="45">
        <v>130.30000000000001</v>
      </c>
      <c r="M311" s="45"/>
      <c r="N311" s="45"/>
      <c r="O311" s="45"/>
      <c r="P311" s="45"/>
      <c r="Q311" s="45"/>
      <c r="R311" s="51"/>
      <c r="S311" s="53">
        <v>8</v>
      </c>
      <c r="T311" s="45">
        <v>134.11000000000001</v>
      </c>
      <c r="U311" s="45"/>
      <c r="V311" s="45"/>
      <c r="W311" s="45"/>
      <c r="X311" s="45"/>
      <c r="Y311" s="45"/>
      <c r="Z311" s="51"/>
      <c r="AA311" s="53">
        <v>8</v>
      </c>
      <c r="AB311" s="45">
        <v>130.29</v>
      </c>
      <c r="AC311" s="45"/>
      <c r="AD311" s="45"/>
      <c r="AE311" s="45"/>
      <c r="AF311" s="45"/>
      <c r="AG311" s="45"/>
      <c r="AH311" s="51"/>
      <c r="AI311" s="53">
        <v>8</v>
      </c>
      <c r="AJ311" s="45">
        <v>130.85</v>
      </c>
      <c r="AK311" s="45"/>
      <c r="AL311" s="45"/>
      <c r="AM311" s="45"/>
      <c r="AN311" s="45"/>
      <c r="AO311" s="45"/>
      <c r="AP311" s="51"/>
    </row>
    <row r="312" spans="1:42" ht="21" customHeight="1" thickTop="1" thickBot="1" x14ac:dyDescent="0.35">
      <c r="A312" s="63"/>
      <c r="B312" s="78"/>
      <c r="C312" s="53">
        <v>9</v>
      </c>
      <c r="D312" s="45">
        <v>130.24</v>
      </c>
      <c r="E312" s="45"/>
      <c r="F312" s="45"/>
      <c r="G312" s="45"/>
      <c r="H312" s="45"/>
      <c r="I312" s="45"/>
      <c r="J312" s="51"/>
      <c r="K312" s="53">
        <v>9</v>
      </c>
      <c r="L312" s="45">
        <v>130.87</v>
      </c>
      <c r="M312" s="45"/>
      <c r="N312" s="45"/>
      <c r="O312" s="45"/>
      <c r="P312" s="45"/>
      <c r="Q312" s="45"/>
      <c r="R312" s="51"/>
      <c r="S312" s="53">
        <v>9</v>
      </c>
      <c r="T312" s="45">
        <v>131.29</v>
      </c>
      <c r="U312" s="45"/>
      <c r="V312" s="45"/>
      <c r="W312" s="45"/>
      <c r="X312" s="45"/>
      <c r="Y312" s="45"/>
      <c r="Z312" s="51"/>
      <c r="AA312" s="53">
        <v>9</v>
      </c>
      <c r="AB312" s="45">
        <v>131.96</v>
      </c>
      <c r="AC312" s="45"/>
      <c r="AD312" s="45"/>
      <c r="AE312" s="45"/>
      <c r="AF312" s="45"/>
      <c r="AG312" s="45"/>
      <c r="AH312" s="51"/>
      <c r="AI312" s="53">
        <v>9</v>
      </c>
      <c r="AJ312" s="45">
        <v>130.43</v>
      </c>
      <c r="AK312" s="45"/>
      <c r="AL312" s="45"/>
      <c r="AM312" s="45"/>
      <c r="AN312" s="45"/>
      <c r="AO312" s="45"/>
      <c r="AP312" s="51"/>
    </row>
    <row r="313" spans="1:42" ht="21" customHeight="1" thickTop="1" thickBot="1" x14ac:dyDescent="0.35">
      <c r="A313" s="63"/>
      <c r="B313" s="78"/>
      <c r="C313" s="53">
        <v>10</v>
      </c>
      <c r="D313" s="45">
        <v>129.56</v>
      </c>
      <c r="E313" s="45"/>
      <c r="F313" s="45"/>
      <c r="G313" s="45"/>
      <c r="H313" s="45"/>
      <c r="I313" s="45"/>
      <c r="J313" s="51"/>
      <c r="K313" s="53">
        <v>10</v>
      </c>
      <c r="L313" s="45">
        <v>130.30000000000001</v>
      </c>
      <c r="M313" s="45"/>
      <c r="N313" s="45"/>
      <c r="O313" s="45"/>
      <c r="P313" s="45"/>
      <c r="Q313" s="45"/>
      <c r="R313" s="51"/>
      <c r="S313" s="53">
        <v>10</v>
      </c>
      <c r="T313" s="45">
        <v>132.44</v>
      </c>
      <c r="U313" s="45"/>
      <c r="V313" s="45"/>
      <c r="W313" s="45"/>
      <c r="X313" s="45"/>
      <c r="Y313" s="45"/>
      <c r="Z313" s="51"/>
      <c r="AA313" s="53">
        <v>10</v>
      </c>
      <c r="AB313" s="45">
        <v>132.68</v>
      </c>
      <c r="AC313" s="45"/>
      <c r="AD313" s="45"/>
      <c r="AE313" s="45"/>
      <c r="AF313" s="45"/>
      <c r="AG313" s="45"/>
      <c r="AH313" s="51"/>
      <c r="AI313" s="53">
        <v>10</v>
      </c>
      <c r="AJ313" s="45">
        <v>130.72</v>
      </c>
      <c r="AK313" s="45"/>
      <c r="AL313" s="45"/>
      <c r="AM313" s="45"/>
      <c r="AN313" s="45"/>
      <c r="AO313" s="45"/>
      <c r="AP313" s="51"/>
    </row>
    <row r="314" spans="1:42" ht="21" customHeight="1" thickTop="1" thickBot="1" x14ac:dyDescent="0.35">
      <c r="A314" s="63"/>
      <c r="B314" s="78"/>
      <c r="C314" s="53"/>
      <c r="D314" s="45"/>
      <c r="E314" s="45"/>
      <c r="F314" s="45"/>
      <c r="G314" s="45"/>
      <c r="H314" s="45"/>
      <c r="I314" s="45"/>
      <c r="J314" s="51"/>
      <c r="K314" s="53"/>
      <c r="L314" s="45"/>
      <c r="M314" s="45"/>
      <c r="N314" s="45"/>
      <c r="O314" s="45"/>
      <c r="P314" s="45"/>
      <c r="Q314" s="45"/>
      <c r="R314" s="51"/>
      <c r="S314" s="53"/>
      <c r="T314" s="45"/>
      <c r="U314" s="45"/>
      <c r="V314" s="45"/>
      <c r="W314" s="45"/>
      <c r="X314" s="45"/>
      <c r="Y314" s="45"/>
      <c r="Z314" s="51"/>
      <c r="AA314" s="53"/>
      <c r="AB314" s="45"/>
      <c r="AC314" s="45"/>
      <c r="AD314" s="45"/>
      <c r="AE314" s="45"/>
      <c r="AF314" s="45"/>
      <c r="AG314" s="45"/>
      <c r="AH314" s="51"/>
      <c r="AI314" s="53"/>
      <c r="AJ314" s="45"/>
      <c r="AK314" s="45"/>
      <c r="AL314" s="45"/>
      <c r="AM314" s="45"/>
      <c r="AN314" s="45"/>
      <c r="AO314" s="45"/>
      <c r="AP314" s="51"/>
    </row>
    <row r="315" spans="1:42" ht="41" customHeight="1" thickTop="1" thickBot="1" x14ac:dyDescent="0.35">
      <c r="A315" s="63"/>
      <c r="B315" s="78"/>
      <c r="C315" s="54" t="s">
        <v>16</v>
      </c>
      <c r="D315" s="49">
        <f>MIN(D304:D313)</f>
        <v>126.54</v>
      </c>
      <c r="E315" s="45"/>
      <c r="F315" s="55" t="s">
        <v>17</v>
      </c>
      <c r="G315" s="49" t="s">
        <v>18</v>
      </c>
      <c r="H315" s="49" t="s">
        <v>19</v>
      </c>
      <c r="I315" s="45"/>
      <c r="J315" s="51"/>
      <c r="K315" s="54" t="s">
        <v>16</v>
      </c>
      <c r="L315" s="49">
        <f>MIN(L304:L313)</f>
        <v>129.25</v>
      </c>
      <c r="M315" s="45"/>
      <c r="N315" s="55" t="s">
        <v>17</v>
      </c>
      <c r="O315" s="49" t="s">
        <v>18</v>
      </c>
      <c r="P315" s="49" t="s">
        <v>19</v>
      </c>
      <c r="Q315" s="45"/>
      <c r="R315" s="51"/>
      <c r="S315" s="54" t="s">
        <v>16</v>
      </c>
      <c r="T315" s="49">
        <f>MIN(T304:T313)</f>
        <v>130.99</v>
      </c>
      <c r="U315" s="45"/>
      <c r="V315" s="55" t="s">
        <v>17</v>
      </c>
      <c r="W315" s="49" t="s">
        <v>18</v>
      </c>
      <c r="X315" s="49" t="s">
        <v>19</v>
      </c>
      <c r="Y315" s="45"/>
      <c r="Z315" s="51"/>
      <c r="AA315" s="54" t="s">
        <v>16</v>
      </c>
      <c r="AB315" s="49">
        <f>MIN(AB304:AB313)</f>
        <v>129.61000000000001</v>
      </c>
      <c r="AC315" s="45"/>
      <c r="AD315" s="55" t="s">
        <v>17</v>
      </c>
      <c r="AE315" s="49" t="s">
        <v>18</v>
      </c>
      <c r="AF315" s="49" t="s">
        <v>19</v>
      </c>
      <c r="AG315" s="45"/>
      <c r="AH315" s="51"/>
      <c r="AI315" s="54" t="s">
        <v>16</v>
      </c>
      <c r="AJ315" s="49">
        <f>MIN(AJ304:AJ313)</f>
        <v>128.94</v>
      </c>
      <c r="AK315" s="45"/>
      <c r="AL315" s="55" t="s">
        <v>17</v>
      </c>
      <c r="AM315" s="49" t="s">
        <v>18</v>
      </c>
      <c r="AN315" s="49" t="s">
        <v>19</v>
      </c>
      <c r="AO315" s="45"/>
      <c r="AP315" s="51"/>
    </row>
    <row r="316" spans="1:42" ht="21" customHeight="1" thickTop="1" thickBot="1" x14ac:dyDescent="0.35">
      <c r="A316" s="63"/>
      <c r="B316" s="78"/>
      <c r="C316" s="54" t="s">
        <v>20</v>
      </c>
      <c r="D316" s="48">
        <f>AVERAGE(D304:D313)</f>
        <v>129.64599999999999</v>
      </c>
      <c r="E316" s="47"/>
      <c r="F316" s="48">
        <f>_xlfn.STDEV.S(D304:D313) / AVERAGE(D304:D313) * 100%</f>
        <v>9.6471024466681082E-3</v>
      </c>
      <c r="G316" s="48">
        <f t="array" ref="G316">MIN((D304:D313 - MIN(D304:D313,L304:L313,T304:T313,AB304:AB313,AJ304:AJ313))/MIN(D304:D313,L304:L313,T304:T313,AB304:AB313,AJ304:AJ313)*100%)</f>
        <v>0</v>
      </c>
      <c r="H316" s="48">
        <f t="array" ref="H316">AVERAGE((D304:D313 - MIN(D304:D313,L304:L313,T304:T313,AB304:AB313,AJ304:AJ313))/MIN(D304:D313,L304:L313,T304:T313,AB304:AB313,AJ304:AJ313)*100%)</f>
        <v>2.4545598229808722E-2</v>
      </c>
      <c r="I316" s="45"/>
      <c r="J316" s="51"/>
      <c r="K316" s="54" t="s">
        <v>20</v>
      </c>
      <c r="L316" s="48">
        <f>AVERAGE(L304:L313)</f>
        <v>130.40200000000002</v>
      </c>
      <c r="M316" s="47"/>
      <c r="N316" s="48">
        <f>_xlfn.STDEV.S(L304:L313) / AVERAGE(L304:L313) * 100%</f>
        <v>4.7007362506937466E-3</v>
      </c>
      <c r="O316" s="48">
        <f t="array" ref="O316">MIN((L304:L313 - MIN(D304:D313,L304:L313,T304:T313,AB304:AB313,AJ304:AJ313))/MIN(D304:D313,L304:L313,T304:T313,AB304:AB313,AJ304:AJ313)*100%)</f>
        <v>2.1416152995100312E-2</v>
      </c>
      <c r="P316" s="48">
        <f t="array" ref="P316">AVERAGE((L304:L313 - MIN(D304:D313,L304:L313,T304:T313,AB304:AB313,AJ304:AJ313))/MIN(D304:D313,L304:L313,T304:T313,AB304:AB313,AJ304:AJ313)*100%)</f>
        <v>3.0519993677888397E-2</v>
      </c>
      <c r="Q316" s="44"/>
      <c r="R316" s="51"/>
      <c r="S316" s="54" t="s">
        <v>20</v>
      </c>
      <c r="T316" s="48">
        <f>AVERAGE(T304:T313)</f>
        <v>132.357</v>
      </c>
      <c r="U316" s="47"/>
      <c r="V316" s="48">
        <f>_xlfn.STDEV.S(T304:T313) / AVERAGE(T304:T313) * 100%</f>
        <v>1.040912030388895E-2</v>
      </c>
      <c r="W316" s="48">
        <f t="array" ref="W316">MIN((T304:T313 - MIN(D304:D313,L304:L313,T304:T313,AB304:AB313,AJ304:AJ313))/MIN(D304:D313,L304:L313,T304:T313,AB304:AB313,AJ304:AJ313)*100%)</f>
        <v>3.5166745693061503E-2</v>
      </c>
      <c r="X316" s="48">
        <f t="array" ref="X316">AVERAGE((T304:T313 - MIN(D304:D313,L304:L313,T304:T313,AB304:AB313,AJ304:AJ313))/MIN(D304:D313,L304:L313,T304:T313,AB304:AB313,AJ304:AJ313)*100%)</f>
        <v>4.5969653864390649E-2</v>
      </c>
      <c r="Y316" s="44"/>
      <c r="Z316" s="51"/>
      <c r="AA316" s="54" t="s">
        <v>20</v>
      </c>
      <c r="AB316" s="48">
        <f>AVERAGE(AB304:AB313)</f>
        <v>131.137</v>
      </c>
      <c r="AC316" s="47"/>
      <c r="AD316" s="48">
        <f>_xlfn.STDEV.S(AB304:AB313) / AVERAGE(AB304:AB313) * 100%</f>
        <v>8.7798040994049118E-3</v>
      </c>
      <c r="AE316" s="48">
        <f t="array" ref="AE316">MIN((AB304:AB313 - MIN(D304:D313,L304:L313,T304:T313,AB304:AB313,AJ304:AJ313))/MIN(D304:D313,L304:L313,T304:T313,AB304:AB313,AJ304:AJ313)*100%)</f>
        <v>2.4261103208471687E-2</v>
      </c>
      <c r="AF316" s="48">
        <f t="array" ref="AF316">AVERAGE((AB304:AB313 - MIN(D304:D313,L304:L313,T304:T313,AB304:AB313,AJ304:AJ313))/MIN(D304:D313,L304:L313,T304:T313,AB304:AB313,AJ304:AJ313)*100%)</f>
        <v>3.6328433696854706E-2</v>
      </c>
      <c r="AG316" s="44"/>
      <c r="AH316" s="51"/>
      <c r="AI316" s="54" t="s">
        <v>20</v>
      </c>
      <c r="AJ316" s="48">
        <f>AVERAGE(AJ304:AJ313)</f>
        <v>130.51400000000001</v>
      </c>
      <c r="AK316" s="47"/>
      <c r="AL316" s="48">
        <f>_xlfn.STDEV.S(AJ304:AJ313) / AVERAGE(AJ304:AJ313) * 100%</f>
        <v>5.1969063757299483E-3</v>
      </c>
      <c r="AM316" s="48">
        <f t="array" ref="AM316">MIN((AJ304:AJ313 - MIN(D304:D313,L304:L313,T304:T313,AB304:AB313,AJ304:AJ313))/MIN(D304:D313,L304:L313,T304:T313,AB304:AB313,AJ304:AJ313)*100%)</f>
        <v>1.8966334755808372E-2</v>
      </c>
      <c r="AN316" s="48">
        <f t="array" ref="AN316">AVERAGE((AJ304:AJ313 - MIN(D304:D313,L304:L313,T304:T313,AB304:AB313,AJ304:AJ313))/MIN(D304:D313,L304:L313,T304:T313,AB304:AB313,AJ304:AJ313)*100%)</f>
        <v>3.1405089299826099E-2</v>
      </c>
      <c r="AO316" s="44"/>
      <c r="AP316" s="51"/>
    </row>
    <row r="317" spans="1:42" ht="21" customHeight="1" thickTop="1" thickBot="1" x14ac:dyDescent="0.35">
      <c r="A317" s="63"/>
      <c r="B317" s="79"/>
      <c r="C317" s="53"/>
      <c r="D317" s="44"/>
      <c r="E317" s="44"/>
      <c r="F317" s="44"/>
      <c r="G317" s="44"/>
      <c r="H317" s="44"/>
      <c r="I317" s="44"/>
      <c r="J317" s="51"/>
      <c r="K317" s="53"/>
      <c r="L317" s="44"/>
      <c r="M317" s="44"/>
      <c r="N317" s="44"/>
      <c r="O317" s="44"/>
      <c r="P317" s="44"/>
      <c r="Q317" s="44"/>
      <c r="R317" s="51"/>
      <c r="S317" s="53"/>
      <c r="T317" s="44"/>
      <c r="U317" s="44"/>
      <c r="V317" s="44"/>
      <c r="W317" s="44"/>
      <c r="X317" s="44"/>
      <c r="Y317" s="44"/>
      <c r="Z317" s="51"/>
      <c r="AA317" s="53"/>
      <c r="AB317" s="44"/>
      <c r="AC317" s="44"/>
      <c r="AD317" s="44"/>
      <c r="AE317" s="44"/>
      <c r="AF317" s="44"/>
      <c r="AG317" s="44"/>
      <c r="AH317" s="51"/>
      <c r="AI317" s="53"/>
      <c r="AJ317" s="44"/>
      <c r="AK317" s="44"/>
      <c r="AL317" s="44"/>
      <c r="AM317" s="44"/>
      <c r="AN317" s="44"/>
      <c r="AO317" s="44"/>
      <c r="AP317" s="51"/>
    </row>
    <row r="318" spans="1:42" ht="21" customHeight="1" thickTop="1" thickBot="1" x14ac:dyDescent="0.35">
      <c r="A318" s="63"/>
      <c r="B318" s="77" t="s">
        <v>22</v>
      </c>
      <c r="C318" s="59" t="s">
        <v>8</v>
      </c>
      <c r="D318" s="46" t="s">
        <v>9</v>
      </c>
      <c r="E318" s="46" t="s">
        <v>10</v>
      </c>
      <c r="F318" s="46" t="s">
        <v>11</v>
      </c>
      <c r="G318" s="46" t="s">
        <v>12</v>
      </c>
      <c r="H318" s="46" t="s">
        <v>13</v>
      </c>
      <c r="I318" s="46" t="s">
        <v>14</v>
      </c>
      <c r="J318" s="60" t="s">
        <v>15</v>
      </c>
      <c r="K318" s="59" t="s">
        <v>8</v>
      </c>
      <c r="L318" s="46" t="s">
        <v>9</v>
      </c>
      <c r="M318" s="46" t="s">
        <v>10</v>
      </c>
      <c r="N318" s="46" t="s">
        <v>11</v>
      </c>
      <c r="O318" s="46" t="s">
        <v>12</v>
      </c>
      <c r="P318" s="46" t="s">
        <v>13</v>
      </c>
      <c r="Q318" s="46" t="s">
        <v>14</v>
      </c>
      <c r="R318" s="60" t="s">
        <v>15</v>
      </c>
      <c r="S318" s="59" t="s">
        <v>8</v>
      </c>
      <c r="T318" s="46" t="s">
        <v>9</v>
      </c>
      <c r="U318" s="46" t="s">
        <v>10</v>
      </c>
      <c r="V318" s="46" t="s">
        <v>11</v>
      </c>
      <c r="W318" s="46" t="s">
        <v>12</v>
      </c>
      <c r="X318" s="46" t="s">
        <v>13</v>
      </c>
      <c r="Y318" s="46" t="s">
        <v>14</v>
      </c>
      <c r="Z318" s="60" t="s">
        <v>15</v>
      </c>
      <c r="AA318" s="59" t="s">
        <v>8</v>
      </c>
      <c r="AB318" s="46" t="s">
        <v>9</v>
      </c>
      <c r="AC318" s="46" t="s">
        <v>10</v>
      </c>
      <c r="AD318" s="46" t="s">
        <v>11</v>
      </c>
      <c r="AE318" s="46" t="s">
        <v>12</v>
      </c>
      <c r="AF318" s="46" t="s">
        <v>13</v>
      </c>
      <c r="AG318" s="46" t="s">
        <v>14</v>
      </c>
      <c r="AH318" s="60" t="s">
        <v>15</v>
      </c>
      <c r="AI318" s="59" t="s">
        <v>8</v>
      </c>
      <c r="AJ318" s="46" t="s">
        <v>9</v>
      </c>
      <c r="AK318" s="46" t="s">
        <v>10</v>
      </c>
      <c r="AL318" s="46" t="s">
        <v>11</v>
      </c>
      <c r="AM318" s="46" t="s">
        <v>12</v>
      </c>
      <c r="AN318" s="46" t="s">
        <v>13</v>
      </c>
      <c r="AO318" s="46" t="s">
        <v>14</v>
      </c>
      <c r="AP318" s="60" t="s">
        <v>15</v>
      </c>
    </row>
    <row r="319" spans="1:42" ht="21" customHeight="1" thickTop="1" thickBot="1" x14ac:dyDescent="0.35">
      <c r="A319" s="63"/>
      <c r="B319" s="78"/>
      <c r="C319" s="52">
        <v>1</v>
      </c>
      <c r="D319" s="44">
        <v>137.18</v>
      </c>
      <c r="E319" s="44"/>
      <c r="F319" s="44"/>
      <c r="G319" s="44"/>
      <c r="H319" s="44"/>
      <c r="I319" s="44"/>
      <c r="J319" s="51"/>
      <c r="K319" s="52">
        <v>1</v>
      </c>
      <c r="L319" s="44">
        <v>137.44</v>
      </c>
      <c r="M319" s="44"/>
      <c r="N319" s="44"/>
      <c r="O319" s="44"/>
      <c r="P319" s="44"/>
      <c r="Q319" s="44"/>
      <c r="R319" s="51"/>
      <c r="S319" s="52">
        <v>1</v>
      </c>
      <c r="T319" s="44">
        <v>140.91999999999999</v>
      </c>
      <c r="U319" s="44"/>
      <c r="V319" s="44"/>
      <c r="W319" s="44"/>
      <c r="X319" s="44"/>
      <c r="Y319" s="44"/>
      <c r="Z319" s="51"/>
      <c r="AA319" s="52">
        <v>1</v>
      </c>
      <c r="AB319" s="44">
        <v>141.02000000000001</v>
      </c>
      <c r="AC319" s="44"/>
      <c r="AD319" s="44"/>
      <c r="AE319" s="44"/>
      <c r="AF319" s="44"/>
      <c r="AG319" s="44"/>
      <c r="AH319" s="51"/>
      <c r="AI319" s="52">
        <v>1</v>
      </c>
      <c r="AJ319" s="44">
        <v>137.79</v>
      </c>
      <c r="AK319" s="44"/>
      <c r="AL319" s="44"/>
      <c r="AM319" s="44"/>
      <c r="AN319" s="44"/>
      <c r="AO319" s="44"/>
      <c r="AP319" s="51"/>
    </row>
    <row r="320" spans="1:42" ht="21" customHeight="1" thickTop="1" thickBot="1" x14ac:dyDescent="0.35">
      <c r="A320" s="63"/>
      <c r="B320" s="78"/>
      <c r="C320" s="53">
        <v>2</v>
      </c>
      <c r="D320" s="45">
        <v>137.80000000000001</v>
      </c>
      <c r="E320" s="45"/>
      <c r="F320" s="45"/>
      <c r="G320" s="45"/>
      <c r="H320" s="45"/>
      <c r="I320" s="45"/>
      <c r="J320" s="51"/>
      <c r="K320" s="53">
        <v>2</v>
      </c>
      <c r="L320" s="45">
        <v>136.6</v>
      </c>
      <c r="M320" s="45"/>
      <c r="N320" s="45"/>
      <c r="O320" s="45"/>
      <c r="P320" s="45"/>
      <c r="Q320" s="45"/>
      <c r="R320" s="51"/>
      <c r="S320" s="53">
        <v>2</v>
      </c>
      <c r="T320" s="45">
        <v>140.94</v>
      </c>
      <c r="U320" s="45"/>
      <c r="V320" s="45"/>
      <c r="W320" s="45"/>
      <c r="X320" s="45"/>
      <c r="Y320" s="45"/>
      <c r="Z320" s="51"/>
      <c r="AA320" s="53">
        <v>2</v>
      </c>
      <c r="AB320" s="45">
        <v>140.28</v>
      </c>
      <c r="AC320" s="45"/>
      <c r="AD320" s="45"/>
      <c r="AE320" s="45"/>
      <c r="AF320" s="45"/>
      <c r="AG320" s="45"/>
      <c r="AH320" s="51"/>
      <c r="AI320" s="53">
        <v>2</v>
      </c>
      <c r="AJ320" s="45">
        <v>139.31</v>
      </c>
      <c r="AK320" s="45"/>
      <c r="AL320" s="45"/>
      <c r="AM320" s="45"/>
      <c r="AN320" s="45"/>
      <c r="AO320" s="45"/>
      <c r="AP320" s="51"/>
    </row>
    <row r="321" spans="1:42" ht="21" customHeight="1" thickTop="1" thickBot="1" x14ac:dyDescent="0.35">
      <c r="A321" s="63"/>
      <c r="B321" s="78"/>
      <c r="C321" s="53">
        <v>3</v>
      </c>
      <c r="D321" s="45">
        <v>137.78</v>
      </c>
      <c r="E321" s="45"/>
      <c r="F321" s="45"/>
      <c r="G321" s="44"/>
      <c r="H321" s="44"/>
      <c r="I321" s="44"/>
      <c r="J321" s="51"/>
      <c r="K321" s="53">
        <v>3</v>
      </c>
      <c r="L321" s="45">
        <v>137.80000000000001</v>
      </c>
      <c r="M321" s="45"/>
      <c r="N321" s="45"/>
      <c r="O321" s="44"/>
      <c r="P321" s="44"/>
      <c r="Q321" s="44"/>
      <c r="R321" s="51"/>
      <c r="S321" s="53">
        <v>3</v>
      </c>
      <c r="T321" s="45">
        <v>140.4</v>
      </c>
      <c r="U321" s="45"/>
      <c r="V321" s="45"/>
      <c r="W321" s="44"/>
      <c r="X321" s="44"/>
      <c r="Y321" s="44"/>
      <c r="Z321" s="51"/>
      <c r="AA321" s="53">
        <v>3</v>
      </c>
      <c r="AB321" s="45">
        <v>139.46</v>
      </c>
      <c r="AC321" s="45"/>
      <c r="AD321" s="45"/>
      <c r="AE321" s="44"/>
      <c r="AF321" s="44"/>
      <c r="AG321" s="44"/>
      <c r="AH321" s="51"/>
      <c r="AI321" s="53">
        <v>3</v>
      </c>
      <c r="AJ321" s="45">
        <v>139.12</v>
      </c>
      <c r="AK321" s="45"/>
      <c r="AL321" s="45"/>
      <c r="AM321" s="44"/>
      <c r="AN321" s="44"/>
      <c r="AO321" s="44"/>
      <c r="AP321" s="51"/>
    </row>
    <row r="322" spans="1:42" ht="21" customHeight="1" thickTop="1" thickBot="1" x14ac:dyDescent="0.35">
      <c r="A322" s="63"/>
      <c r="B322" s="78"/>
      <c r="C322" s="53">
        <v>4</v>
      </c>
      <c r="D322" s="45">
        <v>136.72999999999999</v>
      </c>
      <c r="E322" s="45"/>
      <c r="F322" s="45"/>
      <c r="G322" s="45"/>
      <c r="H322" s="45"/>
      <c r="I322" s="45"/>
      <c r="J322" s="51"/>
      <c r="K322" s="53">
        <v>4</v>
      </c>
      <c r="L322" s="45">
        <v>138.44999999999999</v>
      </c>
      <c r="M322" s="45"/>
      <c r="N322" s="45"/>
      <c r="O322" s="45"/>
      <c r="P322" s="45"/>
      <c r="Q322" s="45"/>
      <c r="R322" s="51"/>
      <c r="S322" s="53">
        <v>4</v>
      </c>
      <c r="T322" s="45">
        <v>140.6</v>
      </c>
      <c r="U322" s="45"/>
      <c r="V322" s="45"/>
      <c r="W322" s="45"/>
      <c r="X322" s="45"/>
      <c r="Y322" s="45"/>
      <c r="Z322" s="51"/>
      <c r="AA322" s="53">
        <v>4</v>
      </c>
      <c r="AB322" s="45">
        <v>140.52000000000001</v>
      </c>
      <c r="AC322" s="45"/>
      <c r="AD322" s="45"/>
      <c r="AE322" s="45"/>
      <c r="AF322" s="45"/>
      <c r="AG322" s="45"/>
      <c r="AH322" s="51"/>
      <c r="AI322" s="53">
        <v>4</v>
      </c>
      <c r="AJ322" s="45">
        <v>138.13999999999999</v>
      </c>
      <c r="AK322" s="45"/>
      <c r="AL322" s="45"/>
      <c r="AM322" s="45"/>
      <c r="AN322" s="45"/>
      <c r="AO322" s="45"/>
      <c r="AP322" s="51"/>
    </row>
    <row r="323" spans="1:42" ht="21" customHeight="1" thickTop="1" thickBot="1" x14ac:dyDescent="0.35">
      <c r="A323" s="63"/>
      <c r="B323" s="78"/>
      <c r="C323" s="53">
        <v>5</v>
      </c>
      <c r="D323" s="45">
        <v>137.18</v>
      </c>
      <c r="E323" s="45"/>
      <c r="F323" s="45"/>
      <c r="G323" s="45"/>
      <c r="H323" s="45"/>
      <c r="I323" s="45"/>
      <c r="J323" s="51"/>
      <c r="K323" s="53">
        <v>5</v>
      </c>
      <c r="L323" s="45">
        <v>137.35</v>
      </c>
      <c r="M323" s="45"/>
      <c r="N323" s="45"/>
      <c r="O323" s="45"/>
      <c r="P323" s="45"/>
      <c r="Q323" s="45"/>
      <c r="R323" s="51"/>
      <c r="S323" s="53">
        <v>5</v>
      </c>
      <c r="T323" s="45">
        <v>140.68</v>
      </c>
      <c r="U323" s="45"/>
      <c r="V323" s="45"/>
      <c r="W323" s="45"/>
      <c r="X323" s="45"/>
      <c r="Y323" s="45"/>
      <c r="Z323" s="51"/>
      <c r="AA323" s="53">
        <v>5</v>
      </c>
      <c r="AB323" s="45">
        <v>141.62</v>
      </c>
      <c r="AC323" s="45"/>
      <c r="AD323" s="45"/>
      <c r="AE323" s="45"/>
      <c r="AF323" s="45"/>
      <c r="AG323" s="45"/>
      <c r="AH323" s="51"/>
      <c r="AI323" s="53">
        <v>5</v>
      </c>
      <c r="AJ323" s="45">
        <v>139.08000000000001</v>
      </c>
      <c r="AK323" s="45"/>
      <c r="AL323" s="45"/>
      <c r="AM323" s="45"/>
      <c r="AN323" s="45"/>
      <c r="AO323" s="45"/>
      <c r="AP323" s="51"/>
    </row>
    <row r="324" spans="1:42" ht="21" customHeight="1" thickTop="1" thickBot="1" x14ac:dyDescent="0.35">
      <c r="A324" s="63"/>
      <c r="B324" s="78"/>
      <c r="C324" s="53">
        <v>6</v>
      </c>
      <c r="D324" s="45">
        <v>135.97999999999999</v>
      </c>
      <c r="E324" s="45"/>
      <c r="F324" s="45"/>
      <c r="G324" s="45"/>
      <c r="H324" s="45"/>
      <c r="I324" s="45"/>
      <c r="J324" s="51"/>
      <c r="K324" s="53">
        <v>6</v>
      </c>
      <c r="L324" s="45">
        <v>137.56</v>
      </c>
      <c r="M324" s="45"/>
      <c r="N324" s="45"/>
      <c r="O324" s="45"/>
      <c r="P324" s="45"/>
      <c r="Q324" s="45"/>
      <c r="R324" s="51"/>
      <c r="S324" s="53">
        <v>6</v>
      </c>
      <c r="T324" s="45">
        <v>140.12</v>
      </c>
      <c r="U324" s="45"/>
      <c r="V324" s="45"/>
      <c r="W324" s="45"/>
      <c r="X324" s="45"/>
      <c r="Y324" s="45"/>
      <c r="Z324" s="51"/>
      <c r="AA324" s="53">
        <v>6</v>
      </c>
      <c r="AB324" s="45">
        <v>139.99</v>
      </c>
      <c r="AC324" s="45"/>
      <c r="AD324" s="45"/>
      <c r="AE324" s="45"/>
      <c r="AF324" s="45"/>
      <c r="AG324" s="45"/>
      <c r="AH324" s="51"/>
      <c r="AI324" s="53">
        <v>6</v>
      </c>
      <c r="AJ324" s="45">
        <v>138.63999999999999</v>
      </c>
      <c r="AK324" s="45"/>
      <c r="AL324" s="45"/>
      <c r="AM324" s="45"/>
      <c r="AN324" s="45"/>
      <c r="AO324" s="45"/>
      <c r="AP324" s="51"/>
    </row>
    <row r="325" spans="1:42" ht="21" customHeight="1" thickTop="1" thickBot="1" x14ac:dyDescent="0.35">
      <c r="A325" s="63"/>
      <c r="B325" s="78"/>
      <c r="C325" s="53">
        <v>7</v>
      </c>
      <c r="D325" s="45">
        <v>137.78</v>
      </c>
      <c r="E325" s="45"/>
      <c r="F325" s="45"/>
      <c r="G325" s="45"/>
      <c r="H325" s="45"/>
      <c r="I325" s="45"/>
      <c r="J325" s="51"/>
      <c r="K325" s="53">
        <v>7</v>
      </c>
      <c r="L325" s="45">
        <v>136.52000000000001</v>
      </c>
      <c r="M325" s="45"/>
      <c r="N325" s="45"/>
      <c r="O325" s="45"/>
      <c r="P325" s="45"/>
      <c r="Q325" s="45"/>
      <c r="R325" s="51"/>
      <c r="S325" s="53">
        <v>7</v>
      </c>
      <c r="T325" s="45">
        <v>140.44999999999999</v>
      </c>
      <c r="U325" s="45"/>
      <c r="V325" s="45"/>
      <c r="W325" s="45"/>
      <c r="X325" s="45"/>
      <c r="Y325" s="45"/>
      <c r="Z325" s="51"/>
      <c r="AA325" s="53">
        <v>7</v>
      </c>
      <c r="AB325" s="45">
        <v>140.01</v>
      </c>
      <c r="AC325" s="45"/>
      <c r="AD325" s="45"/>
      <c r="AE325" s="45"/>
      <c r="AF325" s="45"/>
      <c r="AG325" s="45"/>
      <c r="AH325" s="51"/>
      <c r="AI325" s="53">
        <v>7</v>
      </c>
      <c r="AJ325" s="45">
        <v>138.63</v>
      </c>
      <c r="AK325" s="45"/>
      <c r="AL325" s="45"/>
      <c r="AM325" s="45"/>
      <c r="AN325" s="45"/>
      <c r="AO325" s="45"/>
      <c r="AP325" s="51"/>
    </row>
    <row r="326" spans="1:42" ht="21" customHeight="1" thickTop="1" thickBot="1" x14ac:dyDescent="0.35">
      <c r="A326" s="63"/>
      <c r="B326" s="78"/>
      <c r="C326" s="53">
        <v>8</v>
      </c>
      <c r="D326" s="45">
        <v>136.88999999999999</v>
      </c>
      <c r="E326" s="45"/>
      <c r="F326" s="45"/>
      <c r="G326" s="45"/>
      <c r="H326" s="45"/>
      <c r="I326" s="45"/>
      <c r="J326" s="51"/>
      <c r="K326" s="53">
        <v>8</v>
      </c>
      <c r="L326" s="45">
        <v>137.78</v>
      </c>
      <c r="M326" s="45"/>
      <c r="N326" s="45"/>
      <c r="O326" s="45"/>
      <c r="P326" s="45"/>
      <c r="Q326" s="45"/>
      <c r="R326" s="51"/>
      <c r="S326" s="53">
        <v>8</v>
      </c>
      <c r="T326" s="45">
        <v>140.6</v>
      </c>
      <c r="U326" s="45"/>
      <c r="V326" s="45"/>
      <c r="W326" s="45"/>
      <c r="X326" s="45"/>
      <c r="Y326" s="45"/>
      <c r="Z326" s="51"/>
      <c r="AA326" s="53">
        <v>8</v>
      </c>
      <c r="AB326" s="45">
        <v>141.75</v>
      </c>
      <c r="AC326" s="45"/>
      <c r="AD326" s="45"/>
      <c r="AE326" s="45"/>
      <c r="AF326" s="45"/>
      <c r="AG326" s="45"/>
      <c r="AH326" s="51"/>
      <c r="AI326" s="53">
        <v>8</v>
      </c>
      <c r="AJ326" s="45">
        <v>139.31</v>
      </c>
      <c r="AK326" s="45"/>
      <c r="AL326" s="45"/>
      <c r="AM326" s="45"/>
      <c r="AN326" s="45"/>
      <c r="AO326" s="45"/>
      <c r="AP326" s="51"/>
    </row>
    <row r="327" spans="1:42" ht="21" customHeight="1" thickTop="1" thickBot="1" x14ac:dyDescent="0.35">
      <c r="A327" s="63"/>
      <c r="B327" s="78"/>
      <c r="C327" s="53">
        <v>9</v>
      </c>
      <c r="D327" s="45">
        <v>137.56</v>
      </c>
      <c r="E327" s="45"/>
      <c r="F327" s="45"/>
      <c r="G327" s="45"/>
      <c r="H327" s="45"/>
      <c r="I327" s="45"/>
      <c r="J327" s="51"/>
      <c r="K327" s="53">
        <v>9</v>
      </c>
      <c r="L327" s="45">
        <v>136.69</v>
      </c>
      <c r="M327" s="45"/>
      <c r="N327" s="45"/>
      <c r="O327" s="45"/>
      <c r="P327" s="45"/>
      <c r="Q327" s="45"/>
      <c r="R327" s="51"/>
      <c r="S327" s="53">
        <v>9</v>
      </c>
      <c r="T327" s="45">
        <v>140.66</v>
      </c>
      <c r="U327" s="45"/>
      <c r="V327" s="45"/>
      <c r="W327" s="45"/>
      <c r="X327" s="45"/>
      <c r="Y327" s="45"/>
      <c r="Z327" s="51"/>
      <c r="AA327" s="53">
        <v>9</v>
      </c>
      <c r="AB327" s="45">
        <v>141.78</v>
      </c>
      <c r="AC327" s="45"/>
      <c r="AD327" s="45"/>
      <c r="AE327" s="45"/>
      <c r="AF327" s="45"/>
      <c r="AG327" s="45"/>
      <c r="AH327" s="51"/>
      <c r="AI327" s="53">
        <v>9</v>
      </c>
      <c r="AJ327" s="45">
        <v>138.97999999999999</v>
      </c>
      <c r="AK327" s="45"/>
      <c r="AL327" s="45"/>
      <c r="AM327" s="45"/>
      <c r="AN327" s="45"/>
      <c r="AO327" s="45"/>
      <c r="AP327" s="51"/>
    </row>
    <row r="328" spans="1:42" ht="21" customHeight="1" thickTop="1" thickBot="1" x14ac:dyDescent="0.35">
      <c r="A328" s="63"/>
      <c r="B328" s="78"/>
      <c r="C328" s="53">
        <v>10</v>
      </c>
      <c r="D328" s="45">
        <v>136.66999999999999</v>
      </c>
      <c r="E328" s="45"/>
      <c r="F328" s="45"/>
      <c r="G328" s="45"/>
      <c r="H328" s="45"/>
      <c r="I328" s="45"/>
      <c r="J328" s="51"/>
      <c r="K328" s="53">
        <v>10</v>
      </c>
      <c r="L328" s="45">
        <v>137.79</v>
      </c>
      <c r="M328" s="45"/>
      <c r="N328" s="45"/>
      <c r="O328" s="45"/>
      <c r="P328" s="45"/>
      <c r="Q328" s="45"/>
      <c r="R328" s="51"/>
      <c r="S328" s="53">
        <v>10</v>
      </c>
      <c r="T328" s="45">
        <v>141.93</v>
      </c>
      <c r="U328" s="45"/>
      <c r="V328" s="45"/>
      <c r="W328" s="45"/>
      <c r="X328" s="45"/>
      <c r="Y328" s="45"/>
      <c r="Z328" s="51"/>
      <c r="AA328" s="53">
        <v>10</v>
      </c>
      <c r="AB328" s="45">
        <v>138.59</v>
      </c>
      <c r="AC328" s="45"/>
      <c r="AD328" s="45"/>
      <c r="AE328" s="45"/>
      <c r="AF328" s="45"/>
      <c r="AG328" s="45"/>
      <c r="AH328" s="51"/>
      <c r="AI328" s="53">
        <v>10</v>
      </c>
      <c r="AJ328" s="45">
        <v>139.32</v>
      </c>
      <c r="AK328" s="45"/>
      <c r="AL328" s="45"/>
      <c r="AM328" s="45"/>
      <c r="AN328" s="45"/>
      <c r="AO328" s="45"/>
      <c r="AP328" s="51"/>
    </row>
    <row r="329" spans="1:42" ht="21" customHeight="1" thickTop="1" thickBot="1" x14ac:dyDescent="0.35">
      <c r="A329" s="63"/>
      <c r="B329" s="78"/>
      <c r="C329" s="53"/>
      <c r="D329" s="45"/>
      <c r="E329" s="45"/>
      <c r="F329" s="45"/>
      <c r="G329" s="45"/>
      <c r="H329" s="45"/>
      <c r="I329" s="45"/>
      <c r="J329" s="51"/>
      <c r="K329" s="53"/>
      <c r="L329" s="45"/>
      <c r="M329" s="45"/>
      <c r="N329" s="45"/>
      <c r="O329" s="45"/>
      <c r="P329" s="45"/>
      <c r="Q329" s="45"/>
      <c r="R329" s="51"/>
      <c r="S329" s="53"/>
      <c r="T329" s="45"/>
      <c r="U329" s="45"/>
      <c r="V329" s="45"/>
      <c r="W329" s="45"/>
      <c r="X329" s="45"/>
      <c r="Y329" s="45"/>
      <c r="Z329" s="51"/>
      <c r="AA329" s="53"/>
      <c r="AB329" s="45"/>
      <c r="AC329" s="45"/>
      <c r="AD329" s="45"/>
      <c r="AE329" s="45"/>
      <c r="AF329" s="45"/>
      <c r="AG329" s="45"/>
      <c r="AH329" s="51"/>
      <c r="AI329" s="53"/>
      <c r="AJ329" s="45"/>
      <c r="AK329" s="45"/>
      <c r="AL329" s="45"/>
      <c r="AM329" s="45"/>
      <c r="AN329" s="45"/>
      <c r="AO329" s="45"/>
      <c r="AP329" s="51"/>
    </row>
    <row r="330" spans="1:42" ht="41" customHeight="1" thickTop="1" thickBot="1" x14ac:dyDescent="0.35">
      <c r="A330" s="63"/>
      <c r="B330" s="78"/>
      <c r="C330" s="54" t="s">
        <v>16</v>
      </c>
      <c r="D330" s="49">
        <f>MIN(D319:D328)</f>
        <v>135.97999999999999</v>
      </c>
      <c r="E330" s="45"/>
      <c r="F330" s="55" t="s">
        <v>17</v>
      </c>
      <c r="G330" s="49" t="s">
        <v>18</v>
      </c>
      <c r="H330" s="49" t="s">
        <v>19</v>
      </c>
      <c r="I330" s="45"/>
      <c r="J330" s="51"/>
      <c r="K330" s="54" t="s">
        <v>16</v>
      </c>
      <c r="L330" s="49">
        <f>MIN(L319:L328)</f>
        <v>136.52000000000001</v>
      </c>
      <c r="M330" s="45"/>
      <c r="N330" s="55" t="s">
        <v>17</v>
      </c>
      <c r="O330" s="49" t="s">
        <v>18</v>
      </c>
      <c r="P330" s="49" t="s">
        <v>19</v>
      </c>
      <c r="Q330" s="45"/>
      <c r="R330" s="51"/>
      <c r="S330" s="54" t="s">
        <v>16</v>
      </c>
      <c r="T330" s="49">
        <f>MIN(T319:T328)</f>
        <v>140.12</v>
      </c>
      <c r="U330" s="45"/>
      <c r="V330" s="55" t="s">
        <v>17</v>
      </c>
      <c r="W330" s="49" t="s">
        <v>18</v>
      </c>
      <c r="X330" s="49" t="s">
        <v>19</v>
      </c>
      <c r="Y330" s="45"/>
      <c r="Z330" s="51"/>
      <c r="AA330" s="54" t="s">
        <v>16</v>
      </c>
      <c r="AB330" s="49">
        <f>MIN(AB319:AB328)</f>
        <v>138.59</v>
      </c>
      <c r="AC330" s="45"/>
      <c r="AD330" s="55" t="s">
        <v>17</v>
      </c>
      <c r="AE330" s="49" t="s">
        <v>18</v>
      </c>
      <c r="AF330" s="49" t="s">
        <v>19</v>
      </c>
      <c r="AG330" s="45"/>
      <c r="AH330" s="51"/>
      <c r="AI330" s="54" t="s">
        <v>16</v>
      </c>
      <c r="AJ330" s="49">
        <f>MIN(AJ319:AJ328)</f>
        <v>137.79</v>
      </c>
      <c r="AK330" s="45"/>
      <c r="AL330" s="55" t="s">
        <v>17</v>
      </c>
      <c r="AM330" s="49" t="s">
        <v>18</v>
      </c>
      <c r="AN330" s="49" t="s">
        <v>19</v>
      </c>
      <c r="AO330" s="45"/>
      <c r="AP330" s="51"/>
    </row>
    <row r="331" spans="1:42" ht="21" customHeight="1" thickTop="1" thickBot="1" x14ac:dyDescent="0.35">
      <c r="A331" s="63"/>
      <c r="B331" s="78"/>
      <c r="C331" s="54" t="s">
        <v>20</v>
      </c>
      <c r="D331" s="48">
        <f>AVERAGE(D319:D328)</f>
        <v>137.15500000000003</v>
      </c>
      <c r="E331" s="47"/>
      <c r="F331" s="48">
        <f>_xlfn.STDEV.S(D319:D328) / AVERAGE(D319:D328) * 100%</f>
        <v>4.3673493683931038E-3</v>
      </c>
      <c r="G331" s="48">
        <f t="array" ref="G331">MIN((D319:D328 - MIN(D319:D328,L319:L328,T319:T328,AB319:AB328,AJ319:AJ328))/MIN(D319:D328,L319:L328,T319:T328,AB319:AB328,AJ319:AJ328)*100%)</f>
        <v>0</v>
      </c>
      <c r="H331" s="48">
        <f t="array" ref="H331">AVERAGE((D319:D328 - MIN(D319:D328,L319:L328,T319:T328,AB319:AB328,AJ319:AJ328))/MIN(D319:D328,L319:L328,T319:T328,AB319:AB328,AJ319:AJ328)*100%)</f>
        <v>8.640976614208035E-3</v>
      </c>
      <c r="I331" s="45"/>
      <c r="J331" s="51"/>
      <c r="K331" s="54" t="s">
        <v>20</v>
      </c>
      <c r="L331" s="48">
        <f>AVERAGE(L319:L328)</f>
        <v>137.398</v>
      </c>
      <c r="M331" s="47"/>
      <c r="N331" s="48">
        <f>_xlfn.STDEV.S(L319:L328) / AVERAGE(L319:L328) * 100%</f>
        <v>4.5433492632448846E-3</v>
      </c>
      <c r="O331" s="48">
        <f t="array" ref="O331">MIN((L319:L328 - MIN(D319:D328,L319:L328,T319:T328,AB319:AB328,AJ319:AJ328))/MIN(D319:D328,L319:L328,T319:T328,AB319:AB328,AJ319:AJ328)*100%)</f>
        <v>3.9711722312106229E-3</v>
      </c>
      <c r="P331" s="48">
        <f t="array" ref="P331">AVERAGE((L319:L328 - MIN(D319:D328,L319:L328,T319:T328,AB319:AB328,AJ319:AJ328))/MIN(D319:D328,L319:L328,T319:T328,AB319:AB328,AJ319:AJ328)*100%)</f>
        <v>1.0428004118252752E-2</v>
      </c>
      <c r="Q331" s="44"/>
      <c r="R331" s="51"/>
      <c r="S331" s="54" t="s">
        <v>20</v>
      </c>
      <c r="T331" s="48">
        <f>AVERAGE(T319:T328)</f>
        <v>140.72999999999999</v>
      </c>
      <c r="U331" s="47"/>
      <c r="V331" s="48">
        <f>_xlfn.STDEV.S(T319:T328) / AVERAGE(T319:T328) * 100%</f>
        <v>3.4493869420682776E-3</v>
      </c>
      <c r="W331" s="48">
        <f t="array" ref="W331">MIN((T319:T328 - MIN(D319:D328,L319:L328,T319:T328,AB319:AB328,AJ319:AJ328))/MIN(D319:D328,L319:L328,T319:T328,AB319:AB328,AJ319:AJ328)*100%)</f>
        <v>3.044565377261373E-2</v>
      </c>
      <c r="X331" s="48">
        <f t="array" ref="X331">AVERAGE((T319:T328 - MIN(D319:D328,L319:L328,T319:T328,AB319:AB328,AJ319:AJ328))/MIN(D319:D328,L319:L328,T319:T328,AB319:AB328,AJ319:AJ328)*100%)</f>
        <v>3.4931607589351439E-2</v>
      </c>
      <c r="Y331" s="44"/>
      <c r="Z331" s="51"/>
      <c r="AA331" s="54" t="s">
        <v>20</v>
      </c>
      <c r="AB331" s="48">
        <f>AVERAGE(AB319:AB328)</f>
        <v>140.50200000000001</v>
      </c>
      <c r="AC331" s="47"/>
      <c r="AD331" s="48">
        <f>_xlfn.STDEV.S(AB319:AB328) / AVERAGE(AB319:AB328) * 100%</f>
        <v>7.503966637657896E-3</v>
      </c>
      <c r="AE331" s="48">
        <f t="array" ref="AE331">MIN((AB319:AB328 - MIN(D319:D328,L319:L328,T319:T328,AB319:AB328,AJ319:AJ328))/MIN(D319:D328,L319:L328,T319:T328,AB319:AB328,AJ319:AJ328)*100%)</f>
        <v>1.9193999117517384E-2</v>
      </c>
      <c r="AF331" s="48">
        <f t="array" ref="AF331">AVERAGE((AB319:AB328 - MIN(D319:D328,L319:L328,T319:T328,AB319:AB328,AJ319:AJ328))/MIN(D319:D328,L319:L328,T319:T328,AB319:AB328,AJ319:AJ328)*100%)</f>
        <v>3.3254890425062619E-2</v>
      </c>
      <c r="AG331" s="44"/>
      <c r="AH331" s="51"/>
      <c r="AI331" s="54" t="s">
        <v>20</v>
      </c>
      <c r="AJ331" s="48">
        <f>AVERAGE(AJ319:AJ328)</f>
        <v>138.83199999999999</v>
      </c>
      <c r="AK331" s="47"/>
      <c r="AL331" s="48">
        <f>_xlfn.STDEV.S(AJ319:AJ328) / AVERAGE(AJ319:AJ328) * 100%</f>
        <v>3.799141887917632E-3</v>
      </c>
      <c r="AM331" s="48">
        <f t="array" ref="AM331">MIN((AJ319:AJ328 - MIN(D319:D328,L319:L328,T319:T328,AB319:AB328,AJ319:AJ328))/MIN(D319:D328,L319:L328,T319:T328,AB319:AB328,AJ319:AJ328)*100%)</f>
        <v>1.331078099720549E-2</v>
      </c>
      <c r="AN331" s="48">
        <f t="array" ref="AN331">AVERAGE((AJ319:AJ328 - MIN(D319:D328,L319:L328,T319:T328,AB319:AB328,AJ319:AJ328))/MIN(D319:D328,L319:L328,T319:T328,AB319:AB328,AJ319:AJ328)*100%)</f>
        <v>2.0973672598911659E-2</v>
      </c>
      <c r="AO331" s="44"/>
      <c r="AP331" s="51"/>
    </row>
    <row r="332" spans="1:42" ht="21" customHeight="1" thickTop="1" thickBot="1" x14ac:dyDescent="0.35">
      <c r="A332" s="63"/>
      <c r="B332" s="79"/>
      <c r="C332" s="53"/>
      <c r="D332" s="44"/>
      <c r="E332" s="44"/>
      <c r="F332" s="44"/>
      <c r="G332" s="44"/>
      <c r="H332" s="44"/>
      <c r="I332" s="44"/>
      <c r="J332" s="51"/>
      <c r="K332" s="53"/>
      <c r="L332" s="44"/>
      <c r="M332" s="44"/>
      <c r="N332" s="44"/>
      <c r="O332" s="44"/>
      <c r="P332" s="44"/>
      <c r="Q332" s="44"/>
      <c r="R332" s="51"/>
      <c r="S332" s="53"/>
      <c r="T332" s="44"/>
      <c r="U332" s="44"/>
      <c r="V332" s="44"/>
      <c r="W332" s="44"/>
      <c r="X332" s="44"/>
      <c r="Y332" s="44"/>
      <c r="Z332" s="51"/>
      <c r="AA332" s="53"/>
      <c r="AB332" s="44"/>
      <c r="AC332" s="44"/>
      <c r="AD332" s="44"/>
      <c r="AE332" s="44"/>
      <c r="AF332" s="44"/>
      <c r="AG332" s="44"/>
      <c r="AH332" s="51"/>
      <c r="AI332" s="53"/>
      <c r="AJ332" s="44"/>
      <c r="AK332" s="44"/>
      <c r="AL332" s="44"/>
      <c r="AM332" s="44"/>
      <c r="AN332" s="44"/>
      <c r="AO332" s="44"/>
      <c r="AP332" s="51"/>
    </row>
    <row r="333" spans="1:42" ht="21" customHeight="1" thickTop="1" thickBot="1" x14ac:dyDescent="0.35">
      <c r="A333" s="63"/>
      <c r="B333" s="77" t="s">
        <v>48</v>
      </c>
      <c r="C333" s="59" t="s">
        <v>8</v>
      </c>
      <c r="D333" s="46" t="s">
        <v>9</v>
      </c>
      <c r="E333" s="46" t="s">
        <v>10</v>
      </c>
      <c r="F333" s="46" t="s">
        <v>11</v>
      </c>
      <c r="G333" s="46" t="s">
        <v>12</v>
      </c>
      <c r="H333" s="46" t="s">
        <v>13</v>
      </c>
      <c r="I333" s="46" t="s">
        <v>14</v>
      </c>
      <c r="J333" s="60" t="s">
        <v>15</v>
      </c>
      <c r="K333" s="59" t="s">
        <v>8</v>
      </c>
      <c r="L333" s="46" t="s">
        <v>9</v>
      </c>
      <c r="M333" s="46" t="s">
        <v>10</v>
      </c>
      <c r="N333" s="46" t="s">
        <v>11</v>
      </c>
      <c r="O333" s="46" t="s">
        <v>12</v>
      </c>
      <c r="P333" s="46" t="s">
        <v>13</v>
      </c>
      <c r="Q333" s="46" t="s">
        <v>14</v>
      </c>
      <c r="R333" s="60" t="s">
        <v>15</v>
      </c>
      <c r="S333" s="59" t="s">
        <v>8</v>
      </c>
      <c r="T333" s="46" t="s">
        <v>9</v>
      </c>
      <c r="U333" s="46" t="s">
        <v>10</v>
      </c>
      <c r="V333" s="46" t="s">
        <v>11</v>
      </c>
      <c r="W333" s="46" t="s">
        <v>12</v>
      </c>
      <c r="X333" s="46" t="s">
        <v>13</v>
      </c>
      <c r="Y333" s="46" t="s">
        <v>14</v>
      </c>
      <c r="Z333" s="60" t="s">
        <v>15</v>
      </c>
      <c r="AA333" s="59" t="s">
        <v>8</v>
      </c>
      <c r="AB333" s="46" t="s">
        <v>9</v>
      </c>
      <c r="AC333" s="46" t="s">
        <v>10</v>
      </c>
      <c r="AD333" s="46" t="s">
        <v>11</v>
      </c>
      <c r="AE333" s="46" t="s">
        <v>12</v>
      </c>
      <c r="AF333" s="46" t="s">
        <v>13</v>
      </c>
      <c r="AG333" s="46" t="s">
        <v>14</v>
      </c>
      <c r="AH333" s="60" t="s">
        <v>15</v>
      </c>
      <c r="AI333" s="59" t="s">
        <v>8</v>
      </c>
      <c r="AJ333" s="46" t="s">
        <v>9</v>
      </c>
      <c r="AK333" s="46" t="s">
        <v>10</v>
      </c>
      <c r="AL333" s="46" t="s">
        <v>11</v>
      </c>
      <c r="AM333" s="46" t="s">
        <v>12</v>
      </c>
      <c r="AN333" s="46" t="s">
        <v>13</v>
      </c>
      <c r="AO333" s="46" t="s">
        <v>14</v>
      </c>
      <c r="AP333" s="60" t="s">
        <v>15</v>
      </c>
    </row>
    <row r="334" spans="1:42" ht="21" customHeight="1" thickTop="1" thickBot="1" x14ac:dyDescent="0.35">
      <c r="A334" s="63"/>
      <c r="B334" s="78"/>
      <c r="C334" s="52">
        <v>1</v>
      </c>
      <c r="D334" s="44">
        <v>137.29</v>
      </c>
      <c r="E334" s="44"/>
      <c r="F334" s="44"/>
      <c r="G334" s="44"/>
      <c r="H334" s="44"/>
      <c r="I334" s="44"/>
      <c r="J334" s="51"/>
      <c r="K334" s="52">
        <v>1</v>
      </c>
      <c r="L334" s="44">
        <v>139.15</v>
      </c>
      <c r="M334" s="44"/>
      <c r="N334" s="44"/>
      <c r="O334" s="44"/>
      <c r="P334" s="44"/>
      <c r="Q334" s="44"/>
      <c r="R334" s="51"/>
      <c r="S334" s="52">
        <v>1</v>
      </c>
      <c r="T334" s="44">
        <v>141.16999999999999</v>
      </c>
      <c r="U334" s="44"/>
      <c r="V334" s="44"/>
      <c r="W334" s="44"/>
      <c r="X334" s="44"/>
      <c r="Y334" s="44"/>
      <c r="Z334" s="51"/>
      <c r="AA334" s="52">
        <v>1</v>
      </c>
      <c r="AB334" s="44">
        <v>138.72999999999999</v>
      </c>
      <c r="AC334" s="44"/>
      <c r="AD334" s="44"/>
      <c r="AE334" s="44"/>
      <c r="AF334" s="44"/>
      <c r="AG334" s="44"/>
      <c r="AH334" s="51"/>
      <c r="AI334" s="52">
        <v>1</v>
      </c>
      <c r="AJ334" s="44">
        <v>138.12</v>
      </c>
      <c r="AK334" s="44"/>
      <c r="AL334" s="44"/>
      <c r="AM334" s="44"/>
      <c r="AN334" s="44"/>
      <c r="AO334" s="44"/>
      <c r="AP334" s="51"/>
    </row>
    <row r="335" spans="1:42" ht="21" customHeight="1" thickTop="1" thickBot="1" x14ac:dyDescent="0.35">
      <c r="A335" s="63"/>
      <c r="B335" s="78"/>
      <c r="C335" s="53">
        <v>2</v>
      </c>
      <c r="D335" s="45">
        <v>135.78</v>
      </c>
      <c r="E335" s="45"/>
      <c r="F335" s="45"/>
      <c r="G335" s="45"/>
      <c r="H335" s="45"/>
      <c r="I335" s="45"/>
      <c r="J335" s="51"/>
      <c r="K335" s="53">
        <v>2</v>
      </c>
      <c r="L335" s="45">
        <v>136.34</v>
      </c>
      <c r="M335" s="45"/>
      <c r="N335" s="45"/>
      <c r="O335" s="45"/>
      <c r="P335" s="45"/>
      <c r="Q335" s="45"/>
      <c r="R335" s="51"/>
      <c r="S335" s="53">
        <v>2</v>
      </c>
      <c r="T335" s="45">
        <v>141.33000000000001</v>
      </c>
      <c r="U335" s="45"/>
      <c r="V335" s="45"/>
      <c r="W335" s="45"/>
      <c r="X335" s="45"/>
      <c r="Y335" s="45"/>
      <c r="Z335" s="51"/>
      <c r="AA335" s="53">
        <v>2</v>
      </c>
      <c r="AB335" s="45">
        <v>138.03</v>
      </c>
      <c r="AC335" s="45"/>
      <c r="AD335" s="45"/>
      <c r="AE335" s="45"/>
      <c r="AF335" s="45"/>
      <c r="AG335" s="45"/>
      <c r="AH335" s="51"/>
      <c r="AI335" s="53">
        <v>2</v>
      </c>
      <c r="AJ335" s="45">
        <v>137.78</v>
      </c>
      <c r="AK335" s="45"/>
      <c r="AL335" s="45"/>
      <c r="AM335" s="45"/>
      <c r="AN335" s="45"/>
      <c r="AO335" s="45"/>
      <c r="AP335" s="51"/>
    </row>
    <row r="336" spans="1:42" ht="21" customHeight="1" thickTop="1" thickBot="1" x14ac:dyDescent="0.35">
      <c r="A336" s="63"/>
      <c r="B336" s="78"/>
      <c r="C336" s="53">
        <v>3</v>
      </c>
      <c r="D336" s="45">
        <v>136.56</v>
      </c>
      <c r="E336" s="45"/>
      <c r="F336" s="45"/>
      <c r="G336" s="44"/>
      <c r="H336" s="44"/>
      <c r="I336" s="44"/>
      <c r="J336" s="51"/>
      <c r="K336" s="53">
        <v>3</v>
      </c>
      <c r="L336" s="45">
        <v>138.56</v>
      </c>
      <c r="M336" s="45"/>
      <c r="N336" s="45"/>
      <c r="O336" s="44"/>
      <c r="P336" s="44"/>
      <c r="Q336" s="44"/>
      <c r="R336" s="51"/>
      <c r="S336" s="53">
        <v>3</v>
      </c>
      <c r="T336" s="45">
        <v>141.16999999999999</v>
      </c>
      <c r="U336" s="45"/>
      <c r="V336" s="45"/>
      <c r="W336" s="44"/>
      <c r="X336" s="44"/>
      <c r="Y336" s="44"/>
      <c r="Z336" s="51"/>
      <c r="AA336" s="53">
        <v>3</v>
      </c>
      <c r="AB336" s="45">
        <v>137.16999999999999</v>
      </c>
      <c r="AC336" s="45"/>
      <c r="AD336" s="45"/>
      <c r="AE336" s="44"/>
      <c r="AF336" s="44"/>
      <c r="AG336" s="44"/>
      <c r="AH336" s="51"/>
      <c r="AI336" s="53">
        <v>3</v>
      </c>
      <c r="AJ336" s="45">
        <v>140.16999999999999</v>
      </c>
      <c r="AK336" s="45"/>
      <c r="AL336" s="45"/>
      <c r="AM336" s="44"/>
      <c r="AN336" s="44"/>
      <c r="AO336" s="44"/>
      <c r="AP336" s="51"/>
    </row>
    <row r="337" spans="1:42" ht="21" customHeight="1" thickTop="1" thickBot="1" x14ac:dyDescent="0.35">
      <c r="A337" s="63"/>
      <c r="B337" s="78"/>
      <c r="C337" s="53">
        <v>4</v>
      </c>
      <c r="D337" s="45">
        <v>136.4</v>
      </c>
      <c r="E337" s="45"/>
      <c r="F337" s="45"/>
      <c r="G337" s="45"/>
      <c r="H337" s="45"/>
      <c r="I337" s="45"/>
      <c r="J337" s="51"/>
      <c r="K337" s="53">
        <v>4</v>
      </c>
      <c r="L337" s="45">
        <v>137.27000000000001</v>
      </c>
      <c r="M337" s="45"/>
      <c r="N337" s="45"/>
      <c r="O337" s="45"/>
      <c r="P337" s="45"/>
      <c r="Q337" s="45"/>
      <c r="R337" s="51"/>
      <c r="S337" s="53">
        <v>4</v>
      </c>
      <c r="T337" s="45">
        <v>141.36000000000001</v>
      </c>
      <c r="U337" s="45"/>
      <c r="V337" s="45"/>
      <c r="W337" s="45"/>
      <c r="X337" s="45"/>
      <c r="Y337" s="45"/>
      <c r="Z337" s="51"/>
      <c r="AA337" s="53">
        <v>4</v>
      </c>
      <c r="AB337" s="45">
        <v>140.72</v>
      </c>
      <c r="AC337" s="45"/>
      <c r="AD337" s="45"/>
      <c r="AE337" s="45"/>
      <c r="AF337" s="45"/>
      <c r="AG337" s="45"/>
      <c r="AH337" s="51"/>
      <c r="AI337" s="53">
        <v>4</v>
      </c>
      <c r="AJ337" s="45">
        <v>137.46</v>
      </c>
      <c r="AK337" s="45"/>
      <c r="AL337" s="45"/>
      <c r="AM337" s="45"/>
      <c r="AN337" s="45"/>
      <c r="AO337" s="45"/>
      <c r="AP337" s="51"/>
    </row>
    <row r="338" spans="1:42" ht="21" customHeight="1" thickTop="1" thickBot="1" x14ac:dyDescent="0.35">
      <c r="A338" s="63"/>
      <c r="B338" s="78"/>
      <c r="C338" s="53">
        <v>5</v>
      </c>
      <c r="D338" s="45">
        <v>136.19999999999999</v>
      </c>
      <c r="E338" s="45"/>
      <c r="F338" s="45"/>
      <c r="G338" s="45"/>
      <c r="H338" s="45"/>
      <c r="I338" s="45"/>
      <c r="J338" s="51"/>
      <c r="K338" s="53">
        <v>5</v>
      </c>
      <c r="L338" s="45">
        <v>137.16</v>
      </c>
      <c r="M338" s="45"/>
      <c r="N338" s="45"/>
      <c r="O338" s="45"/>
      <c r="P338" s="45"/>
      <c r="Q338" s="45"/>
      <c r="R338" s="51"/>
      <c r="S338" s="53">
        <v>5</v>
      </c>
      <c r="T338" s="45">
        <v>140</v>
      </c>
      <c r="U338" s="45"/>
      <c r="V338" s="45"/>
      <c r="W338" s="45"/>
      <c r="X338" s="45"/>
      <c r="Y338" s="45"/>
      <c r="Z338" s="51"/>
      <c r="AA338" s="53">
        <v>5</v>
      </c>
      <c r="AB338" s="45">
        <v>136.94</v>
      </c>
      <c r="AC338" s="45"/>
      <c r="AD338" s="45"/>
      <c r="AE338" s="45"/>
      <c r="AF338" s="45"/>
      <c r="AG338" s="45"/>
      <c r="AH338" s="51"/>
      <c r="AI338" s="53">
        <v>5</v>
      </c>
      <c r="AJ338" s="45">
        <v>138.94</v>
      </c>
      <c r="AK338" s="45"/>
      <c r="AL338" s="45"/>
      <c r="AM338" s="45"/>
      <c r="AN338" s="45"/>
      <c r="AO338" s="45"/>
      <c r="AP338" s="51"/>
    </row>
    <row r="339" spans="1:42" ht="21" customHeight="1" thickTop="1" thickBot="1" x14ac:dyDescent="0.35">
      <c r="A339" s="63"/>
      <c r="B339" s="78"/>
      <c r="C339" s="53">
        <v>6</v>
      </c>
      <c r="D339" s="45">
        <v>136.19999999999999</v>
      </c>
      <c r="E339" s="45"/>
      <c r="F339" s="45"/>
      <c r="G339" s="45"/>
      <c r="H339" s="45"/>
      <c r="I339" s="45"/>
      <c r="J339" s="51"/>
      <c r="K339" s="53">
        <v>6</v>
      </c>
      <c r="L339" s="45">
        <v>136.96</v>
      </c>
      <c r="M339" s="45"/>
      <c r="N339" s="45"/>
      <c r="O339" s="45"/>
      <c r="P339" s="45"/>
      <c r="Q339" s="45"/>
      <c r="R339" s="51"/>
      <c r="S339" s="53">
        <v>6</v>
      </c>
      <c r="T339" s="45">
        <v>141.03</v>
      </c>
      <c r="U339" s="45"/>
      <c r="V339" s="45"/>
      <c r="W339" s="45"/>
      <c r="X339" s="45"/>
      <c r="Y339" s="45"/>
      <c r="Z339" s="51"/>
      <c r="AA339" s="53">
        <v>6</v>
      </c>
      <c r="AB339" s="45">
        <v>137.97999999999999</v>
      </c>
      <c r="AC339" s="45"/>
      <c r="AD339" s="45"/>
      <c r="AE339" s="45"/>
      <c r="AF339" s="45"/>
      <c r="AG339" s="45"/>
      <c r="AH339" s="51"/>
      <c r="AI339" s="53">
        <v>6</v>
      </c>
      <c r="AJ339" s="45">
        <v>138.97999999999999</v>
      </c>
      <c r="AK339" s="45"/>
      <c r="AL339" s="45"/>
      <c r="AM339" s="45"/>
      <c r="AN339" s="45"/>
      <c r="AO339" s="45"/>
      <c r="AP339" s="51"/>
    </row>
    <row r="340" spans="1:42" ht="21" customHeight="1" thickTop="1" thickBot="1" x14ac:dyDescent="0.35">
      <c r="A340" s="63"/>
      <c r="B340" s="78"/>
      <c r="C340" s="53">
        <v>7</v>
      </c>
      <c r="D340" s="45">
        <v>136.34</v>
      </c>
      <c r="E340" s="45"/>
      <c r="F340" s="45"/>
      <c r="G340" s="45"/>
      <c r="H340" s="45"/>
      <c r="I340" s="45"/>
      <c r="J340" s="51"/>
      <c r="K340" s="53">
        <v>7</v>
      </c>
      <c r="L340" s="45">
        <v>137.68</v>
      </c>
      <c r="M340" s="45"/>
      <c r="N340" s="45"/>
      <c r="O340" s="45"/>
      <c r="P340" s="45"/>
      <c r="Q340" s="45"/>
      <c r="R340" s="51"/>
      <c r="S340" s="53">
        <v>7</v>
      </c>
      <c r="T340" s="45">
        <v>140.27000000000001</v>
      </c>
      <c r="U340" s="45"/>
      <c r="V340" s="45"/>
      <c r="W340" s="45"/>
      <c r="X340" s="45"/>
      <c r="Y340" s="45"/>
      <c r="Z340" s="51"/>
      <c r="AA340" s="53">
        <v>7</v>
      </c>
      <c r="AB340" s="45">
        <v>137.22</v>
      </c>
      <c r="AC340" s="45"/>
      <c r="AD340" s="45"/>
      <c r="AE340" s="45"/>
      <c r="AF340" s="45"/>
      <c r="AG340" s="45"/>
      <c r="AH340" s="51"/>
      <c r="AI340" s="53">
        <v>7</v>
      </c>
      <c r="AJ340" s="45">
        <v>139.52000000000001</v>
      </c>
      <c r="AK340" s="45"/>
      <c r="AL340" s="45"/>
      <c r="AM340" s="45"/>
      <c r="AN340" s="45"/>
      <c r="AO340" s="45"/>
      <c r="AP340" s="51"/>
    </row>
    <row r="341" spans="1:42" ht="21" customHeight="1" thickTop="1" thickBot="1" x14ac:dyDescent="0.35">
      <c r="A341" s="63"/>
      <c r="B341" s="78"/>
      <c r="C341" s="53">
        <v>8</v>
      </c>
      <c r="D341" s="45">
        <v>136.36000000000001</v>
      </c>
      <c r="E341" s="45"/>
      <c r="F341" s="45"/>
      <c r="G341" s="45"/>
      <c r="H341" s="45"/>
      <c r="I341" s="45"/>
      <c r="J341" s="51"/>
      <c r="K341" s="53">
        <v>8</v>
      </c>
      <c r="L341" s="45">
        <v>137.16</v>
      </c>
      <c r="M341" s="45"/>
      <c r="N341" s="45"/>
      <c r="O341" s="45"/>
      <c r="P341" s="45"/>
      <c r="Q341" s="45"/>
      <c r="R341" s="51"/>
      <c r="S341" s="53">
        <v>8</v>
      </c>
      <c r="T341" s="45">
        <v>139.49</v>
      </c>
      <c r="U341" s="45"/>
      <c r="V341" s="45"/>
      <c r="W341" s="45"/>
      <c r="X341" s="45"/>
      <c r="Y341" s="45"/>
      <c r="Z341" s="51"/>
      <c r="AA341" s="53">
        <v>8</v>
      </c>
      <c r="AB341" s="45">
        <v>139.76</v>
      </c>
      <c r="AC341" s="45"/>
      <c r="AD341" s="45"/>
      <c r="AE341" s="45"/>
      <c r="AF341" s="45"/>
      <c r="AG341" s="45"/>
      <c r="AH341" s="51"/>
      <c r="AI341" s="53">
        <v>8</v>
      </c>
      <c r="AJ341" s="45">
        <v>138.97</v>
      </c>
      <c r="AK341" s="45"/>
      <c r="AL341" s="45"/>
      <c r="AM341" s="45"/>
      <c r="AN341" s="45"/>
      <c r="AO341" s="45"/>
      <c r="AP341" s="51"/>
    </row>
    <row r="342" spans="1:42" ht="21" customHeight="1" thickTop="1" thickBot="1" x14ac:dyDescent="0.35">
      <c r="A342" s="63"/>
      <c r="B342" s="78"/>
      <c r="C342" s="53">
        <v>9</v>
      </c>
      <c r="D342" s="45">
        <v>136.6</v>
      </c>
      <c r="E342" s="45"/>
      <c r="F342" s="45"/>
      <c r="G342" s="45"/>
      <c r="H342" s="45"/>
      <c r="I342" s="45"/>
      <c r="J342" s="51"/>
      <c r="K342" s="53">
        <v>9</v>
      </c>
      <c r="L342" s="45">
        <v>136.84</v>
      </c>
      <c r="M342" s="45"/>
      <c r="N342" s="45"/>
      <c r="O342" s="45"/>
      <c r="P342" s="45"/>
      <c r="Q342" s="45"/>
      <c r="R342" s="51"/>
      <c r="S342" s="53">
        <v>9</v>
      </c>
      <c r="T342" s="45">
        <v>140.24</v>
      </c>
      <c r="U342" s="45"/>
      <c r="V342" s="45"/>
      <c r="W342" s="45"/>
      <c r="X342" s="45"/>
      <c r="Y342" s="45"/>
      <c r="Z342" s="51"/>
      <c r="AA342" s="53">
        <v>9</v>
      </c>
      <c r="AB342" s="45">
        <v>137.27000000000001</v>
      </c>
      <c r="AC342" s="45"/>
      <c r="AD342" s="45"/>
      <c r="AE342" s="45"/>
      <c r="AF342" s="45"/>
      <c r="AG342" s="45"/>
      <c r="AH342" s="51"/>
      <c r="AI342" s="53">
        <v>9</v>
      </c>
      <c r="AJ342" s="45">
        <v>137.46</v>
      </c>
      <c r="AK342" s="45"/>
      <c r="AL342" s="45"/>
      <c r="AM342" s="45"/>
      <c r="AN342" s="45"/>
      <c r="AO342" s="45"/>
      <c r="AP342" s="51"/>
    </row>
    <row r="343" spans="1:42" ht="21" customHeight="1" thickTop="1" thickBot="1" x14ac:dyDescent="0.35">
      <c r="A343" s="63"/>
      <c r="B343" s="78"/>
      <c r="C343" s="53">
        <v>10</v>
      </c>
      <c r="D343" s="45">
        <v>136.55000000000001</v>
      </c>
      <c r="E343" s="45"/>
      <c r="F343" s="45"/>
      <c r="G343" s="45"/>
      <c r="H343" s="45"/>
      <c r="I343" s="45"/>
      <c r="J343" s="51"/>
      <c r="K343" s="53">
        <v>10</v>
      </c>
      <c r="L343" s="45">
        <v>137.41999999999999</v>
      </c>
      <c r="M343" s="45"/>
      <c r="N343" s="45"/>
      <c r="O343" s="45"/>
      <c r="P343" s="45"/>
      <c r="Q343" s="45"/>
      <c r="R343" s="51"/>
      <c r="S343" s="53">
        <v>10</v>
      </c>
      <c r="T343" s="45">
        <v>141</v>
      </c>
      <c r="U343" s="45"/>
      <c r="V343" s="45"/>
      <c r="W343" s="45"/>
      <c r="X343" s="45"/>
      <c r="Y343" s="45"/>
      <c r="Z343" s="51"/>
      <c r="AA343" s="53">
        <v>10</v>
      </c>
      <c r="AB343" s="45">
        <v>138.94999999999999</v>
      </c>
      <c r="AC343" s="45"/>
      <c r="AD343" s="45"/>
      <c r="AE343" s="45"/>
      <c r="AF343" s="45"/>
      <c r="AG343" s="45"/>
      <c r="AH343" s="51"/>
      <c r="AI343" s="53">
        <v>10</v>
      </c>
      <c r="AJ343" s="45">
        <v>137.9</v>
      </c>
      <c r="AK343" s="45"/>
      <c r="AL343" s="45"/>
      <c r="AM343" s="45"/>
      <c r="AN343" s="45"/>
      <c r="AO343" s="45"/>
      <c r="AP343" s="51"/>
    </row>
    <row r="344" spans="1:42" ht="21" customHeight="1" thickTop="1" thickBot="1" x14ac:dyDescent="0.35">
      <c r="A344" s="63"/>
      <c r="B344" s="78"/>
      <c r="C344" s="53"/>
      <c r="D344" s="45"/>
      <c r="E344" s="45"/>
      <c r="F344" s="45"/>
      <c r="G344" s="45"/>
      <c r="H344" s="45"/>
      <c r="I344" s="45"/>
      <c r="J344" s="51"/>
      <c r="K344" s="53"/>
      <c r="L344" s="45"/>
      <c r="M344" s="45"/>
      <c r="N344" s="45"/>
      <c r="O344" s="45"/>
      <c r="P344" s="45"/>
      <c r="Q344" s="45"/>
      <c r="R344" s="51"/>
      <c r="S344" s="53"/>
      <c r="T344" s="45"/>
      <c r="U344" s="45"/>
      <c r="V344" s="45"/>
      <c r="W344" s="45"/>
      <c r="X344" s="45"/>
      <c r="Y344" s="45"/>
      <c r="Z344" s="51"/>
      <c r="AA344" s="53"/>
      <c r="AB344" s="45"/>
      <c r="AC344" s="45"/>
      <c r="AD344" s="45"/>
      <c r="AE344" s="45"/>
      <c r="AF344" s="45"/>
      <c r="AG344" s="45"/>
      <c r="AH344" s="51"/>
      <c r="AI344" s="53"/>
      <c r="AJ344" s="45"/>
      <c r="AK344" s="45"/>
      <c r="AL344" s="45"/>
      <c r="AM344" s="45"/>
      <c r="AN344" s="45"/>
      <c r="AO344" s="45"/>
      <c r="AP344" s="51"/>
    </row>
    <row r="345" spans="1:42" ht="41" customHeight="1" thickTop="1" thickBot="1" x14ac:dyDescent="0.35">
      <c r="A345" s="63"/>
      <c r="B345" s="78"/>
      <c r="C345" s="54" t="s">
        <v>16</v>
      </c>
      <c r="D345" s="49">
        <f>MIN(D334:D343)</f>
        <v>135.78</v>
      </c>
      <c r="E345" s="45"/>
      <c r="F345" s="55" t="s">
        <v>17</v>
      </c>
      <c r="G345" s="49" t="s">
        <v>18</v>
      </c>
      <c r="H345" s="49" t="s">
        <v>19</v>
      </c>
      <c r="I345" s="45"/>
      <c r="J345" s="51"/>
      <c r="K345" s="54" t="s">
        <v>16</v>
      </c>
      <c r="L345" s="49">
        <f>MIN(L334:L343)</f>
        <v>136.34</v>
      </c>
      <c r="M345" s="45"/>
      <c r="N345" s="55" t="s">
        <v>17</v>
      </c>
      <c r="O345" s="49" t="s">
        <v>18</v>
      </c>
      <c r="P345" s="49" t="s">
        <v>19</v>
      </c>
      <c r="Q345" s="45"/>
      <c r="R345" s="51"/>
      <c r="S345" s="54" t="s">
        <v>16</v>
      </c>
      <c r="T345" s="49">
        <f>MIN(T334:T343)</f>
        <v>139.49</v>
      </c>
      <c r="U345" s="45"/>
      <c r="V345" s="55" t="s">
        <v>17</v>
      </c>
      <c r="W345" s="49" t="s">
        <v>18</v>
      </c>
      <c r="X345" s="49" t="s">
        <v>19</v>
      </c>
      <c r="Y345" s="45"/>
      <c r="Z345" s="51"/>
      <c r="AA345" s="54" t="s">
        <v>16</v>
      </c>
      <c r="AB345" s="49">
        <f>MIN(AB334:AB343)</f>
        <v>136.94</v>
      </c>
      <c r="AC345" s="45"/>
      <c r="AD345" s="55" t="s">
        <v>17</v>
      </c>
      <c r="AE345" s="49" t="s">
        <v>18</v>
      </c>
      <c r="AF345" s="49" t="s">
        <v>19</v>
      </c>
      <c r="AG345" s="45"/>
      <c r="AH345" s="51"/>
      <c r="AI345" s="54" t="s">
        <v>16</v>
      </c>
      <c r="AJ345" s="49">
        <f>MIN(AJ334:AJ343)</f>
        <v>137.46</v>
      </c>
      <c r="AK345" s="45"/>
      <c r="AL345" s="55" t="s">
        <v>17</v>
      </c>
      <c r="AM345" s="49" t="s">
        <v>18</v>
      </c>
      <c r="AN345" s="49" t="s">
        <v>19</v>
      </c>
      <c r="AO345" s="45"/>
      <c r="AP345" s="51"/>
    </row>
    <row r="346" spans="1:42" ht="21" customHeight="1" thickTop="1" thickBot="1" x14ac:dyDescent="0.35">
      <c r="A346" s="63"/>
      <c r="B346" s="78"/>
      <c r="C346" s="54" t="s">
        <v>20</v>
      </c>
      <c r="D346" s="48">
        <f>AVERAGE(D334:D343)</f>
        <v>136.428</v>
      </c>
      <c r="E346" s="47"/>
      <c r="F346" s="48">
        <f>_xlfn.STDEV.S(D334:D343) / AVERAGE(D334:D343) * 100%</f>
        <v>2.8303817691088485E-3</v>
      </c>
      <c r="G346" s="48">
        <f t="array" ref="G346">MIN((D334:D343 - MIN(D334:D343,L334:L343,T334:T343,AB334:AB343,AJ334:AJ343))/MIN(D334:D343,L334:L343,T334:T343,AB334:AB343,AJ334:AJ343)*100%)</f>
        <v>0</v>
      </c>
      <c r="H346" s="48">
        <f t="array" ref="H346">AVERAGE((D334:D343 - MIN(D334:D343,L334:L343,T334:T343,AB334:AB343,AJ334:AJ343))/MIN(D334:D343,L334:L343,T334:T343,AB334:AB343,AJ334:AJ343)*100%)</f>
        <v>4.7724259832081228E-3</v>
      </c>
      <c r="I346" s="45"/>
      <c r="J346" s="51"/>
      <c r="K346" s="54" t="s">
        <v>20</v>
      </c>
      <c r="L346" s="48">
        <f>AVERAGE(L334:L343)</f>
        <v>137.45400000000001</v>
      </c>
      <c r="M346" s="47"/>
      <c r="N346" s="48">
        <f>_xlfn.STDEV.S(L334:L343) / AVERAGE(L334:L343) * 100%</f>
        <v>6.0483776091831533E-3</v>
      </c>
      <c r="O346" s="48">
        <f t="array" ref="O346">MIN((L334:L343 - MIN(D334:D343,L334:L343,T334:T343,AB334:AB343,AJ334:AJ343))/MIN(D334:D343,L334:L343,T334:T343,AB334:AB343,AJ334:AJ343)*100%)</f>
        <v>4.1243187509206235E-3</v>
      </c>
      <c r="P346" s="48">
        <f t="array" ref="P346">AVERAGE((L334:L343 - MIN(D334:D343,L334:L343,T334:T343,AB334:AB343,AJ334:AJ343))/MIN(D334:D343,L334:L343,T334:T343,AB334:AB343,AJ334:AJ343)*100%)</f>
        <v>1.2328767123287676E-2</v>
      </c>
      <c r="Q346" s="44"/>
      <c r="R346" s="51"/>
      <c r="S346" s="54" t="s">
        <v>20</v>
      </c>
      <c r="T346" s="48">
        <f>AVERAGE(T334:T343)</f>
        <v>140.70599999999999</v>
      </c>
      <c r="U346" s="47"/>
      <c r="V346" s="48">
        <f>_xlfn.STDEV.S(T334:T343) / AVERAGE(T334:T343) * 100%</f>
        <v>4.6322636302979486E-3</v>
      </c>
      <c r="W346" s="48">
        <f t="array" ref="W346">MIN((T334:T343 - MIN(D334:D343,L334:L343,T334:T343,AB334:AB343,AJ334:AJ343))/MIN(D334:D343,L334:L343,T334:T343,AB334:AB343,AJ334:AJ343)*100%)</f>
        <v>2.7323611724849078E-2</v>
      </c>
      <c r="X346" s="48">
        <f t="array" ref="X346">AVERAGE((T334:T343 - MIN(D334:D343,L334:L343,T334:T343,AB334:AB343,AJ334:AJ343))/MIN(D334:D343,L334:L343,T334:T343,AB334:AB343,AJ334:AJ343)*100%)</f>
        <v>3.6279275298276639E-2</v>
      </c>
      <c r="Y346" s="44"/>
      <c r="Z346" s="51"/>
      <c r="AA346" s="54" t="s">
        <v>20</v>
      </c>
      <c r="AB346" s="48">
        <f>AVERAGE(AB334:AB343)</f>
        <v>138.27699999999999</v>
      </c>
      <c r="AC346" s="47"/>
      <c r="AD346" s="48">
        <f>_xlfn.STDEV.S(AB334:AB343) / AVERAGE(AB334:AB343) * 100%</f>
        <v>9.0580350202792877E-3</v>
      </c>
      <c r="AE346" s="48">
        <f t="array" ref="AE346">MIN((AB334:AB343 - MIN(D334:D343,L334:L343,T334:T343,AB334:AB343,AJ334:AJ343))/MIN(D334:D343,L334:L343,T334:T343,AB334:AB343,AJ334:AJ343)*100%)</f>
        <v>8.543231698335518E-3</v>
      </c>
      <c r="AF346" s="48">
        <f t="array" ref="AF346">AVERAGE((AB334:AB343 - MIN(D334:D343,L334:L343,T334:T343,AB334:AB343,AJ334:AJ343))/MIN(D334:D343,L334:L343,T334:T343,AB334:AB343,AJ334:AJ343)*100%)</f>
        <v>1.8390042716158451E-2</v>
      </c>
      <c r="AG346" s="44"/>
      <c r="AH346" s="51"/>
      <c r="AI346" s="54" t="s">
        <v>20</v>
      </c>
      <c r="AJ346" s="48">
        <f>AVERAGE(AJ334:AJ343)</f>
        <v>138.53000000000003</v>
      </c>
      <c r="AK346" s="47"/>
      <c r="AL346" s="48">
        <f>_xlfn.STDEV.S(AJ334:AJ343) / AVERAGE(AJ334:AJ343) * 100%</f>
        <v>6.6557911863597786E-3</v>
      </c>
      <c r="AM346" s="48">
        <f t="array" ref="AM346">MIN((AJ334:AJ343 - MIN(D334:D343,L334:L343,T334:T343,AB334:AB343,AJ334:AJ343))/MIN(D334:D343,L334:L343,T334:T343,AB334:AB343,AJ334:AJ343)*100%)</f>
        <v>1.2372956252761871E-2</v>
      </c>
      <c r="AN346" s="48">
        <f t="array" ref="AN346">AVERAGE((AJ334:AJ343 - MIN(D334:D343,L334:L343,T334:T343,AB334:AB343,AJ334:AJ343))/MIN(D334:D343,L334:L343,T334:T343,AB334:AB343,AJ334:AJ343)*100%)</f>
        <v>2.0253351008985121E-2</v>
      </c>
      <c r="AO346" s="44"/>
      <c r="AP346" s="51"/>
    </row>
    <row r="347" spans="1:42" ht="21" customHeight="1" thickTop="1" thickBot="1" x14ac:dyDescent="0.35">
      <c r="A347" s="63"/>
      <c r="B347" s="79"/>
      <c r="C347" s="53"/>
      <c r="D347" s="44"/>
      <c r="E347" s="44"/>
      <c r="F347" s="44"/>
      <c r="G347" s="44"/>
      <c r="H347" s="44"/>
      <c r="I347" s="44"/>
      <c r="J347" s="51"/>
      <c r="K347" s="53"/>
      <c r="L347" s="44"/>
      <c r="M347" s="44"/>
      <c r="N347" s="44"/>
      <c r="O347" s="44"/>
      <c r="P347" s="44"/>
      <c r="Q347" s="44"/>
      <c r="R347" s="51"/>
      <c r="S347" s="53"/>
      <c r="T347" s="44"/>
      <c r="U347" s="44"/>
      <c r="V347" s="44"/>
      <c r="W347" s="44"/>
      <c r="X347" s="44"/>
      <c r="Y347" s="44"/>
      <c r="Z347" s="51"/>
      <c r="AA347" s="53"/>
      <c r="AB347" s="44"/>
      <c r="AC347" s="44"/>
      <c r="AD347" s="44"/>
      <c r="AE347" s="44"/>
      <c r="AF347" s="44"/>
      <c r="AG347" s="44"/>
      <c r="AH347" s="51"/>
      <c r="AI347" s="53"/>
      <c r="AJ347" s="44"/>
      <c r="AK347" s="44"/>
      <c r="AL347" s="44"/>
      <c r="AM347" s="44"/>
      <c r="AN347" s="44"/>
      <c r="AO347" s="44"/>
      <c r="AP347" s="51"/>
    </row>
    <row r="348" spans="1:42" ht="21" customHeight="1" thickTop="1" thickBot="1" x14ac:dyDescent="0.35">
      <c r="A348" s="63"/>
      <c r="B348" s="77" t="s">
        <v>49</v>
      </c>
      <c r="C348" s="59" t="s">
        <v>8</v>
      </c>
      <c r="D348" s="46" t="s">
        <v>9</v>
      </c>
      <c r="E348" s="46" t="s">
        <v>10</v>
      </c>
      <c r="F348" s="46" t="s">
        <v>11</v>
      </c>
      <c r="G348" s="46" t="s">
        <v>12</v>
      </c>
      <c r="H348" s="46" t="s">
        <v>13</v>
      </c>
      <c r="I348" s="46" t="s">
        <v>14</v>
      </c>
      <c r="J348" s="60" t="s">
        <v>15</v>
      </c>
      <c r="K348" s="59" t="s">
        <v>8</v>
      </c>
      <c r="L348" s="46" t="s">
        <v>9</v>
      </c>
      <c r="M348" s="46" t="s">
        <v>10</v>
      </c>
      <c r="N348" s="46" t="s">
        <v>11</v>
      </c>
      <c r="O348" s="46" t="s">
        <v>12</v>
      </c>
      <c r="P348" s="46" t="s">
        <v>13</v>
      </c>
      <c r="Q348" s="46" t="s">
        <v>14</v>
      </c>
      <c r="R348" s="60" t="s">
        <v>15</v>
      </c>
      <c r="S348" s="59" t="s">
        <v>8</v>
      </c>
      <c r="T348" s="46" t="s">
        <v>9</v>
      </c>
      <c r="U348" s="46" t="s">
        <v>10</v>
      </c>
      <c r="V348" s="46" t="s">
        <v>11</v>
      </c>
      <c r="W348" s="46" t="s">
        <v>12</v>
      </c>
      <c r="X348" s="46" t="s">
        <v>13</v>
      </c>
      <c r="Y348" s="46" t="s">
        <v>14</v>
      </c>
      <c r="Z348" s="60" t="s">
        <v>15</v>
      </c>
      <c r="AA348" s="59" t="s">
        <v>8</v>
      </c>
      <c r="AB348" s="46" t="s">
        <v>9</v>
      </c>
      <c r="AC348" s="46" t="s">
        <v>10</v>
      </c>
      <c r="AD348" s="46" t="s">
        <v>11</v>
      </c>
      <c r="AE348" s="46" t="s">
        <v>12</v>
      </c>
      <c r="AF348" s="46" t="s">
        <v>13</v>
      </c>
      <c r="AG348" s="46" t="s">
        <v>14</v>
      </c>
      <c r="AH348" s="60" t="s">
        <v>15</v>
      </c>
      <c r="AI348" s="59" t="s">
        <v>8</v>
      </c>
      <c r="AJ348" s="46" t="s">
        <v>9</v>
      </c>
      <c r="AK348" s="46" t="s">
        <v>10</v>
      </c>
      <c r="AL348" s="46" t="s">
        <v>11</v>
      </c>
      <c r="AM348" s="46" t="s">
        <v>12</v>
      </c>
      <c r="AN348" s="46" t="s">
        <v>13</v>
      </c>
      <c r="AO348" s="46" t="s">
        <v>14</v>
      </c>
      <c r="AP348" s="60" t="s">
        <v>15</v>
      </c>
    </row>
    <row r="349" spans="1:42" ht="21" customHeight="1" thickTop="1" thickBot="1" x14ac:dyDescent="0.35">
      <c r="A349" s="63"/>
      <c r="B349" s="78"/>
      <c r="C349" s="52">
        <v>1</v>
      </c>
      <c r="D349" s="44">
        <v>154.21</v>
      </c>
      <c r="E349" s="44"/>
      <c r="F349" s="44"/>
      <c r="G349" s="44"/>
      <c r="H349" s="44"/>
      <c r="I349" s="44"/>
      <c r="J349" s="51"/>
      <c r="K349" s="52">
        <v>1</v>
      </c>
      <c r="L349" s="44">
        <v>155.35</v>
      </c>
      <c r="M349" s="44"/>
      <c r="N349" s="44"/>
      <c r="O349" s="44"/>
      <c r="P349" s="44"/>
      <c r="Q349" s="44"/>
      <c r="R349" s="51"/>
      <c r="S349" s="52">
        <v>1</v>
      </c>
      <c r="T349" s="44">
        <v>157.85</v>
      </c>
      <c r="U349" s="44"/>
      <c r="V349" s="44"/>
      <c r="W349" s="44"/>
      <c r="X349" s="44"/>
      <c r="Y349" s="44"/>
      <c r="Z349" s="51"/>
      <c r="AA349" s="52">
        <v>1</v>
      </c>
      <c r="AB349" s="44">
        <v>157.57</v>
      </c>
      <c r="AC349" s="44"/>
      <c r="AD349" s="44"/>
      <c r="AE349" s="44"/>
      <c r="AF349" s="44"/>
      <c r="AG349" s="44"/>
      <c r="AH349" s="51"/>
      <c r="AI349" s="52">
        <v>1</v>
      </c>
      <c r="AJ349" s="44">
        <v>157.94999999999999</v>
      </c>
      <c r="AK349" s="44"/>
      <c r="AL349" s="44"/>
      <c r="AM349" s="44"/>
      <c r="AN349" s="44"/>
      <c r="AO349" s="44"/>
      <c r="AP349" s="51"/>
    </row>
    <row r="350" spans="1:42" ht="21" customHeight="1" thickTop="1" thickBot="1" x14ac:dyDescent="0.35">
      <c r="A350" s="63"/>
      <c r="B350" s="78"/>
      <c r="C350" s="53">
        <v>2</v>
      </c>
      <c r="D350" s="45">
        <v>154.63999999999999</v>
      </c>
      <c r="E350" s="45"/>
      <c r="F350" s="45"/>
      <c r="G350" s="45"/>
      <c r="H350" s="45"/>
      <c r="I350" s="45"/>
      <c r="J350" s="51"/>
      <c r="K350" s="53">
        <v>2</v>
      </c>
      <c r="L350" s="45">
        <v>155.37</v>
      </c>
      <c r="M350" s="45"/>
      <c r="N350" s="45"/>
      <c r="O350" s="45"/>
      <c r="P350" s="45"/>
      <c r="Q350" s="45"/>
      <c r="R350" s="51"/>
      <c r="S350" s="53">
        <v>2</v>
      </c>
      <c r="T350" s="45">
        <v>157.86000000000001</v>
      </c>
      <c r="U350" s="45"/>
      <c r="V350" s="45"/>
      <c r="W350" s="45"/>
      <c r="X350" s="45"/>
      <c r="Y350" s="45"/>
      <c r="Z350" s="51"/>
      <c r="AA350" s="53">
        <v>2</v>
      </c>
      <c r="AB350" s="45">
        <v>156.88999999999999</v>
      </c>
      <c r="AC350" s="45"/>
      <c r="AD350" s="45"/>
      <c r="AE350" s="45"/>
      <c r="AF350" s="45"/>
      <c r="AG350" s="45"/>
      <c r="AH350" s="51"/>
      <c r="AI350" s="53">
        <v>2</v>
      </c>
      <c r="AJ350" s="45">
        <v>158.13999999999999</v>
      </c>
      <c r="AK350" s="45"/>
      <c r="AL350" s="45"/>
      <c r="AM350" s="45"/>
      <c r="AN350" s="45"/>
      <c r="AO350" s="45"/>
      <c r="AP350" s="51"/>
    </row>
    <row r="351" spans="1:42" ht="21" customHeight="1" thickTop="1" thickBot="1" x14ac:dyDescent="0.35">
      <c r="A351" s="63"/>
      <c r="B351" s="78"/>
      <c r="C351" s="53">
        <v>3</v>
      </c>
      <c r="D351" s="45">
        <v>154.6</v>
      </c>
      <c r="E351" s="45"/>
      <c r="F351" s="45"/>
      <c r="G351" s="44"/>
      <c r="H351" s="44"/>
      <c r="I351" s="44"/>
      <c r="J351" s="51"/>
      <c r="K351" s="53">
        <v>3</v>
      </c>
      <c r="L351" s="45">
        <v>157.57</v>
      </c>
      <c r="M351" s="45"/>
      <c r="N351" s="45"/>
      <c r="O351" s="44"/>
      <c r="P351" s="44"/>
      <c r="Q351" s="44"/>
      <c r="R351" s="51"/>
      <c r="S351" s="53">
        <v>3</v>
      </c>
      <c r="T351" s="45">
        <v>157.81</v>
      </c>
      <c r="U351" s="45"/>
      <c r="V351" s="45"/>
      <c r="W351" s="44"/>
      <c r="X351" s="44"/>
      <c r="Y351" s="44"/>
      <c r="Z351" s="51"/>
      <c r="AA351" s="53">
        <v>3</v>
      </c>
      <c r="AB351" s="45">
        <v>158.13999999999999</v>
      </c>
      <c r="AC351" s="45"/>
      <c r="AD351" s="45"/>
      <c r="AE351" s="44"/>
      <c r="AF351" s="44"/>
      <c r="AG351" s="44"/>
      <c r="AH351" s="51"/>
      <c r="AI351" s="53">
        <v>3</v>
      </c>
      <c r="AJ351" s="45">
        <v>157.74</v>
      </c>
      <c r="AK351" s="45"/>
      <c r="AL351" s="45"/>
      <c r="AM351" s="44"/>
      <c r="AN351" s="44"/>
      <c r="AO351" s="44"/>
      <c r="AP351" s="51"/>
    </row>
    <row r="352" spans="1:42" ht="21" customHeight="1" thickTop="1" thickBot="1" x14ac:dyDescent="0.35">
      <c r="A352" s="63"/>
      <c r="B352" s="78"/>
      <c r="C352" s="53">
        <v>4</v>
      </c>
      <c r="D352" s="45">
        <v>154.34</v>
      </c>
      <c r="E352" s="45"/>
      <c r="F352" s="45"/>
      <c r="G352" s="45"/>
      <c r="H352" s="45"/>
      <c r="I352" s="45"/>
      <c r="J352" s="51"/>
      <c r="K352" s="53">
        <v>4</v>
      </c>
      <c r="L352" s="45">
        <v>157.57</v>
      </c>
      <c r="M352" s="45"/>
      <c r="N352" s="45"/>
      <c r="O352" s="45"/>
      <c r="P352" s="45"/>
      <c r="Q352" s="45"/>
      <c r="R352" s="51"/>
      <c r="S352" s="53">
        <v>4</v>
      </c>
      <c r="T352" s="45">
        <v>159.74</v>
      </c>
      <c r="U352" s="45"/>
      <c r="V352" s="45"/>
      <c r="W352" s="45"/>
      <c r="X352" s="45"/>
      <c r="Y352" s="45"/>
      <c r="Z352" s="51"/>
      <c r="AA352" s="53">
        <v>4</v>
      </c>
      <c r="AB352" s="45">
        <v>158.66999999999999</v>
      </c>
      <c r="AC352" s="45"/>
      <c r="AD352" s="45"/>
      <c r="AE352" s="45"/>
      <c r="AF352" s="45"/>
      <c r="AG352" s="45"/>
      <c r="AH352" s="51"/>
      <c r="AI352" s="53">
        <v>4</v>
      </c>
      <c r="AJ352" s="45">
        <v>157.22999999999999</v>
      </c>
      <c r="AK352" s="45"/>
      <c r="AL352" s="45"/>
      <c r="AM352" s="45"/>
      <c r="AN352" s="45"/>
      <c r="AO352" s="45"/>
      <c r="AP352" s="51"/>
    </row>
    <row r="353" spans="1:42" ht="21" customHeight="1" thickTop="1" thickBot="1" x14ac:dyDescent="0.35">
      <c r="A353" s="63"/>
      <c r="B353" s="78"/>
      <c r="C353" s="53">
        <v>5</v>
      </c>
      <c r="D353" s="45">
        <v>155.27000000000001</v>
      </c>
      <c r="E353" s="45"/>
      <c r="F353" s="45"/>
      <c r="G353" s="45"/>
      <c r="H353" s="45"/>
      <c r="I353" s="45"/>
      <c r="J353" s="51"/>
      <c r="K353" s="53">
        <v>5</v>
      </c>
      <c r="L353" s="45">
        <v>155.59</v>
      </c>
      <c r="M353" s="45"/>
      <c r="N353" s="45"/>
      <c r="O353" s="45"/>
      <c r="P353" s="45"/>
      <c r="Q353" s="45"/>
      <c r="R353" s="51"/>
      <c r="S353" s="53">
        <v>5</v>
      </c>
      <c r="T353" s="45">
        <v>158.88999999999999</v>
      </c>
      <c r="U353" s="45"/>
      <c r="V353" s="45"/>
      <c r="W353" s="45"/>
      <c r="X353" s="45"/>
      <c r="Y353" s="45"/>
      <c r="Z353" s="51"/>
      <c r="AA353" s="53">
        <v>5</v>
      </c>
      <c r="AB353" s="45">
        <v>157.91</v>
      </c>
      <c r="AC353" s="45"/>
      <c r="AD353" s="45"/>
      <c r="AE353" s="45"/>
      <c r="AF353" s="45"/>
      <c r="AG353" s="45"/>
      <c r="AH353" s="51"/>
      <c r="AI353" s="53">
        <v>5</v>
      </c>
      <c r="AJ353" s="45">
        <v>157.44</v>
      </c>
      <c r="AK353" s="45"/>
      <c r="AL353" s="45"/>
      <c r="AM353" s="45"/>
      <c r="AN353" s="45"/>
      <c r="AO353" s="45"/>
      <c r="AP353" s="51"/>
    </row>
    <row r="354" spans="1:42" ht="21" customHeight="1" thickTop="1" thickBot="1" x14ac:dyDescent="0.35">
      <c r="A354" s="63"/>
      <c r="B354" s="78"/>
      <c r="C354" s="53">
        <v>6</v>
      </c>
      <c r="D354" s="45">
        <v>154.62</v>
      </c>
      <c r="E354" s="45"/>
      <c r="F354" s="45"/>
      <c r="G354" s="45"/>
      <c r="H354" s="45"/>
      <c r="I354" s="45"/>
      <c r="J354" s="51"/>
      <c r="K354" s="53">
        <v>6</v>
      </c>
      <c r="L354" s="45">
        <v>155.69999999999999</v>
      </c>
      <c r="M354" s="45"/>
      <c r="N354" s="45"/>
      <c r="O354" s="45"/>
      <c r="P354" s="45"/>
      <c r="Q354" s="45"/>
      <c r="R354" s="51"/>
      <c r="S354" s="53">
        <v>6</v>
      </c>
      <c r="T354" s="45">
        <v>158.82</v>
      </c>
      <c r="U354" s="45"/>
      <c r="V354" s="45"/>
      <c r="W354" s="45"/>
      <c r="X354" s="45"/>
      <c r="Y354" s="45"/>
      <c r="Z354" s="51"/>
      <c r="AA354" s="53">
        <v>6</v>
      </c>
      <c r="AB354" s="45">
        <v>156.75</v>
      </c>
      <c r="AC354" s="45"/>
      <c r="AD354" s="45"/>
      <c r="AE354" s="45"/>
      <c r="AF354" s="45"/>
      <c r="AG354" s="45"/>
      <c r="AH354" s="51"/>
      <c r="AI354" s="53">
        <v>6</v>
      </c>
      <c r="AJ354" s="45">
        <v>157.02000000000001</v>
      </c>
      <c r="AK354" s="45"/>
      <c r="AL354" s="45"/>
      <c r="AM354" s="45"/>
      <c r="AN354" s="45"/>
      <c r="AO354" s="45"/>
      <c r="AP354" s="51"/>
    </row>
    <row r="355" spans="1:42" ht="21" customHeight="1" thickTop="1" thickBot="1" x14ac:dyDescent="0.35">
      <c r="A355" s="63"/>
      <c r="B355" s="78"/>
      <c r="C355" s="53">
        <v>7</v>
      </c>
      <c r="D355" s="45">
        <v>154.36000000000001</v>
      </c>
      <c r="E355" s="45"/>
      <c r="F355" s="45"/>
      <c r="G355" s="45"/>
      <c r="H355" s="45"/>
      <c r="I355" s="45"/>
      <c r="J355" s="51"/>
      <c r="K355" s="53">
        <v>7</v>
      </c>
      <c r="L355" s="45">
        <v>157.74</v>
      </c>
      <c r="M355" s="45"/>
      <c r="N355" s="45"/>
      <c r="O355" s="45"/>
      <c r="P355" s="45"/>
      <c r="Q355" s="45"/>
      <c r="R355" s="51"/>
      <c r="S355" s="53">
        <v>7</v>
      </c>
      <c r="T355" s="45">
        <v>158.53</v>
      </c>
      <c r="U355" s="45"/>
      <c r="V355" s="45"/>
      <c r="W355" s="45"/>
      <c r="X355" s="45"/>
      <c r="Y355" s="45"/>
      <c r="Z355" s="51"/>
      <c r="AA355" s="53">
        <v>7</v>
      </c>
      <c r="AB355" s="45">
        <v>155.69999999999999</v>
      </c>
      <c r="AC355" s="45"/>
      <c r="AD355" s="45"/>
      <c r="AE355" s="45"/>
      <c r="AF355" s="45"/>
      <c r="AG355" s="45"/>
      <c r="AH355" s="51"/>
      <c r="AI355" s="53">
        <v>7</v>
      </c>
      <c r="AJ355" s="45">
        <v>157.28</v>
      </c>
      <c r="AK355" s="45"/>
      <c r="AL355" s="45"/>
      <c r="AM355" s="45"/>
      <c r="AN355" s="45"/>
      <c r="AO355" s="45"/>
      <c r="AP355" s="51"/>
    </row>
    <row r="356" spans="1:42" ht="21" customHeight="1" thickTop="1" thickBot="1" x14ac:dyDescent="0.35">
      <c r="A356" s="63"/>
      <c r="B356" s="78"/>
      <c r="C356" s="53">
        <v>8</v>
      </c>
      <c r="D356" s="45">
        <v>154.11000000000001</v>
      </c>
      <c r="E356" s="45"/>
      <c r="F356" s="45"/>
      <c r="G356" s="45"/>
      <c r="H356" s="45"/>
      <c r="I356" s="45"/>
      <c r="J356" s="51"/>
      <c r="K356" s="53">
        <v>8</v>
      </c>
      <c r="L356" s="45">
        <v>155.61000000000001</v>
      </c>
      <c r="M356" s="45"/>
      <c r="N356" s="45"/>
      <c r="O356" s="45"/>
      <c r="P356" s="45"/>
      <c r="Q356" s="45"/>
      <c r="R356" s="51"/>
      <c r="S356" s="53">
        <v>8</v>
      </c>
      <c r="T356" s="45">
        <v>161.75</v>
      </c>
      <c r="U356" s="45"/>
      <c r="V356" s="45"/>
      <c r="W356" s="45"/>
      <c r="X356" s="45"/>
      <c r="Y356" s="45"/>
      <c r="Z356" s="51"/>
      <c r="AA356" s="53">
        <v>8</v>
      </c>
      <c r="AB356" s="45">
        <v>157.57</v>
      </c>
      <c r="AC356" s="45"/>
      <c r="AD356" s="45"/>
      <c r="AE356" s="45"/>
      <c r="AF356" s="45"/>
      <c r="AG356" s="45"/>
      <c r="AH356" s="51"/>
      <c r="AI356" s="53">
        <v>8</v>
      </c>
      <c r="AJ356" s="45">
        <v>158.01</v>
      </c>
      <c r="AK356" s="45"/>
      <c r="AL356" s="45"/>
      <c r="AM356" s="45"/>
      <c r="AN356" s="45"/>
      <c r="AO356" s="45"/>
      <c r="AP356" s="51"/>
    </row>
    <row r="357" spans="1:42" ht="21" customHeight="1" thickTop="1" thickBot="1" x14ac:dyDescent="0.35">
      <c r="A357" s="63"/>
      <c r="B357" s="78"/>
      <c r="C357" s="53">
        <v>9</v>
      </c>
      <c r="D357" s="45">
        <v>155.05000000000001</v>
      </c>
      <c r="E357" s="45"/>
      <c r="F357" s="45"/>
      <c r="G357" s="45"/>
      <c r="H357" s="45"/>
      <c r="I357" s="45"/>
      <c r="J357" s="51"/>
      <c r="K357" s="53">
        <v>9</v>
      </c>
      <c r="L357" s="45">
        <v>155.02000000000001</v>
      </c>
      <c r="M357" s="45"/>
      <c r="N357" s="45"/>
      <c r="O357" s="45"/>
      <c r="P357" s="45"/>
      <c r="Q357" s="45"/>
      <c r="R357" s="51"/>
      <c r="S357" s="53">
        <v>9</v>
      </c>
      <c r="T357" s="45">
        <v>158.53</v>
      </c>
      <c r="U357" s="45"/>
      <c r="V357" s="45"/>
      <c r="W357" s="45"/>
      <c r="X357" s="45"/>
      <c r="Y357" s="45"/>
      <c r="Z357" s="51"/>
      <c r="AA357" s="53">
        <v>9</v>
      </c>
      <c r="AB357" s="45">
        <v>158.02000000000001</v>
      </c>
      <c r="AC357" s="45"/>
      <c r="AD357" s="45"/>
      <c r="AE357" s="45"/>
      <c r="AF357" s="45"/>
      <c r="AG357" s="45"/>
      <c r="AH357" s="51"/>
      <c r="AI357" s="53">
        <v>9</v>
      </c>
      <c r="AJ357" s="45">
        <v>157.87</v>
      </c>
      <c r="AK357" s="45"/>
      <c r="AL357" s="45"/>
      <c r="AM357" s="45"/>
      <c r="AN357" s="45"/>
      <c r="AO357" s="45"/>
      <c r="AP357" s="51"/>
    </row>
    <row r="358" spans="1:42" ht="21" customHeight="1" thickTop="1" thickBot="1" x14ac:dyDescent="0.35">
      <c r="A358" s="63"/>
      <c r="B358" s="78"/>
      <c r="C358" s="53">
        <v>10</v>
      </c>
      <c r="D358" s="45">
        <v>154.11000000000001</v>
      </c>
      <c r="E358" s="45"/>
      <c r="F358" s="45"/>
      <c r="G358" s="45"/>
      <c r="H358" s="45"/>
      <c r="I358" s="45"/>
      <c r="J358" s="51"/>
      <c r="K358" s="53">
        <v>10</v>
      </c>
      <c r="L358" s="45">
        <v>155.69999999999999</v>
      </c>
      <c r="M358" s="45"/>
      <c r="N358" s="45"/>
      <c r="O358" s="45"/>
      <c r="P358" s="45"/>
      <c r="Q358" s="45"/>
      <c r="R358" s="51"/>
      <c r="S358" s="53">
        <v>10</v>
      </c>
      <c r="T358" s="45">
        <v>157.79</v>
      </c>
      <c r="U358" s="45"/>
      <c r="V358" s="45"/>
      <c r="W358" s="45"/>
      <c r="X358" s="45"/>
      <c r="Y358" s="45"/>
      <c r="Z358" s="51"/>
      <c r="AA358" s="53">
        <v>10</v>
      </c>
      <c r="AB358" s="45">
        <v>158.99</v>
      </c>
      <c r="AC358" s="45"/>
      <c r="AD358" s="45"/>
      <c r="AE358" s="45"/>
      <c r="AF358" s="45"/>
      <c r="AG358" s="45"/>
      <c r="AH358" s="51"/>
      <c r="AI358" s="53">
        <v>10</v>
      </c>
      <c r="AJ358" s="45">
        <v>158.15</v>
      </c>
      <c r="AK358" s="45"/>
      <c r="AL358" s="45"/>
      <c r="AM358" s="45"/>
      <c r="AN358" s="45"/>
      <c r="AO358" s="45"/>
      <c r="AP358" s="51"/>
    </row>
    <row r="359" spans="1:42" ht="21" customHeight="1" thickTop="1" thickBot="1" x14ac:dyDescent="0.35">
      <c r="A359" s="63"/>
      <c r="B359" s="78"/>
      <c r="C359" s="53"/>
      <c r="D359" s="45"/>
      <c r="E359" s="45"/>
      <c r="F359" s="45"/>
      <c r="G359" s="45"/>
      <c r="H359" s="45"/>
      <c r="I359" s="45"/>
      <c r="J359" s="51"/>
      <c r="K359" s="53"/>
      <c r="L359" s="45"/>
      <c r="M359" s="45"/>
      <c r="N359" s="45"/>
      <c r="O359" s="45"/>
      <c r="P359" s="45"/>
      <c r="Q359" s="45"/>
      <c r="R359" s="51"/>
      <c r="S359" s="53"/>
      <c r="T359" s="45"/>
      <c r="U359" s="45"/>
      <c r="V359" s="45"/>
      <c r="W359" s="45"/>
      <c r="X359" s="45"/>
      <c r="Y359" s="45"/>
      <c r="Z359" s="51"/>
      <c r="AA359" s="53"/>
      <c r="AB359" s="45"/>
      <c r="AC359" s="45"/>
      <c r="AD359" s="45"/>
      <c r="AE359" s="45"/>
      <c r="AF359" s="45"/>
      <c r="AG359" s="45"/>
      <c r="AH359" s="51"/>
      <c r="AI359" s="53"/>
      <c r="AJ359" s="45"/>
      <c r="AK359" s="45"/>
      <c r="AL359" s="45"/>
      <c r="AM359" s="45"/>
      <c r="AN359" s="45"/>
      <c r="AO359" s="45"/>
      <c r="AP359" s="51"/>
    </row>
    <row r="360" spans="1:42" ht="41" customHeight="1" thickTop="1" thickBot="1" x14ac:dyDescent="0.35">
      <c r="A360" s="63"/>
      <c r="B360" s="78"/>
      <c r="C360" s="54" t="s">
        <v>16</v>
      </c>
      <c r="D360" s="49">
        <f>MIN(D349:D358)</f>
        <v>154.11000000000001</v>
      </c>
      <c r="E360" s="45"/>
      <c r="F360" s="55" t="s">
        <v>17</v>
      </c>
      <c r="G360" s="49" t="s">
        <v>18</v>
      </c>
      <c r="H360" s="49" t="s">
        <v>19</v>
      </c>
      <c r="I360" s="45"/>
      <c r="J360" s="51"/>
      <c r="K360" s="54" t="s">
        <v>16</v>
      </c>
      <c r="L360" s="49">
        <f>MIN(L349:L358)</f>
        <v>155.02000000000001</v>
      </c>
      <c r="M360" s="45"/>
      <c r="N360" s="55" t="s">
        <v>17</v>
      </c>
      <c r="O360" s="49" t="s">
        <v>18</v>
      </c>
      <c r="P360" s="49" t="s">
        <v>19</v>
      </c>
      <c r="Q360" s="45"/>
      <c r="R360" s="51"/>
      <c r="S360" s="54" t="s">
        <v>16</v>
      </c>
      <c r="T360" s="49">
        <f>MIN(T349:T358)</f>
        <v>157.79</v>
      </c>
      <c r="U360" s="45"/>
      <c r="V360" s="55" t="s">
        <v>17</v>
      </c>
      <c r="W360" s="49" t="s">
        <v>18</v>
      </c>
      <c r="X360" s="49" t="s">
        <v>19</v>
      </c>
      <c r="Y360" s="45"/>
      <c r="Z360" s="51"/>
      <c r="AA360" s="54" t="s">
        <v>16</v>
      </c>
      <c r="AB360" s="49">
        <f>MIN(AB349:AB358)</f>
        <v>155.69999999999999</v>
      </c>
      <c r="AC360" s="45"/>
      <c r="AD360" s="55" t="s">
        <v>17</v>
      </c>
      <c r="AE360" s="49" t="s">
        <v>18</v>
      </c>
      <c r="AF360" s="49" t="s">
        <v>19</v>
      </c>
      <c r="AG360" s="45"/>
      <c r="AH360" s="51"/>
      <c r="AI360" s="54" t="s">
        <v>16</v>
      </c>
      <c r="AJ360" s="49">
        <f>MIN(AJ349:AJ358)</f>
        <v>157.02000000000001</v>
      </c>
      <c r="AK360" s="45"/>
      <c r="AL360" s="55" t="s">
        <v>17</v>
      </c>
      <c r="AM360" s="49" t="s">
        <v>18</v>
      </c>
      <c r="AN360" s="49" t="s">
        <v>19</v>
      </c>
      <c r="AO360" s="45"/>
      <c r="AP360" s="51"/>
    </row>
    <row r="361" spans="1:42" ht="21" customHeight="1" thickTop="1" thickBot="1" x14ac:dyDescent="0.35">
      <c r="A361" s="63"/>
      <c r="B361" s="78"/>
      <c r="C361" s="54" t="s">
        <v>20</v>
      </c>
      <c r="D361" s="48">
        <f>AVERAGE(D349:D358)</f>
        <v>154.53100000000001</v>
      </c>
      <c r="E361" s="47"/>
      <c r="F361" s="48">
        <f>_xlfn.STDEV.S(D349:D358) / AVERAGE(D349:D358) * 100%</f>
        <v>2.5185887249697778E-3</v>
      </c>
      <c r="G361" s="48">
        <f t="array" ref="G361">MIN((D349:D358 - MIN(D349:D358,L349:L358,T349:T358,AB349:AB358,AJ349:AJ358))/MIN(D349:D358,L349:L358,T349:T358,AB349:AB358,AJ349:AJ358)*100%)</f>
        <v>0</v>
      </c>
      <c r="H361" s="48">
        <f t="array" ref="H361">AVERAGE((D349:D358 - MIN(D349:D358,L349:L358,T349:T358,AB349:AB358,AJ349:AJ358))/MIN(D349:D358,L349:L358,T349:T358,AB349:AB358,AJ349:AJ358)*100%)</f>
        <v>2.7318149373823388E-3</v>
      </c>
      <c r="I361" s="45"/>
      <c r="J361" s="51"/>
      <c r="K361" s="54" t="s">
        <v>20</v>
      </c>
      <c r="L361" s="48">
        <f>AVERAGE(L349:L358)</f>
        <v>156.12200000000001</v>
      </c>
      <c r="M361" s="47"/>
      <c r="N361" s="48">
        <f>_xlfn.STDEV.S(L349:L358) / AVERAGE(L349:L358) * 100%</f>
        <v>6.7815540848138595E-3</v>
      </c>
      <c r="O361" s="48">
        <f t="array" ref="O361">MIN((L349:L358 - MIN(D349:D358,L349:L358,T349:T358,AB349:AB358,AJ349:AJ358))/MIN(D349:D358,L349:L358,T349:T358,AB349:AB358,AJ349:AJ358)*100%)</f>
        <v>5.9048731425604857E-3</v>
      </c>
      <c r="P361" s="48">
        <f t="array" ref="P361">AVERAGE((L349:L358 - MIN(D349:D358,L349:L358,T349:T358,AB349:AB358,AJ349:AJ358))/MIN(D349:D358,L349:L358,T349:T358,AB349:AB358,AJ349:AJ358)*100%)</f>
        <v>1.3055609629485343E-2</v>
      </c>
      <c r="Q361" s="44"/>
      <c r="R361" s="51"/>
      <c r="S361" s="54" t="s">
        <v>20</v>
      </c>
      <c r="T361" s="48">
        <f>AVERAGE(T349:T358)</f>
        <v>158.75700000000001</v>
      </c>
      <c r="U361" s="47"/>
      <c r="V361" s="48">
        <f>_xlfn.STDEV.S(T349:T358) / AVERAGE(T349:T358) * 100%</f>
        <v>7.7169336026187913E-3</v>
      </c>
      <c r="W361" s="48">
        <f t="array" ref="W361">MIN((T349:T358 - MIN(D349:D358,L349:L358,T349:T358,AB349:AB358,AJ349:AJ358))/MIN(D349:D358,L349:L358,T349:T358,AB349:AB358,AJ349:AJ358)*100%)</f>
        <v>2.3879047433651147E-2</v>
      </c>
      <c r="X361" s="48">
        <f t="array" ref="X361">AVERAGE((T349:T358 - MIN(D349:D358,L349:L358,T349:T358,AB349:AB358,AJ349:AJ358))/MIN(D349:D358,L349:L358,T349:T358,AB349:AB358,AJ349:AJ358)*100%)</f>
        <v>3.0153786256569885E-2</v>
      </c>
      <c r="Y361" s="44"/>
      <c r="Z361" s="51"/>
      <c r="AA361" s="54" t="s">
        <v>20</v>
      </c>
      <c r="AB361" s="48">
        <f>AVERAGE(AB349:AB358)</f>
        <v>157.62099999999998</v>
      </c>
      <c r="AC361" s="47"/>
      <c r="AD361" s="48">
        <f>_xlfn.STDEV.S(AB349:AB358) / AVERAGE(AB349:AB358) * 100%</f>
        <v>6.1565417111977411E-3</v>
      </c>
      <c r="AE361" s="48">
        <f t="array" ref="AE361">MIN((AB349:AB358 - MIN(D349:D358,L349:L358,T349:T358,AB349:AB358,AJ349:AJ358))/MIN(D349:D358,L349:L358,T349:T358,AB349:AB358,AJ349:AJ358)*100%)</f>
        <v>1.0317305820517649E-2</v>
      </c>
      <c r="AF361" s="48">
        <f t="array" ref="AF361">AVERAGE((AB349:AB358 - MIN(D349:D358,L349:L358,T349:T358,AB349:AB358,AJ349:AJ358))/MIN(D349:D358,L349:L358,T349:T358,AB349:AB358,AJ349:AJ358)*100%)</f>
        <v>2.2782428135747074E-2</v>
      </c>
      <c r="AG361" s="44"/>
      <c r="AH361" s="51"/>
      <c r="AI361" s="54" t="s">
        <v>20</v>
      </c>
      <c r="AJ361" s="48">
        <f>AVERAGE(AJ349:AJ358)</f>
        <v>157.68299999999999</v>
      </c>
      <c r="AK361" s="47"/>
      <c r="AL361" s="48">
        <f>_xlfn.STDEV.S(AJ349:AJ358) / AVERAGE(AJ349:AJ358) * 100%</f>
        <v>2.5973247459506301E-3</v>
      </c>
      <c r="AM361" s="48">
        <f t="array" ref="AM361">MIN((AJ349:AJ358 - MIN(D349:D358,L349:L358,T349:T358,AB349:AB358,AJ349:AJ358))/MIN(D349:D358,L349:L358,T349:T358,AB349:AB358,AJ349:AJ358)*100%)</f>
        <v>1.888261631302314E-2</v>
      </c>
      <c r="AN361" s="48">
        <f t="array" ref="AN361">AVERAGE((AJ349:AJ358 - MIN(D349:D358,L349:L358,T349:T358,AB349:AB358,AJ349:AJ358))/MIN(D349:D358,L349:L358,T349:T358,AB349:AB358,AJ349:AJ358)*100%)</f>
        <v>2.3184738174031432E-2</v>
      </c>
      <c r="AO361" s="44"/>
      <c r="AP361" s="51"/>
    </row>
    <row r="362" spans="1:42" ht="21" customHeight="1" thickTop="1" thickBot="1" x14ac:dyDescent="0.35">
      <c r="A362" s="64"/>
      <c r="B362" s="79"/>
      <c r="C362" s="56"/>
      <c r="D362" s="57"/>
      <c r="E362" s="57"/>
      <c r="F362" s="57"/>
      <c r="G362" s="57"/>
      <c r="H362" s="57"/>
      <c r="I362" s="57"/>
      <c r="J362" s="58"/>
      <c r="K362" s="56"/>
      <c r="L362" s="57"/>
      <c r="M362" s="57"/>
      <c r="N362" s="57"/>
      <c r="O362" s="57"/>
      <c r="P362" s="57"/>
      <c r="Q362" s="57"/>
      <c r="R362" s="58"/>
      <c r="S362" s="56"/>
      <c r="T362" s="57"/>
      <c r="U362" s="57"/>
      <c r="V362" s="57"/>
      <c r="W362" s="57"/>
      <c r="X362" s="57"/>
      <c r="Y362" s="57"/>
      <c r="Z362" s="58"/>
      <c r="AA362" s="56"/>
      <c r="AB362" s="57"/>
      <c r="AC362" s="57"/>
      <c r="AD362" s="57"/>
      <c r="AE362" s="57"/>
      <c r="AF362" s="57"/>
      <c r="AG362" s="57"/>
      <c r="AH362" s="58"/>
      <c r="AI362" s="56"/>
      <c r="AJ362" s="57"/>
      <c r="AK362" s="57"/>
      <c r="AL362" s="57"/>
      <c r="AM362" s="57"/>
      <c r="AN362" s="57"/>
      <c r="AO362" s="57"/>
      <c r="AP362" s="58"/>
    </row>
    <row r="363" spans="1:42" ht="21" customHeight="1" thickTop="1" thickBot="1" x14ac:dyDescent="0.35">
      <c r="A363" s="62">
        <v>4</v>
      </c>
      <c r="B363" s="77" t="s">
        <v>50</v>
      </c>
      <c r="C363" s="59" t="s">
        <v>8</v>
      </c>
      <c r="D363" s="46" t="s">
        <v>9</v>
      </c>
      <c r="E363" s="46" t="s">
        <v>10</v>
      </c>
      <c r="F363" s="46" t="s">
        <v>11</v>
      </c>
      <c r="G363" s="46" t="s">
        <v>12</v>
      </c>
      <c r="H363" s="46" t="s">
        <v>13</v>
      </c>
      <c r="I363" s="46" t="s">
        <v>14</v>
      </c>
      <c r="J363" s="60" t="s">
        <v>15</v>
      </c>
      <c r="K363" s="59" t="s">
        <v>8</v>
      </c>
      <c r="L363" s="46" t="s">
        <v>9</v>
      </c>
      <c r="M363" s="46" t="s">
        <v>10</v>
      </c>
      <c r="N363" s="46" t="s">
        <v>11</v>
      </c>
      <c r="O363" s="46" t="s">
        <v>12</v>
      </c>
      <c r="P363" s="46" t="s">
        <v>13</v>
      </c>
      <c r="Q363" s="46" t="s">
        <v>14</v>
      </c>
      <c r="R363" s="60" t="s">
        <v>15</v>
      </c>
      <c r="S363" s="59" t="s">
        <v>8</v>
      </c>
      <c r="T363" s="46" t="s">
        <v>9</v>
      </c>
      <c r="U363" s="46" t="s">
        <v>10</v>
      </c>
      <c r="V363" s="46" t="s">
        <v>11</v>
      </c>
      <c r="W363" s="46" t="s">
        <v>12</v>
      </c>
      <c r="X363" s="46" t="s">
        <v>13</v>
      </c>
      <c r="Y363" s="46" t="s">
        <v>14</v>
      </c>
      <c r="Z363" s="60" t="s">
        <v>15</v>
      </c>
      <c r="AA363" s="59" t="s">
        <v>8</v>
      </c>
      <c r="AB363" s="46" t="s">
        <v>9</v>
      </c>
      <c r="AC363" s="46" t="s">
        <v>10</v>
      </c>
      <c r="AD363" s="46" t="s">
        <v>11</v>
      </c>
      <c r="AE363" s="46" t="s">
        <v>12</v>
      </c>
      <c r="AF363" s="46" t="s">
        <v>13</v>
      </c>
      <c r="AG363" s="46" t="s">
        <v>14</v>
      </c>
      <c r="AH363" s="60" t="s">
        <v>15</v>
      </c>
      <c r="AI363" s="59" t="s">
        <v>8</v>
      </c>
      <c r="AJ363" s="46" t="s">
        <v>9</v>
      </c>
      <c r="AK363" s="46" t="s">
        <v>10</v>
      </c>
      <c r="AL363" s="46" t="s">
        <v>11</v>
      </c>
      <c r="AM363" s="46" t="s">
        <v>12</v>
      </c>
      <c r="AN363" s="46" t="s">
        <v>13</v>
      </c>
      <c r="AO363" s="46" t="s">
        <v>14</v>
      </c>
      <c r="AP363" s="60" t="s">
        <v>15</v>
      </c>
    </row>
    <row r="364" spans="1:42" ht="21" customHeight="1" thickTop="1" thickBot="1" x14ac:dyDescent="0.35">
      <c r="A364" s="63"/>
      <c r="B364" s="78"/>
      <c r="C364" s="52">
        <v>1</v>
      </c>
      <c r="D364" s="44">
        <v>72.36</v>
      </c>
      <c r="E364" s="44"/>
      <c r="F364" s="44"/>
      <c r="G364" s="44"/>
      <c r="H364" s="44"/>
      <c r="I364" s="44"/>
      <c r="J364" s="51"/>
      <c r="K364" s="52">
        <v>1</v>
      </c>
      <c r="L364" s="44">
        <v>72.42</v>
      </c>
      <c r="M364" s="44"/>
      <c r="N364" s="44"/>
      <c r="O364" s="44"/>
      <c r="P364" s="44"/>
      <c r="Q364" s="44"/>
      <c r="R364" s="51"/>
      <c r="S364" s="52">
        <v>1</v>
      </c>
      <c r="T364" s="44">
        <v>73.36</v>
      </c>
      <c r="U364" s="44"/>
      <c r="V364" s="44"/>
      <c r="W364" s="44"/>
      <c r="X364" s="44"/>
      <c r="Y364" s="44"/>
      <c r="Z364" s="51"/>
      <c r="AA364" s="52">
        <v>1</v>
      </c>
      <c r="AB364" s="44">
        <v>72.44</v>
      </c>
      <c r="AC364" s="44"/>
      <c r="AD364" s="44"/>
      <c r="AE364" s="44"/>
      <c r="AF364" s="44"/>
      <c r="AG364" s="44"/>
      <c r="AH364" s="51"/>
      <c r="AI364" s="52">
        <v>1</v>
      </c>
      <c r="AJ364" s="44">
        <v>72.44</v>
      </c>
      <c r="AK364" s="44"/>
      <c r="AL364" s="44"/>
      <c r="AM364" s="44"/>
      <c r="AN364" s="44"/>
      <c r="AO364" s="44"/>
      <c r="AP364" s="51"/>
    </row>
    <row r="365" spans="1:42" ht="21" customHeight="1" thickTop="1" thickBot="1" x14ac:dyDescent="0.35">
      <c r="A365" s="63"/>
      <c r="B365" s="78"/>
      <c r="C365" s="53">
        <v>2</v>
      </c>
      <c r="D365" s="45">
        <v>72.02</v>
      </c>
      <c r="E365" s="45"/>
      <c r="F365" s="45"/>
      <c r="G365" s="45"/>
      <c r="H365" s="45"/>
      <c r="I365" s="45"/>
      <c r="J365" s="51"/>
      <c r="K365" s="53">
        <v>2</v>
      </c>
      <c r="L365" s="45">
        <v>72.8</v>
      </c>
      <c r="M365" s="45"/>
      <c r="N365" s="45"/>
      <c r="O365" s="45"/>
      <c r="P365" s="45"/>
      <c r="Q365" s="45"/>
      <c r="R365" s="51"/>
      <c r="S365" s="53">
        <v>2</v>
      </c>
      <c r="T365" s="45">
        <v>72.44</v>
      </c>
      <c r="U365" s="45"/>
      <c r="V365" s="45"/>
      <c r="W365" s="45"/>
      <c r="X365" s="45"/>
      <c r="Y365" s="45"/>
      <c r="Z365" s="51"/>
      <c r="AA365" s="53">
        <v>2</v>
      </c>
      <c r="AB365" s="45">
        <v>72.430000000000007</v>
      </c>
      <c r="AC365" s="45"/>
      <c r="AD365" s="45"/>
      <c r="AE365" s="45"/>
      <c r="AF365" s="45"/>
      <c r="AG365" s="45"/>
      <c r="AH365" s="51"/>
      <c r="AI365" s="53">
        <v>2</v>
      </c>
      <c r="AJ365" s="45">
        <v>72.009999999999991</v>
      </c>
      <c r="AK365" s="45"/>
      <c r="AL365" s="45"/>
      <c r="AM365" s="45"/>
      <c r="AN365" s="45"/>
      <c r="AO365" s="45"/>
      <c r="AP365" s="51"/>
    </row>
    <row r="366" spans="1:42" ht="21" customHeight="1" thickTop="1" thickBot="1" x14ac:dyDescent="0.35">
      <c r="A366" s="63"/>
      <c r="B366" s="78"/>
      <c r="C366" s="53">
        <v>3</v>
      </c>
      <c r="D366" s="45">
        <v>72.36</v>
      </c>
      <c r="E366" s="45"/>
      <c r="F366" s="45"/>
      <c r="G366" s="44"/>
      <c r="H366" s="44"/>
      <c r="I366" s="44"/>
      <c r="J366" s="51"/>
      <c r="K366" s="53">
        <v>3</v>
      </c>
      <c r="L366" s="45">
        <v>72.8</v>
      </c>
      <c r="M366" s="45"/>
      <c r="N366" s="45"/>
      <c r="O366" s="44"/>
      <c r="P366" s="44"/>
      <c r="Q366" s="44"/>
      <c r="R366" s="51"/>
      <c r="S366" s="53">
        <v>3</v>
      </c>
      <c r="T366" s="45">
        <v>74.13</v>
      </c>
      <c r="U366" s="45"/>
      <c r="V366" s="45"/>
      <c r="W366" s="44"/>
      <c r="X366" s="44"/>
      <c r="Y366" s="44"/>
      <c r="Z366" s="51"/>
      <c r="AA366" s="53">
        <v>3</v>
      </c>
      <c r="AB366" s="45">
        <v>72.44</v>
      </c>
      <c r="AC366" s="45"/>
      <c r="AD366" s="45"/>
      <c r="AE366" s="44"/>
      <c r="AF366" s="44"/>
      <c r="AG366" s="44"/>
      <c r="AH366" s="51"/>
      <c r="AI366" s="53">
        <v>3</v>
      </c>
      <c r="AJ366" s="45">
        <v>72.02</v>
      </c>
      <c r="AK366" s="45"/>
      <c r="AL366" s="45"/>
      <c r="AM366" s="44"/>
      <c r="AN366" s="44"/>
      <c r="AO366" s="44"/>
      <c r="AP366" s="51"/>
    </row>
    <row r="367" spans="1:42" ht="21" customHeight="1" thickTop="1" thickBot="1" x14ac:dyDescent="0.35">
      <c r="A367" s="63"/>
      <c r="B367" s="78"/>
      <c r="C367" s="53">
        <v>4</v>
      </c>
      <c r="D367" s="45">
        <v>72.44</v>
      </c>
      <c r="E367" s="45"/>
      <c r="F367" s="45"/>
      <c r="G367" s="45"/>
      <c r="H367" s="45"/>
      <c r="I367" s="45"/>
      <c r="J367" s="51"/>
      <c r="K367" s="53">
        <v>4</v>
      </c>
      <c r="L367" s="45">
        <v>72.990000000000009</v>
      </c>
      <c r="M367" s="45"/>
      <c r="N367" s="45"/>
      <c r="O367" s="45"/>
      <c r="P367" s="45"/>
      <c r="Q367" s="45"/>
      <c r="R367" s="51"/>
      <c r="S367" s="53">
        <v>4</v>
      </c>
      <c r="T367" s="45">
        <v>74.52000000000001</v>
      </c>
      <c r="U367" s="45"/>
      <c r="V367" s="45"/>
      <c r="W367" s="45"/>
      <c r="X367" s="45"/>
      <c r="Y367" s="45"/>
      <c r="Z367" s="51"/>
      <c r="AA367" s="53">
        <v>4</v>
      </c>
      <c r="AB367" s="45">
        <v>72.8</v>
      </c>
      <c r="AC367" s="45"/>
      <c r="AD367" s="45"/>
      <c r="AE367" s="45"/>
      <c r="AF367" s="45"/>
      <c r="AG367" s="45"/>
      <c r="AH367" s="51"/>
      <c r="AI367" s="53">
        <v>4</v>
      </c>
      <c r="AJ367" s="45">
        <v>72.38</v>
      </c>
      <c r="AK367" s="45"/>
      <c r="AL367" s="45"/>
      <c r="AM367" s="45"/>
      <c r="AN367" s="45"/>
      <c r="AO367" s="45"/>
      <c r="AP367" s="51"/>
    </row>
    <row r="368" spans="1:42" ht="21" customHeight="1" thickTop="1" thickBot="1" x14ac:dyDescent="0.35">
      <c r="A368" s="63"/>
      <c r="B368" s="78"/>
      <c r="C368" s="53">
        <v>5</v>
      </c>
      <c r="D368" s="45">
        <v>72.36</v>
      </c>
      <c r="E368" s="45"/>
      <c r="F368" s="45"/>
      <c r="G368" s="45"/>
      <c r="H368" s="45"/>
      <c r="I368" s="45"/>
      <c r="J368" s="51"/>
      <c r="K368" s="53">
        <v>5</v>
      </c>
      <c r="L368" s="45">
        <v>72.8</v>
      </c>
      <c r="M368" s="45"/>
      <c r="N368" s="45"/>
      <c r="O368" s="45"/>
      <c r="P368" s="45"/>
      <c r="Q368" s="45"/>
      <c r="R368" s="51"/>
      <c r="S368" s="53">
        <v>5</v>
      </c>
      <c r="T368" s="45">
        <v>73.179999999999993</v>
      </c>
      <c r="U368" s="45"/>
      <c r="V368" s="45"/>
      <c r="W368" s="45"/>
      <c r="X368" s="45"/>
      <c r="Y368" s="45"/>
      <c r="Z368" s="51"/>
      <c r="AA368" s="53">
        <v>5</v>
      </c>
      <c r="AB368" s="45">
        <v>72.8</v>
      </c>
      <c r="AC368" s="45"/>
      <c r="AD368" s="45"/>
      <c r="AE368" s="45"/>
      <c r="AF368" s="45"/>
      <c r="AG368" s="45"/>
      <c r="AH368" s="51"/>
      <c r="AI368" s="53">
        <v>5</v>
      </c>
      <c r="AJ368" s="45">
        <v>71.960000000000008</v>
      </c>
      <c r="AK368" s="45"/>
      <c r="AL368" s="45"/>
      <c r="AM368" s="45"/>
      <c r="AN368" s="45"/>
      <c r="AO368" s="45"/>
      <c r="AP368" s="51"/>
    </row>
    <row r="369" spans="1:42" ht="21" customHeight="1" thickTop="1" thickBot="1" x14ac:dyDescent="0.35">
      <c r="A369" s="63"/>
      <c r="B369" s="78"/>
      <c r="C369" s="53">
        <v>6</v>
      </c>
      <c r="D369" s="45">
        <v>72.8</v>
      </c>
      <c r="E369" s="45"/>
      <c r="F369" s="45"/>
      <c r="G369" s="45"/>
      <c r="H369" s="45"/>
      <c r="I369" s="45"/>
      <c r="J369" s="51"/>
      <c r="K369" s="53">
        <v>6</v>
      </c>
      <c r="L369" s="45">
        <v>72.650000000000006</v>
      </c>
      <c r="M369" s="45"/>
      <c r="N369" s="45"/>
      <c r="O369" s="45"/>
      <c r="P369" s="45"/>
      <c r="Q369" s="45"/>
      <c r="R369" s="51"/>
      <c r="S369" s="53">
        <v>6</v>
      </c>
      <c r="T369" s="45">
        <v>72.44</v>
      </c>
      <c r="U369" s="45"/>
      <c r="V369" s="45"/>
      <c r="W369" s="45"/>
      <c r="X369" s="45"/>
      <c r="Y369" s="45"/>
      <c r="Z369" s="51"/>
      <c r="AA369" s="53">
        <v>6</v>
      </c>
      <c r="AB369" s="45">
        <v>72.87</v>
      </c>
      <c r="AC369" s="45"/>
      <c r="AD369" s="45"/>
      <c r="AE369" s="45"/>
      <c r="AF369" s="45"/>
      <c r="AG369" s="45"/>
      <c r="AH369" s="51"/>
      <c r="AI369" s="53">
        <v>6</v>
      </c>
      <c r="AJ369" s="45">
        <v>72.009999999999991</v>
      </c>
      <c r="AK369" s="45"/>
      <c r="AL369" s="45"/>
      <c r="AM369" s="45"/>
      <c r="AN369" s="45"/>
      <c r="AO369" s="45"/>
      <c r="AP369" s="51"/>
    </row>
    <row r="370" spans="1:42" ht="21" customHeight="1" thickTop="1" thickBot="1" x14ac:dyDescent="0.35">
      <c r="A370" s="63"/>
      <c r="B370" s="78"/>
      <c r="C370" s="53">
        <v>7</v>
      </c>
      <c r="D370" s="45">
        <v>72.14</v>
      </c>
      <c r="E370" s="45"/>
      <c r="F370" s="45"/>
      <c r="G370" s="45"/>
      <c r="H370" s="45"/>
      <c r="I370" s="45"/>
      <c r="J370" s="51"/>
      <c r="K370" s="53">
        <v>7</v>
      </c>
      <c r="L370" s="45">
        <v>73.179999999999993</v>
      </c>
      <c r="M370" s="45"/>
      <c r="N370" s="45"/>
      <c r="O370" s="45"/>
      <c r="P370" s="45"/>
      <c r="Q370" s="45"/>
      <c r="R370" s="51"/>
      <c r="S370" s="53">
        <v>7</v>
      </c>
      <c r="T370" s="45">
        <v>72.73</v>
      </c>
      <c r="U370" s="45"/>
      <c r="V370" s="45"/>
      <c r="W370" s="45"/>
      <c r="X370" s="45"/>
      <c r="Y370" s="45"/>
      <c r="Z370" s="51"/>
      <c r="AA370" s="53">
        <v>7</v>
      </c>
      <c r="AB370" s="45">
        <v>72.8</v>
      </c>
      <c r="AC370" s="45"/>
      <c r="AD370" s="45"/>
      <c r="AE370" s="45"/>
      <c r="AF370" s="45"/>
      <c r="AG370" s="45"/>
      <c r="AH370" s="51"/>
      <c r="AI370" s="53">
        <v>7</v>
      </c>
      <c r="AJ370" s="45">
        <v>72.44</v>
      </c>
      <c r="AK370" s="45"/>
      <c r="AL370" s="45"/>
      <c r="AM370" s="45"/>
      <c r="AN370" s="45"/>
      <c r="AO370" s="45"/>
      <c r="AP370" s="51"/>
    </row>
    <row r="371" spans="1:42" ht="21" customHeight="1" thickTop="1" thickBot="1" x14ac:dyDescent="0.35">
      <c r="A371" s="63"/>
      <c r="B371" s="78"/>
      <c r="C371" s="53">
        <v>8</v>
      </c>
      <c r="D371" s="45">
        <v>72.8</v>
      </c>
      <c r="E371" s="45"/>
      <c r="F371" s="45"/>
      <c r="G371" s="45"/>
      <c r="H371" s="45"/>
      <c r="I371" s="45"/>
      <c r="J371" s="51"/>
      <c r="K371" s="53">
        <v>8</v>
      </c>
      <c r="L371" s="45">
        <v>72.8</v>
      </c>
      <c r="M371" s="45"/>
      <c r="N371" s="45"/>
      <c r="O371" s="45"/>
      <c r="P371" s="45"/>
      <c r="Q371" s="45"/>
      <c r="R371" s="51"/>
      <c r="S371" s="53">
        <v>8</v>
      </c>
      <c r="T371" s="45">
        <v>73.3</v>
      </c>
      <c r="U371" s="45"/>
      <c r="V371" s="45"/>
      <c r="W371" s="45"/>
      <c r="X371" s="45"/>
      <c r="Y371" s="45"/>
      <c r="Z371" s="51"/>
      <c r="AA371" s="53">
        <v>8</v>
      </c>
      <c r="AB371" s="45">
        <v>73.23</v>
      </c>
      <c r="AC371" s="45"/>
      <c r="AD371" s="45"/>
      <c r="AE371" s="45"/>
      <c r="AF371" s="45"/>
      <c r="AG371" s="45"/>
      <c r="AH371" s="51"/>
      <c r="AI371" s="53">
        <v>8</v>
      </c>
      <c r="AJ371" s="45">
        <v>72.44</v>
      </c>
      <c r="AK371" s="45"/>
      <c r="AL371" s="45"/>
      <c r="AM371" s="45"/>
      <c r="AN371" s="45"/>
      <c r="AO371" s="45"/>
      <c r="AP371" s="51"/>
    </row>
    <row r="372" spans="1:42" ht="21" customHeight="1" thickTop="1" thickBot="1" x14ac:dyDescent="0.35">
      <c r="A372" s="63"/>
      <c r="B372" s="78"/>
      <c r="C372" s="53">
        <v>9</v>
      </c>
      <c r="D372" s="45">
        <v>72.8</v>
      </c>
      <c r="E372" s="45"/>
      <c r="F372" s="45"/>
      <c r="G372" s="45"/>
      <c r="H372" s="45"/>
      <c r="I372" s="45"/>
      <c r="J372" s="51"/>
      <c r="K372" s="53">
        <v>9</v>
      </c>
      <c r="L372" s="45">
        <v>72.8</v>
      </c>
      <c r="M372" s="45"/>
      <c r="N372" s="45"/>
      <c r="O372" s="45"/>
      <c r="P372" s="45"/>
      <c r="Q372" s="45"/>
      <c r="R372" s="51"/>
      <c r="S372" s="53">
        <v>9</v>
      </c>
      <c r="T372" s="45">
        <v>74.06</v>
      </c>
      <c r="U372" s="45"/>
      <c r="V372" s="45"/>
      <c r="W372" s="45"/>
      <c r="X372" s="45"/>
      <c r="Y372" s="45"/>
      <c r="Z372" s="51"/>
      <c r="AA372" s="53">
        <v>9</v>
      </c>
      <c r="AB372" s="45">
        <v>72.650000000000006</v>
      </c>
      <c r="AC372" s="45"/>
      <c r="AD372" s="45"/>
      <c r="AE372" s="45"/>
      <c r="AF372" s="45"/>
      <c r="AG372" s="45"/>
      <c r="AH372" s="51"/>
      <c r="AI372" s="53">
        <v>9</v>
      </c>
      <c r="AJ372" s="45">
        <v>71.960000000000008</v>
      </c>
      <c r="AK372" s="45"/>
      <c r="AL372" s="45"/>
      <c r="AM372" s="45"/>
      <c r="AN372" s="45"/>
      <c r="AO372" s="45"/>
      <c r="AP372" s="51"/>
    </row>
    <row r="373" spans="1:42" ht="21" customHeight="1" thickTop="1" thickBot="1" x14ac:dyDescent="0.35">
      <c r="A373" s="63"/>
      <c r="B373" s="78"/>
      <c r="C373" s="53">
        <v>10</v>
      </c>
      <c r="D373" s="45">
        <v>72.209999999999994</v>
      </c>
      <c r="E373" s="45"/>
      <c r="F373" s="45"/>
      <c r="G373" s="45"/>
      <c r="H373" s="45"/>
      <c r="I373" s="45"/>
      <c r="J373" s="51"/>
      <c r="K373" s="53">
        <v>10</v>
      </c>
      <c r="L373" s="45">
        <v>72.84</v>
      </c>
      <c r="M373" s="45"/>
      <c r="N373" s="45"/>
      <c r="O373" s="45"/>
      <c r="P373" s="45"/>
      <c r="Q373" s="45"/>
      <c r="R373" s="51"/>
      <c r="S373" s="53">
        <v>10</v>
      </c>
      <c r="T373" s="45">
        <v>72.8</v>
      </c>
      <c r="U373" s="45"/>
      <c r="V373" s="45"/>
      <c r="W373" s="45"/>
      <c r="X373" s="45"/>
      <c r="Y373" s="45"/>
      <c r="Z373" s="51"/>
      <c r="AA373" s="53">
        <v>10</v>
      </c>
      <c r="AB373" s="45">
        <v>73.3</v>
      </c>
      <c r="AC373" s="45"/>
      <c r="AD373" s="45"/>
      <c r="AE373" s="45"/>
      <c r="AF373" s="45"/>
      <c r="AG373" s="45"/>
      <c r="AH373" s="51"/>
      <c r="AI373" s="53">
        <v>10</v>
      </c>
      <c r="AJ373" s="45">
        <v>72.009999999999991</v>
      </c>
      <c r="AK373" s="45"/>
      <c r="AL373" s="45"/>
      <c r="AM373" s="45"/>
      <c r="AN373" s="45"/>
      <c r="AO373" s="45"/>
      <c r="AP373" s="51"/>
    </row>
    <row r="374" spans="1:42" ht="21" customHeight="1" thickTop="1" thickBot="1" x14ac:dyDescent="0.35">
      <c r="A374" s="63"/>
      <c r="B374" s="78"/>
      <c r="C374" s="53"/>
      <c r="D374" s="45"/>
      <c r="E374" s="45"/>
      <c r="F374" s="45"/>
      <c r="G374" s="45"/>
      <c r="H374" s="45"/>
      <c r="I374" s="45"/>
      <c r="J374" s="51"/>
      <c r="K374" s="53"/>
      <c r="L374" s="45"/>
      <c r="M374" s="45"/>
      <c r="N374" s="45"/>
      <c r="O374" s="45"/>
      <c r="P374" s="45"/>
      <c r="Q374" s="45"/>
      <c r="R374" s="51"/>
      <c r="S374" s="53"/>
      <c r="T374" s="45"/>
      <c r="U374" s="45"/>
      <c r="V374" s="45"/>
      <c r="W374" s="45"/>
      <c r="X374" s="45"/>
      <c r="Y374" s="45"/>
      <c r="Z374" s="51"/>
      <c r="AA374" s="53"/>
      <c r="AB374" s="45"/>
      <c r="AC374" s="45"/>
      <c r="AD374" s="45"/>
      <c r="AE374" s="45"/>
      <c r="AF374" s="45"/>
      <c r="AG374" s="45"/>
      <c r="AH374" s="51"/>
      <c r="AI374" s="53"/>
      <c r="AJ374" s="45"/>
      <c r="AK374" s="45"/>
      <c r="AL374" s="45"/>
      <c r="AM374" s="45"/>
      <c r="AN374" s="45"/>
      <c r="AO374" s="45"/>
      <c r="AP374" s="51"/>
    </row>
    <row r="375" spans="1:42" ht="41" customHeight="1" thickTop="1" thickBot="1" x14ac:dyDescent="0.35">
      <c r="A375" s="63"/>
      <c r="B375" s="78"/>
      <c r="C375" s="54" t="s">
        <v>16</v>
      </c>
      <c r="D375" s="49">
        <f>MIN(D364:D373)</f>
        <v>72.02</v>
      </c>
      <c r="E375" s="45"/>
      <c r="F375" s="55" t="s">
        <v>17</v>
      </c>
      <c r="G375" s="49" t="s">
        <v>18</v>
      </c>
      <c r="H375" s="49" t="s">
        <v>19</v>
      </c>
      <c r="I375" s="45"/>
      <c r="J375" s="51"/>
      <c r="K375" s="54" t="s">
        <v>16</v>
      </c>
      <c r="L375" s="49">
        <f>MIN(L364:L373)</f>
        <v>72.42</v>
      </c>
      <c r="M375" s="45"/>
      <c r="N375" s="55" t="s">
        <v>17</v>
      </c>
      <c r="O375" s="49" t="s">
        <v>18</v>
      </c>
      <c r="P375" s="49" t="s">
        <v>19</v>
      </c>
      <c r="Q375" s="45"/>
      <c r="R375" s="51"/>
      <c r="S375" s="54" t="s">
        <v>16</v>
      </c>
      <c r="T375" s="49">
        <f>MIN(T364:T373)</f>
        <v>72.44</v>
      </c>
      <c r="U375" s="45"/>
      <c r="V375" s="55" t="s">
        <v>17</v>
      </c>
      <c r="W375" s="49" t="s">
        <v>18</v>
      </c>
      <c r="X375" s="49" t="s">
        <v>19</v>
      </c>
      <c r="Y375" s="45"/>
      <c r="Z375" s="51"/>
      <c r="AA375" s="54" t="s">
        <v>16</v>
      </c>
      <c r="AB375" s="49">
        <f>MIN(AB364:AB373)</f>
        <v>72.430000000000007</v>
      </c>
      <c r="AC375" s="45"/>
      <c r="AD375" s="55" t="s">
        <v>17</v>
      </c>
      <c r="AE375" s="49" t="s">
        <v>18</v>
      </c>
      <c r="AF375" s="49" t="s">
        <v>19</v>
      </c>
      <c r="AG375" s="45"/>
      <c r="AH375" s="51"/>
      <c r="AI375" s="54" t="s">
        <v>16</v>
      </c>
      <c r="AJ375" s="49">
        <f>MIN(AJ364:AJ373)</f>
        <v>71.960000000000008</v>
      </c>
      <c r="AK375" s="45"/>
      <c r="AL375" s="55" t="s">
        <v>17</v>
      </c>
      <c r="AM375" s="49" t="s">
        <v>18</v>
      </c>
      <c r="AN375" s="49" t="s">
        <v>19</v>
      </c>
      <c r="AO375" s="45"/>
      <c r="AP375" s="51"/>
    </row>
    <row r="376" spans="1:42" ht="21" customHeight="1" thickTop="1" thickBot="1" x14ac:dyDescent="0.35">
      <c r="A376" s="63"/>
      <c r="B376" s="78"/>
      <c r="C376" s="54" t="s">
        <v>20</v>
      </c>
      <c r="D376" s="48">
        <f>AVERAGE(D364:D373)</f>
        <v>72.429000000000002</v>
      </c>
      <c r="E376" s="47"/>
      <c r="F376" s="48">
        <f>_xlfn.STDEV.S(D364:D373) / AVERAGE(D364:D373) * 100%</f>
        <v>3.921583656354131E-3</v>
      </c>
      <c r="G376" s="48">
        <f t="array" ref="G376">MIN((D364:D373 - MIN(D364:D373,L364:L373,T364:T373,AB364:AB373,AJ364:AJ373))/MIN(D364:D373,L364:L373,T364:T373,AB364:AB373,AJ364:AJ373)*100%)</f>
        <v>8.3379655364074559E-4</v>
      </c>
      <c r="H376" s="48">
        <f t="array" ref="H376">AVERAGE((D364:D373 - MIN(D364:D373,L364:L373,T364:T373,AB364:AB373,AJ364:AJ373))/MIN(D364:D373,L364:L373,T364:T373,AB364:AB373,AJ364:AJ373)*100%)</f>
        <v>6.5175097276263163E-3</v>
      </c>
      <c r="I376" s="45"/>
      <c r="J376" s="51"/>
      <c r="K376" s="54" t="s">
        <v>20</v>
      </c>
      <c r="L376" s="48">
        <f>AVERAGE(L364:L373)</f>
        <v>72.808000000000007</v>
      </c>
      <c r="M376" s="47"/>
      <c r="N376" s="48">
        <f>_xlfn.STDEV.S(L364:L373) / AVERAGE(L364:L373) * 100%</f>
        <v>2.7021769487554381E-3</v>
      </c>
      <c r="O376" s="48">
        <f t="array" ref="O376">MIN((L364:L373 - MIN(D364:D373,L364:L373,T364:T373,AB364:AB373,AJ364:AJ373))/MIN(D364:D373,L364:L373,T364:T373,AB364:AB373,AJ364:AJ373)*100%)</f>
        <v>6.3924402445802346E-3</v>
      </c>
      <c r="P376" s="48">
        <f t="array" ref="P376">AVERAGE((L364:L373 - MIN(D364:D373,L364:L373,T364:T373,AB364:AB373,AJ364:AJ373))/MIN(D364:D373,L364:L373,T364:T373,AB364:AB373,AJ364:AJ373)*100%)</f>
        <v>1.1784324624791436E-2</v>
      </c>
      <c r="Q376" s="44"/>
      <c r="R376" s="51"/>
      <c r="S376" s="54" t="s">
        <v>20</v>
      </c>
      <c r="T376" s="48">
        <f>AVERAGE(T364:T373)</f>
        <v>73.296000000000006</v>
      </c>
      <c r="U376" s="47"/>
      <c r="V376" s="48">
        <f>_xlfn.STDEV.S(T364:T373) / AVERAGE(T364:T373) * 100%</f>
        <v>9.9914822776312525E-3</v>
      </c>
      <c r="W376" s="48">
        <f t="array" ref="W376">MIN((T364:T373 - MIN(D364:D373,L364:L373,T364:T373,AB364:AB373,AJ364:AJ373))/MIN(D364:D373,L364:L373,T364:T373,AB364:AB373,AJ364:AJ373)*100%)</f>
        <v>6.6703724291271504E-3</v>
      </c>
      <c r="X376" s="48">
        <f t="array" ref="X376">AVERAGE((T364:T373 - MIN(D364:D373,L364:L373,T364:T373,AB364:AB373,AJ364:AJ373))/MIN(D364:D373,L364:L373,T364:T373,AB364:AB373,AJ364:AJ373)*100%)</f>
        <v>1.8565869927737511E-2</v>
      </c>
      <c r="Y376" s="44"/>
      <c r="Z376" s="51"/>
      <c r="AA376" s="54" t="s">
        <v>20</v>
      </c>
      <c r="AB376" s="48">
        <f>AVERAGE(AB364:AB373)</f>
        <v>72.775999999999996</v>
      </c>
      <c r="AC376" s="47"/>
      <c r="AD376" s="48">
        <f>_xlfn.STDEV.S(AB364:AB373) / AVERAGE(AB364:AB373) * 100%</f>
        <v>4.2293479387397201E-3</v>
      </c>
      <c r="AE376" s="48">
        <f t="array" ref="AE376">MIN((AB364:AB373 - MIN(D364:D373,L364:L373,T364:T373,AB364:AB373,AJ364:AJ373))/MIN(D364:D373,L364:L373,T364:T373,AB364:AB373,AJ364:AJ373)*100%)</f>
        <v>6.5314063368537914E-3</v>
      </c>
      <c r="AF376" s="48">
        <f t="array" ref="AF376">AVERAGE((AB364:AB373 - MIN(D364:D373,L364:L373,T364:T373,AB364:AB373,AJ364:AJ373))/MIN(D364:D373,L364:L373,T364:T373,AB364:AB373,AJ364:AJ373)*100%)</f>
        <v>1.1339633129516294E-2</v>
      </c>
      <c r="AG376" s="44"/>
      <c r="AH376" s="51"/>
      <c r="AI376" s="54" t="s">
        <v>20</v>
      </c>
      <c r="AJ376" s="48">
        <f>AVERAGE(AJ364:AJ373)</f>
        <v>72.167000000000002</v>
      </c>
      <c r="AK376" s="47"/>
      <c r="AL376" s="48">
        <f>_xlfn.STDEV.S(AJ364:AJ373) / AVERAGE(AJ364:AJ373) * 100%</f>
        <v>3.0991861457979313E-3</v>
      </c>
      <c r="AM376" s="48">
        <f t="array" ref="AM376">MIN((AJ364:AJ373 - MIN(D364:D373,L364:L373,T364:T373,AB364:AB373,AJ364:AJ373))/MIN(D364:D373,L364:L373,T364:T373,AB364:AB373,AJ364:AJ373)*100%)</f>
        <v>0</v>
      </c>
      <c r="AN376" s="48">
        <f t="array" ref="AN376">AVERAGE((AJ364:AJ373 - MIN(D364:D373,L364:L373,T364:T373,AB364:AB373,AJ364:AJ373))/MIN(D364:D373,L364:L373,T364:T373,AB364:AB373,AJ364:AJ373)*100%)</f>
        <v>2.876598110060997E-3</v>
      </c>
      <c r="AO376" s="44"/>
      <c r="AP376" s="51"/>
    </row>
    <row r="377" spans="1:42" ht="21" customHeight="1" thickTop="1" thickBot="1" x14ac:dyDescent="0.35">
      <c r="A377" s="63"/>
      <c r="B377" s="79"/>
      <c r="C377" s="53"/>
      <c r="D377" s="44"/>
      <c r="E377" s="44"/>
      <c r="F377" s="44"/>
      <c r="G377" s="44"/>
      <c r="H377" s="44"/>
      <c r="I377" s="44"/>
      <c r="J377" s="51"/>
      <c r="K377" s="53"/>
      <c r="L377" s="44"/>
      <c r="M377" s="44"/>
      <c r="N377" s="44"/>
      <c r="O377" s="44"/>
      <c r="P377" s="44"/>
      <c r="Q377" s="44"/>
      <c r="R377" s="51"/>
      <c r="S377" s="53"/>
      <c r="T377" s="44"/>
      <c r="U377" s="44"/>
      <c r="V377" s="44"/>
      <c r="W377" s="44"/>
      <c r="X377" s="44"/>
      <c r="Y377" s="44"/>
      <c r="Z377" s="51"/>
      <c r="AA377" s="53"/>
      <c r="AB377" s="44"/>
      <c r="AC377" s="44"/>
      <c r="AD377" s="44"/>
      <c r="AE377" s="44"/>
      <c r="AF377" s="44"/>
      <c r="AG377" s="44"/>
      <c r="AH377" s="51"/>
      <c r="AI377" s="53"/>
      <c r="AJ377" s="44"/>
      <c r="AK377" s="44"/>
      <c r="AL377" s="44"/>
      <c r="AM377" s="44"/>
      <c r="AN377" s="44"/>
      <c r="AO377" s="44"/>
      <c r="AP377" s="51"/>
    </row>
    <row r="378" spans="1:42" ht="21" customHeight="1" thickTop="1" thickBot="1" x14ac:dyDescent="0.35">
      <c r="A378" s="63"/>
      <c r="B378" s="77" t="s">
        <v>51</v>
      </c>
      <c r="C378" s="59" t="s">
        <v>8</v>
      </c>
      <c r="D378" s="46" t="s">
        <v>9</v>
      </c>
      <c r="E378" s="46" t="s">
        <v>10</v>
      </c>
      <c r="F378" s="46" t="s">
        <v>11</v>
      </c>
      <c r="G378" s="46" t="s">
        <v>12</v>
      </c>
      <c r="H378" s="46" t="s">
        <v>13</v>
      </c>
      <c r="I378" s="46" t="s">
        <v>14</v>
      </c>
      <c r="J378" s="60" t="s">
        <v>15</v>
      </c>
      <c r="K378" s="59" t="s">
        <v>8</v>
      </c>
      <c r="L378" s="46" t="s">
        <v>9</v>
      </c>
      <c r="M378" s="46" t="s">
        <v>10</v>
      </c>
      <c r="N378" s="46" t="s">
        <v>11</v>
      </c>
      <c r="O378" s="46" t="s">
        <v>12</v>
      </c>
      <c r="P378" s="46" t="s">
        <v>13</v>
      </c>
      <c r="Q378" s="46" t="s">
        <v>14</v>
      </c>
      <c r="R378" s="60" t="s">
        <v>15</v>
      </c>
      <c r="S378" s="59" t="s">
        <v>8</v>
      </c>
      <c r="T378" s="46" t="s">
        <v>9</v>
      </c>
      <c r="U378" s="46" t="s">
        <v>10</v>
      </c>
      <c r="V378" s="46" t="s">
        <v>11</v>
      </c>
      <c r="W378" s="46" t="s">
        <v>12</v>
      </c>
      <c r="X378" s="46" t="s">
        <v>13</v>
      </c>
      <c r="Y378" s="46" t="s">
        <v>14</v>
      </c>
      <c r="Z378" s="60" t="s">
        <v>15</v>
      </c>
      <c r="AA378" s="59" t="s">
        <v>8</v>
      </c>
      <c r="AB378" s="46" t="s">
        <v>9</v>
      </c>
      <c r="AC378" s="46" t="s">
        <v>10</v>
      </c>
      <c r="AD378" s="46" t="s">
        <v>11</v>
      </c>
      <c r="AE378" s="46" t="s">
        <v>12</v>
      </c>
      <c r="AF378" s="46" t="s">
        <v>13</v>
      </c>
      <c r="AG378" s="46" t="s">
        <v>14</v>
      </c>
      <c r="AH378" s="60" t="s">
        <v>15</v>
      </c>
      <c r="AI378" s="59" t="s">
        <v>8</v>
      </c>
      <c r="AJ378" s="46" t="s">
        <v>9</v>
      </c>
      <c r="AK378" s="46" t="s">
        <v>10</v>
      </c>
      <c r="AL378" s="46" t="s">
        <v>11</v>
      </c>
      <c r="AM378" s="46" t="s">
        <v>12</v>
      </c>
      <c r="AN378" s="46" t="s">
        <v>13</v>
      </c>
      <c r="AO378" s="46" t="s">
        <v>14</v>
      </c>
      <c r="AP378" s="60" t="s">
        <v>15</v>
      </c>
    </row>
    <row r="379" spans="1:42" ht="21" customHeight="1" thickTop="1" thickBot="1" x14ac:dyDescent="0.35">
      <c r="A379" s="63"/>
      <c r="B379" s="78"/>
      <c r="C379" s="52">
        <v>1</v>
      </c>
      <c r="D379" s="44">
        <v>93.610000000000014</v>
      </c>
      <c r="E379" s="44"/>
      <c r="F379" s="44"/>
      <c r="G379" s="44"/>
      <c r="H379" s="44"/>
      <c r="I379" s="44"/>
      <c r="J379" s="51"/>
      <c r="K379" s="52">
        <v>1</v>
      </c>
      <c r="L379" s="44">
        <v>93.610000000000014</v>
      </c>
      <c r="M379" s="44"/>
      <c r="N379" s="44"/>
      <c r="O379" s="44"/>
      <c r="P379" s="44"/>
      <c r="Q379" s="44"/>
      <c r="R379" s="51"/>
      <c r="S379" s="52">
        <v>1</v>
      </c>
      <c r="T379" s="44">
        <v>95.220000000000013</v>
      </c>
      <c r="U379" s="44"/>
      <c r="V379" s="44"/>
      <c r="W379" s="44"/>
      <c r="X379" s="44"/>
      <c r="Y379" s="44"/>
      <c r="Z379" s="51"/>
      <c r="AA379" s="52">
        <v>1</v>
      </c>
      <c r="AB379" s="44">
        <v>94.87</v>
      </c>
      <c r="AC379" s="44"/>
      <c r="AD379" s="44"/>
      <c r="AE379" s="44"/>
      <c r="AF379" s="44"/>
      <c r="AG379" s="44"/>
      <c r="AH379" s="51"/>
      <c r="AI379" s="52">
        <v>1</v>
      </c>
      <c r="AJ379" s="44">
        <v>94.92</v>
      </c>
      <c r="AK379" s="44"/>
      <c r="AL379" s="44"/>
      <c r="AM379" s="44"/>
      <c r="AN379" s="44"/>
      <c r="AO379" s="44"/>
      <c r="AP379" s="51"/>
    </row>
    <row r="380" spans="1:42" ht="21" customHeight="1" thickTop="1" thickBot="1" x14ac:dyDescent="0.35">
      <c r="A380" s="63"/>
      <c r="B380" s="78"/>
      <c r="C380" s="53">
        <v>2</v>
      </c>
      <c r="D380" s="45">
        <v>93.610000000000014</v>
      </c>
      <c r="E380" s="45"/>
      <c r="F380" s="45"/>
      <c r="G380" s="45"/>
      <c r="H380" s="45"/>
      <c r="I380" s="45"/>
      <c r="J380" s="51"/>
      <c r="K380" s="53">
        <v>2</v>
      </c>
      <c r="L380" s="45">
        <v>93.610000000000014</v>
      </c>
      <c r="M380" s="45"/>
      <c r="N380" s="45"/>
      <c r="O380" s="45"/>
      <c r="P380" s="45"/>
      <c r="Q380" s="45"/>
      <c r="R380" s="51"/>
      <c r="S380" s="53">
        <v>2</v>
      </c>
      <c r="T380" s="45">
        <v>97.23</v>
      </c>
      <c r="U380" s="45"/>
      <c r="V380" s="45"/>
      <c r="W380" s="45"/>
      <c r="X380" s="45"/>
      <c r="Y380" s="45"/>
      <c r="Z380" s="51"/>
      <c r="AA380" s="53">
        <v>2</v>
      </c>
      <c r="AB380" s="45">
        <v>95.460000000000008</v>
      </c>
      <c r="AC380" s="45"/>
      <c r="AD380" s="45"/>
      <c r="AE380" s="45"/>
      <c r="AF380" s="45"/>
      <c r="AG380" s="45"/>
      <c r="AH380" s="51"/>
      <c r="AI380" s="53">
        <v>2</v>
      </c>
      <c r="AJ380" s="45">
        <v>95.240000000000009</v>
      </c>
      <c r="AK380" s="45"/>
      <c r="AL380" s="45"/>
      <c r="AM380" s="45"/>
      <c r="AN380" s="45"/>
      <c r="AO380" s="45"/>
      <c r="AP380" s="51"/>
    </row>
    <row r="381" spans="1:42" ht="21" customHeight="1" thickTop="1" thickBot="1" x14ac:dyDescent="0.35">
      <c r="A381" s="63"/>
      <c r="B381" s="78"/>
      <c r="C381" s="53">
        <v>3</v>
      </c>
      <c r="D381" s="45">
        <v>93.610000000000014</v>
      </c>
      <c r="E381" s="45"/>
      <c r="F381" s="45"/>
      <c r="G381" s="44"/>
      <c r="H381" s="44"/>
      <c r="I381" s="44"/>
      <c r="J381" s="51"/>
      <c r="K381" s="53">
        <v>3</v>
      </c>
      <c r="L381" s="45">
        <v>93.610000000000014</v>
      </c>
      <c r="M381" s="45"/>
      <c r="N381" s="45"/>
      <c r="O381" s="44"/>
      <c r="P381" s="44"/>
      <c r="Q381" s="44"/>
      <c r="R381" s="51"/>
      <c r="S381" s="53">
        <v>3</v>
      </c>
      <c r="T381" s="45">
        <v>96.960000000000008</v>
      </c>
      <c r="U381" s="45"/>
      <c r="V381" s="45"/>
      <c r="W381" s="44"/>
      <c r="X381" s="44"/>
      <c r="Y381" s="44"/>
      <c r="Z381" s="51"/>
      <c r="AA381" s="53">
        <v>3</v>
      </c>
      <c r="AB381" s="45">
        <v>94.660000000000011</v>
      </c>
      <c r="AC381" s="45"/>
      <c r="AD381" s="45"/>
      <c r="AE381" s="44"/>
      <c r="AF381" s="44"/>
      <c r="AG381" s="44"/>
      <c r="AH381" s="51"/>
      <c r="AI381" s="53">
        <v>3</v>
      </c>
      <c r="AJ381" s="45">
        <v>95.300000000000011</v>
      </c>
      <c r="AK381" s="45"/>
      <c r="AL381" s="45"/>
      <c r="AM381" s="44"/>
      <c r="AN381" s="44"/>
      <c r="AO381" s="44"/>
      <c r="AP381" s="51"/>
    </row>
    <row r="382" spans="1:42" ht="21" customHeight="1" thickTop="1" thickBot="1" x14ac:dyDescent="0.35">
      <c r="A382" s="63"/>
      <c r="B382" s="78"/>
      <c r="C382" s="53">
        <v>4</v>
      </c>
      <c r="D382" s="45">
        <v>93.610000000000014</v>
      </c>
      <c r="E382" s="45"/>
      <c r="F382" s="45"/>
      <c r="G382" s="45"/>
      <c r="H382" s="45"/>
      <c r="I382" s="45"/>
      <c r="J382" s="51"/>
      <c r="K382" s="53">
        <v>4</v>
      </c>
      <c r="L382" s="45">
        <v>93.610000000000014</v>
      </c>
      <c r="M382" s="45"/>
      <c r="N382" s="45"/>
      <c r="O382" s="45"/>
      <c r="P382" s="45"/>
      <c r="Q382" s="45"/>
      <c r="R382" s="51"/>
      <c r="S382" s="53">
        <v>4</v>
      </c>
      <c r="T382" s="45">
        <v>97.250000000000014</v>
      </c>
      <c r="U382" s="45"/>
      <c r="V382" s="45"/>
      <c r="W382" s="45"/>
      <c r="X382" s="45"/>
      <c r="Y382" s="45"/>
      <c r="Z382" s="51"/>
      <c r="AA382" s="53">
        <v>4</v>
      </c>
      <c r="AB382" s="45">
        <v>96.02000000000001</v>
      </c>
      <c r="AC382" s="45"/>
      <c r="AD382" s="45"/>
      <c r="AE382" s="45"/>
      <c r="AF382" s="45"/>
      <c r="AG382" s="45"/>
      <c r="AH382" s="51"/>
      <c r="AI382" s="53">
        <v>4</v>
      </c>
      <c r="AJ382" s="45">
        <v>95.460000000000008</v>
      </c>
      <c r="AK382" s="45"/>
      <c r="AL382" s="45"/>
      <c r="AM382" s="45"/>
      <c r="AN382" s="45"/>
      <c r="AO382" s="45"/>
      <c r="AP382" s="51"/>
    </row>
    <row r="383" spans="1:42" ht="21" customHeight="1" thickTop="1" thickBot="1" x14ac:dyDescent="0.35">
      <c r="A383" s="63"/>
      <c r="B383" s="78"/>
      <c r="C383" s="53">
        <v>5</v>
      </c>
      <c r="D383" s="45">
        <v>93.610000000000014</v>
      </c>
      <c r="E383" s="45"/>
      <c r="F383" s="45"/>
      <c r="G383" s="45"/>
      <c r="H383" s="45"/>
      <c r="I383" s="45"/>
      <c r="J383" s="51"/>
      <c r="K383" s="53">
        <v>5</v>
      </c>
      <c r="L383" s="45">
        <v>93.610000000000014</v>
      </c>
      <c r="M383" s="45"/>
      <c r="N383" s="45"/>
      <c r="O383" s="45"/>
      <c r="P383" s="45"/>
      <c r="Q383" s="45"/>
      <c r="R383" s="51"/>
      <c r="S383" s="53">
        <v>5</v>
      </c>
      <c r="T383" s="45">
        <v>94.76</v>
      </c>
      <c r="U383" s="45"/>
      <c r="V383" s="45"/>
      <c r="W383" s="45"/>
      <c r="X383" s="45"/>
      <c r="Y383" s="45"/>
      <c r="Z383" s="51"/>
      <c r="AA383" s="53">
        <v>5</v>
      </c>
      <c r="AB383" s="45">
        <v>94.660000000000011</v>
      </c>
      <c r="AC383" s="45"/>
      <c r="AD383" s="45"/>
      <c r="AE383" s="45"/>
      <c r="AF383" s="45"/>
      <c r="AG383" s="45"/>
      <c r="AH383" s="51"/>
      <c r="AI383" s="53">
        <v>5</v>
      </c>
      <c r="AJ383" s="45">
        <v>96.350000000000009</v>
      </c>
      <c r="AK383" s="45"/>
      <c r="AL383" s="45"/>
      <c r="AM383" s="45"/>
      <c r="AN383" s="45"/>
      <c r="AO383" s="45"/>
      <c r="AP383" s="51"/>
    </row>
    <row r="384" spans="1:42" ht="21" customHeight="1" thickTop="1" thickBot="1" x14ac:dyDescent="0.35">
      <c r="A384" s="63"/>
      <c r="B384" s="78"/>
      <c r="C384" s="53">
        <v>6</v>
      </c>
      <c r="D384" s="45">
        <v>93.610000000000014</v>
      </c>
      <c r="E384" s="45"/>
      <c r="F384" s="45"/>
      <c r="G384" s="45"/>
      <c r="H384" s="45"/>
      <c r="I384" s="45"/>
      <c r="J384" s="51"/>
      <c r="K384" s="53">
        <v>6</v>
      </c>
      <c r="L384" s="45">
        <v>94.12</v>
      </c>
      <c r="M384" s="45"/>
      <c r="N384" s="45"/>
      <c r="O384" s="45"/>
      <c r="P384" s="45"/>
      <c r="Q384" s="45"/>
      <c r="R384" s="51"/>
      <c r="S384" s="53">
        <v>6</v>
      </c>
      <c r="T384" s="45">
        <v>95.57</v>
      </c>
      <c r="U384" s="45"/>
      <c r="V384" s="45"/>
      <c r="W384" s="45"/>
      <c r="X384" s="45"/>
      <c r="Y384" s="45"/>
      <c r="Z384" s="51"/>
      <c r="AA384" s="53">
        <v>6</v>
      </c>
      <c r="AB384" s="45">
        <v>94.660000000000011</v>
      </c>
      <c r="AC384" s="45"/>
      <c r="AD384" s="45"/>
      <c r="AE384" s="45"/>
      <c r="AF384" s="45"/>
      <c r="AG384" s="45"/>
      <c r="AH384" s="51"/>
      <c r="AI384" s="53">
        <v>6</v>
      </c>
      <c r="AJ384" s="45">
        <v>94.79</v>
      </c>
      <c r="AK384" s="45"/>
      <c r="AL384" s="45"/>
      <c r="AM384" s="45"/>
      <c r="AN384" s="45"/>
      <c r="AO384" s="45"/>
      <c r="AP384" s="51"/>
    </row>
    <row r="385" spans="1:42" ht="21" customHeight="1" thickTop="1" thickBot="1" x14ac:dyDescent="0.35">
      <c r="A385" s="63"/>
      <c r="B385" s="78"/>
      <c r="C385" s="53">
        <v>7</v>
      </c>
      <c r="D385" s="45">
        <v>93.610000000000014</v>
      </c>
      <c r="E385" s="45"/>
      <c r="F385" s="45"/>
      <c r="G385" s="45"/>
      <c r="H385" s="45"/>
      <c r="I385" s="45"/>
      <c r="J385" s="51"/>
      <c r="K385" s="53">
        <v>7</v>
      </c>
      <c r="L385" s="45">
        <v>93.610000000000014</v>
      </c>
      <c r="M385" s="45"/>
      <c r="N385" s="45"/>
      <c r="O385" s="45"/>
      <c r="P385" s="45"/>
      <c r="Q385" s="45"/>
      <c r="R385" s="51"/>
      <c r="S385" s="53">
        <v>7</v>
      </c>
      <c r="T385" s="45">
        <v>99.000000000000014</v>
      </c>
      <c r="U385" s="45"/>
      <c r="V385" s="45"/>
      <c r="W385" s="45"/>
      <c r="X385" s="45"/>
      <c r="Y385" s="45"/>
      <c r="Z385" s="51"/>
      <c r="AA385" s="53">
        <v>7</v>
      </c>
      <c r="AB385" s="45">
        <v>94.660000000000011</v>
      </c>
      <c r="AC385" s="45"/>
      <c r="AD385" s="45"/>
      <c r="AE385" s="45"/>
      <c r="AF385" s="45"/>
      <c r="AG385" s="45"/>
      <c r="AH385" s="51"/>
      <c r="AI385" s="53">
        <v>7</v>
      </c>
      <c r="AJ385" s="45">
        <v>95.67</v>
      </c>
      <c r="AK385" s="45"/>
      <c r="AL385" s="45"/>
      <c r="AM385" s="45"/>
      <c r="AN385" s="45"/>
      <c r="AO385" s="45"/>
      <c r="AP385" s="51"/>
    </row>
    <row r="386" spans="1:42" ht="21" customHeight="1" thickTop="1" thickBot="1" x14ac:dyDescent="0.35">
      <c r="A386" s="63"/>
      <c r="B386" s="78"/>
      <c r="C386" s="53">
        <v>8</v>
      </c>
      <c r="D386" s="45">
        <v>93.610000000000014</v>
      </c>
      <c r="E386" s="45"/>
      <c r="F386" s="45"/>
      <c r="G386" s="45"/>
      <c r="H386" s="45"/>
      <c r="I386" s="45"/>
      <c r="J386" s="51"/>
      <c r="K386" s="53">
        <v>8</v>
      </c>
      <c r="L386" s="45">
        <v>93.610000000000014</v>
      </c>
      <c r="M386" s="45"/>
      <c r="N386" s="45"/>
      <c r="O386" s="45"/>
      <c r="P386" s="45"/>
      <c r="Q386" s="45"/>
      <c r="R386" s="51"/>
      <c r="S386" s="53">
        <v>8</v>
      </c>
      <c r="T386" s="45">
        <v>94.660000000000011</v>
      </c>
      <c r="U386" s="45"/>
      <c r="V386" s="45"/>
      <c r="W386" s="45"/>
      <c r="X386" s="45"/>
      <c r="Y386" s="45"/>
      <c r="Z386" s="51"/>
      <c r="AA386" s="53">
        <v>8</v>
      </c>
      <c r="AB386" s="45">
        <v>94.660000000000011</v>
      </c>
      <c r="AC386" s="45"/>
      <c r="AD386" s="45"/>
      <c r="AE386" s="45"/>
      <c r="AF386" s="45"/>
      <c r="AG386" s="45"/>
      <c r="AH386" s="51"/>
      <c r="AI386" s="53">
        <v>8</v>
      </c>
      <c r="AJ386" s="45">
        <v>94.92</v>
      </c>
      <c r="AK386" s="45"/>
      <c r="AL386" s="45"/>
      <c r="AM386" s="45"/>
      <c r="AN386" s="45"/>
      <c r="AO386" s="45"/>
      <c r="AP386" s="51"/>
    </row>
    <row r="387" spans="1:42" ht="21" customHeight="1" thickTop="1" thickBot="1" x14ac:dyDescent="0.35">
      <c r="A387" s="63"/>
      <c r="B387" s="78"/>
      <c r="C387" s="53">
        <v>9</v>
      </c>
      <c r="D387" s="45">
        <v>93.610000000000014</v>
      </c>
      <c r="E387" s="45"/>
      <c r="F387" s="45"/>
      <c r="G387" s="45"/>
      <c r="H387" s="45"/>
      <c r="I387" s="45"/>
      <c r="J387" s="51"/>
      <c r="K387" s="53">
        <v>9</v>
      </c>
      <c r="L387" s="45">
        <v>93.610000000000014</v>
      </c>
      <c r="M387" s="45"/>
      <c r="N387" s="45"/>
      <c r="O387" s="45"/>
      <c r="P387" s="45"/>
      <c r="Q387" s="45"/>
      <c r="R387" s="51"/>
      <c r="S387" s="53">
        <v>9</v>
      </c>
      <c r="T387" s="45">
        <v>97.23</v>
      </c>
      <c r="U387" s="45"/>
      <c r="V387" s="45"/>
      <c r="W387" s="45"/>
      <c r="X387" s="45"/>
      <c r="Y387" s="45"/>
      <c r="Z387" s="51"/>
      <c r="AA387" s="53">
        <v>9</v>
      </c>
      <c r="AB387" s="45">
        <v>95.870000000000019</v>
      </c>
      <c r="AC387" s="45"/>
      <c r="AD387" s="45"/>
      <c r="AE387" s="45"/>
      <c r="AF387" s="45"/>
      <c r="AG387" s="45"/>
      <c r="AH387" s="51"/>
      <c r="AI387" s="53">
        <v>9</v>
      </c>
      <c r="AJ387" s="45">
        <v>94.92</v>
      </c>
      <c r="AK387" s="45"/>
      <c r="AL387" s="45"/>
      <c r="AM387" s="45"/>
      <c r="AN387" s="45"/>
      <c r="AO387" s="45"/>
      <c r="AP387" s="51"/>
    </row>
    <row r="388" spans="1:42" ht="21" customHeight="1" thickTop="1" thickBot="1" x14ac:dyDescent="0.35">
      <c r="A388" s="63"/>
      <c r="B388" s="78"/>
      <c r="C388" s="53">
        <v>10</v>
      </c>
      <c r="D388" s="45">
        <v>93.610000000000014</v>
      </c>
      <c r="E388" s="45"/>
      <c r="F388" s="45"/>
      <c r="G388" s="45"/>
      <c r="H388" s="45"/>
      <c r="I388" s="45"/>
      <c r="J388" s="51"/>
      <c r="K388" s="53">
        <v>10</v>
      </c>
      <c r="L388" s="45">
        <v>93.610000000000014</v>
      </c>
      <c r="M388" s="45"/>
      <c r="N388" s="45"/>
      <c r="O388" s="45"/>
      <c r="P388" s="45"/>
      <c r="Q388" s="45"/>
      <c r="R388" s="51"/>
      <c r="S388" s="53">
        <v>10</v>
      </c>
      <c r="T388" s="45">
        <v>95.48</v>
      </c>
      <c r="U388" s="45"/>
      <c r="V388" s="45"/>
      <c r="W388" s="45"/>
      <c r="X388" s="45"/>
      <c r="Y388" s="45"/>
      <c r="Z388" s="51"/>
      <c r="AA388" s="53">
        <v>10</v>
      </c>
      <c r="AB388" s="45">
        <v>94.660000000000011</v>
      </c>
      <c r="AC388" s="45"/>
      <c r="AD388" s="45"/>
      <c r="AE388" s="45"/>
      <c r="AF388" s="45"/>
      <c r="AG388" s="45"/>
      <c r="AH388" s="51"/>
      <c r="AI388" s="53">
        <v>10</v>
      </c>
      <c r="AJ388" s="45">
        <v>95.670000000000016</v>
      </c>
      <c r="AK388" s="45"/>
      <c r="AL388" s="45"/>
      <c r="AM388" s="45"/>
      <c r="AN388" s="45"/>
      <c r="AO388" s="45"/>
      <c r="AP388" s="51"/>
    </row>
    <row r="389" spans="1:42" ht="21" customHeight="1" thickTop="1" thickBot="1" x14ac:dyDescent="0.35">
      <c r="A389" s="63"/>
      <c r="B389" s="78"/>
      <c r="C389" s="53"/>
      <c r="D389" s="45"/>
      <c r="E389" s="45"/>
      <c r="F389" s="45"/>
      <c r="G389" s="45"/>
      <c r="H389" s="45"/>
      <c r="I389" s="45"/>
      <c r="J389" s="51"/>
      <c r="K389" s="53"/>
      <c r="L389" s="45"/>
      <c r="M389" s="45"/>
      <c r="N389" s="45"/>
      <c r="O389" s="45"/>
      <c r="P389" s="45"/>
      <c r="Q389" s="45"/>
      <c r="R389" s="51"/>
      <c r="S389" s="53"/>
      <c r="T389" s="45"/>
      <c r="U389" s="45"/>
      <c r="V389" s="45"/>
      <c r="W389" s="45"/>
      <c r="X389" s="45"/>
      <c r="Y389" s="45"/>
      <c r="Z389" s="51"/>
      <c r="AA389" s="53"/>
      <c r="AB389" s="45"/>
      <c r="AC389" s="45"/>
      <c r="AD389" s="45"/>
      <c r="AE389" s="45"/>
      <c r="AF389" s="45"/>
      <c r="AG389" s="45"/>
      <c r="AH389" s="51"/>
      <c r="AI389" s="53"/>
      <c r="AJ389" s="45"/>
      <c r="AK389" s="45"/>
      <c r="AL389" s="45"/>
      <c r="AM389" s="45"/>
      <c r="AN389" s="45"/>
      <c r="AO389" s="45"/>
      <c r="AP389" s="51"/>
    </row>
    <row r="390" spans="1:42" ht="41" customHeight="1" thickTop="1" thickBot="1" x14ac:dyDescent="0.35">
      <c r="A390" s="63"/>
      <c r="B390" s="78"/>
      <c r="C390" s="54" t="s">
        <v>16</v>
      </c>
      <c r="D390" s="49">
        <f>MIN(D379:D388)</f>
        <v>93.610000000000014</v>
      </c>
      <c r="E390" s="45"/>
      <c r="F390" s="55" t="s">
        <v>17</v>
      </c>
      <c r="G390" s="49" t="s">
        <v>18</v>
      </c>
      <c r="H390" s="49" t="s">
        <v>19</v>
      </c>
      <c r="I390" s="45"/>
      <c r="J390" s="51"/>
      <c r="K390" s="54" t="s">
        <v>16</v>
      </c>
      <c r="L390" s="49">
        <f>MIN(L379:L388)</f>
        <v>93.610000000000014</v>
      </c>
      <c r="M390" s="45"/>
      <c r="N390" s="55" t="s">
        <v>17</v>
      </c>
      <c r="O390" s="49" t="s">
        <v>18</v>
      </c>
      <c r="P390" s="49" t="s">
        <v>19</v>
      </c>
      <c r="Q390" s="45"/>
      <c r="R390" s="51"/>
      <c r="S390" s="54" t="s">
        <v>16</v>
      </c>
      <c r="T390" s="49">
        <f>MIN(T379:T388)</f>
        <v>94.660000000000011</v>
      </c>
      <c r="U390" s="45"/>
      <c r="V390" s="55" t="s">
        <v>17</v>
      </c>
      <c r="W390" s="49" t="s">
        <v>18</v>
      </c>
      <c r="X390" s="49" t="s">
        <v>19</v>
      </c>
      <c r="Y390" s="45"/>
      <c r="Z390" s="51"/>
      <c r="AA390" s="54" t="s">
        <v>16</v>
      </c>
      <c r="AB390" s="49">
        <f>MIN(AB379:AB388)</f>
        <v>94.660000000000011</v>
      </c>
      <c r="AC390" s="45"/>
      <c r="AD390" s="55" t="s">
        <v>17</v>
      </c>
      <c r="AE390" s="49" t="s">
        <v>18</v>
      </c>
      <c r="AF390" s="49" t="s">
        <v>19</v>
      </c>
      <c r="AG390" s="45"/>
      <c r="AH390" s="51"/>
      <c r="AI390" s="54" t="s">
        <v>16</v>
      </c>
      <c r="AJ390" s="49">
        <f>MIN(AJ379:AJ388)</f>
        <v>94.79</v>
      </c>
      <c r="AK390" s="45"/>
      <c r="AL390" s="55" t="s">
        <v>17</v>
      </c>
      <c r="AM390" s="49" t="s">
        <v>18</v>
      </c>
      <c r="AN390" s="49" t="s">
        <v>19</v>
      </c>
      <c r="AO390" s="45"/>
      <c r="AP390" s="51"/>
    </row>
    <row r="391" spans="1:42" ht="21" customHeight="1" thickTop="1" thickBot="1" x14ac:dyDescent="0.35">
      <c r="A391" s="63"/>
      <c r="B391" s="78"/>
      <c r="C391" s="54" t="s">
        <v>20</v>
      </c>
      <c r="D391" s="48">
        <f>AVERAGE(D379:D388)</f>
        <v>93.610000000000014</v>
      </c>
      <c r="E391" s="47"/>
      <c r="F391" s="48">
        <f>_xlfn.STDEV.S(D379:D388) / AVERAGE(D379:D388) * 100%</f>
        <v>0</v>
      </c>
      <c r="G391" s="48">
        <f t="array" ref="G391">MIN((D379:D388 - MIN(D379:D388,L379:L388,T379:T388,AB379:AB388,AJ379:AJ388))/MIN(D379:D388,L379:L388,T379:T388,AB379:AB388,AJ379:AJ388)*100%)</f>
        <v>0</v>
      </c>
      <c r="H391" s="48">
        <f t="array" ref="H391">AVERAGE((D379:D388 - MIN(D379:D388,L379:L388,T379:T388,AB379:AB388,AJ379:AJ388))/MIN(D379:D388,L379:L388,T379:T388,AB379:AB388,AJ379:AJ388)*100%)</f>
        <v>0</v>
      </c>
      <c r="I391" s="45"/>
      <c r="J391" s="51"/>
      <c r="K391" s="54" t="s">
        <v>20</v>
      </c>
      <c r="L391" s="48">
        <f>AVERAGE(L379:L388)</f>
        <v>93.661000000000016</v>
      </c>
      <c r="M391" s="47"/>
      <c r="N391" s="48">
        <f>_xlfn.STDEV.S(L379:L388) / AVERAGE(L379:L388) * 100%</f>
        <v>1.7219137172204487E-3</v>
      </c>
      <c r="O391" s="48">
        <f t="array" ref="O391">MIN((L379:L388 - MIN(D379:D388,L379:L388,T379:T388,AB379:AB388,AJ379:AJ388))/MIN(D379:D388,L379:L388,T379:T388,AB379:AB388,AJ379:AJ388)*100%)</f>
        <v>0</v>
      </c>
      <c r="P391" s="48">
        <f t="array" ref="P391">AVERAGE((L379:L388 - MIN(D379:D388,L379:L388,T379:T388,AB379:AB388,AJ379:AJ388))/MIN(D379:D388,L379:L388,T379:T388,AB379:AB388,AJ379:AJ388)*100%)</f>
        <v>5.448135882918394E-4</v>
      </c>
      <c r="Q391" s="44"/>
      <c r="R391" s="51"/>
      <c r="S391" s="54" t="s">
        <v>20</v>
      </c>
      <c r="T391" s="48">
        <f>AVERAGE(T379:T388)</f>
        <v>96.335999999999999</v>
      </c>
      <c r="U391" s="47"/>
      <c r="V391" s="48">
        <f>_xlfn.STDEV.S(T379:T388) / AVERAGE(T379:T388) * 100%</f>
        <v>1.4589137989949283E-2</v>
      </c>
      <c r="W391" s="48">
        <f t="array" ref="W391">MIN((T379:T388 - MIN(D379:D388,L379:L388,T379:T388,AB379:AB388,AJ379:AJ388))/MIN(D379:D388,L379:L388,T379:T388,AB379:AB388,AJ379:AJ388)*100%)</f>
        <v>1.1216750347185098E-2</v>
      </c>
      <c r="X391" s="48">
        <f t="array" ref="X391">AVERAGE((T379:T388 - MIN(D379:D388,L379:L388,T379:T388,AB379:AB388,AJ379:AJ388))/MIN(D379:D388,L379:L388,T379:T388,AB379:AB388,AJ379:AJ388)*100%)</f>
        <v>2.9120820425168177E-2</v>
      </c>
      <c r="Y391" s="44"/>
      <c r="Z391" s="51"/>
      <c r="AA391" s="54" t="s">
        <v>20</v>
      </c>
      <c r="AB391" s="48">
        <f>AVERAGE(AB379:AB388)</f>
        <v>95.018000000000001</v>
      </c>
      <c r="AC391" s="47"/>
      <c r="AD391" s="48">
        <f>_xlfn.STDEV.S(AB379:AB388) / AVERAGE(AB379:AB388) * 100%</f>
        <v>5.7816331925625297E-3</v>
      </c>
      <c r="AE391" s="48">
        <f t="array" ref="AE391">MIN((AB379:AB388 - MIN(D379:D388,L379:L388,T379:T388,AB379:AB388,AJ379:AJ388))/MIN(D379:D388,L379:L388,T379:T388,AB379:AB388,AJ379:AJ388)*100%)</f>
        <v>1.1216750347185098E-2</v>
      </c>
      <c r="AF391" s="48">
        <f t="array" ref="AF391">AVERAGE((AB379:AB388 - MIN(D379:D388,L379:L388,T379:T388,AB379:AB388,AJ379:AJ388))/MIN(D379:D388,L379:L388,T379:T388,AB379:AB388,AJ379:AJ388)*100%)</f>
        <v>1.5041128084606309E-2</v>
      </c>
      <c r="AG391" s="44"/>
      <c r="AH391" s="51"/>
      <c r="AI391" s="54" t="s">
        <v>20</v>
      </c>
      <c r="AJ391" s="48">
        <f>AVERAGE(AJ379:AJ388)</f>
        <v>95.323999999999998</v>
      </c>
      <c r="AK391" s="47"/>
      <c r="AL391" s="48">
        <f>_xlfn.STDEV.S(AJ379:AJ388) / AVERAGE(AJ379:AJ388) * 100%</f>
        <v>5.0590066629374042E-3</v>
      </c>
      <c r="AM391" s="48">
        <f t="array" ref="AM391">MIN((AJ379:AJ388 - MIN(D379:D388,L379:L388,T379:T388,AB379:AB388,AJ379:AJ388))/MIN(D379:D388,L379:L388,T379:T388,AB379:AB388,AJ379:AJ388)*100%)</f>
        <v>1.260549086636035E-2</v>
      </c>
      <c r="AN391" s="48">
        <f t="array" ref="AN391">AVERAGE((AJ379:AJ388 - MIN(D379:D388,L379:L388,T379:T388,AB379:AB388,AJ379:AJ388))/MIN(D379:D388,L379:L388,T379:T388,AB379:AB388,AJ379:AJ388)*100%)</f>
        <v>1.8310009614357362E-2</v>
      </c>
      <c r="AO391" s="44"/>
      <c r="AP391" s="51"/>
    </row>
    <row r="392" spans="1:42" ht="21" customHeight="1" thickTop="1" thickBot="1" x14ac:dyDescent="0.35">
      <c r="A392" s="63"/>
      <c r="B392" s="79"/>
      <c r="C392" s="53"/>
      <c r="D392" s="44"/>
      <c r="E392" s="44"/>
      <c r="F392" s="44"/>
      <c r="G392" s="44"/>
      <c r="H392" s="44"/>
      <c r="I392" s="44"/>
      <c r="J392" s="51"/>
      <c r="K392" s="53"/>
      <c r="L392" s="44"/>
      <c r="M392" s="44"/>
      <c r="N392" s="44"/>
      <c r="O392" s="44"/>
      <c r="P392" s="44"/>
      <c r="Q392" s="44"/>
      <c r="R392" s="51"/>
      <c r="S392" s="53"/>
      <c r="T392" s="44"/>
      <c r="U392" s="44"/>
      <c r="V392" s="44"/>
      <c r="W392" s="44"/>
      <c r="X392" s="44"/>
      <c r="Y392" s="44"/>
      <c r="Z392" s="51"/>
      <c r="AA392" s="53"/>
      <c r="AB392" s="44"/>
      <c r="AC392" s="44"/>
      <c r="AD392" s="44"/>
      <c r="AE392" s="44"/>
      <c r="AF392" s="44"/>
      <c r="AG392" s="44"/>
      <c r="AH392" s="51"/>
      <c r="AI392" s="53"/>
      <c r="AJ392" s="44"/>
      <c r="AK392" s="44"/>
      <c r="AL392" s="44"/>
      <c r="AM392" s="44"/>
      <c r="AN392" s="44"/>
      <c r="AO392" s="44"/>
      <c r="AP392" s="51"/>
    </row>
    <row r="393" spans="1:42" ht="21" customHeight="1" thickTop="1" thickBot="1" x14ac:dyDescent="0.35">
      <c r="A393" s="63"/>
      <c r="B393" s="77" t="s">
        <v>52</v>
      </c>
      <c r="C393" s="59" t="s">
        <v>8</v>
      </c>
      <c r="D393" s="46" t="s">
        <v>9</v>
      </c>
      <c r="E393" s="46" t="s">
        <v>10</v>
      </c>
      <c r="F393" s="46" t="s">
        <v>11</v>
      </c>
      <c r="G393" s="46" t="s">
        <v>12</v>
      </c>
      <c r="H393" s="46" t="s">
        <v>13</v>
      </c>
      <c r="I393" s="46" t="s">
        <v>14</v>
      </c>
      <c r="J393" s="60" t="s">
        <v>15</v>
      </c>
      <c r="K393" s="59" t="s">
        <v>8</v>
      </c>
      <c r="L393" s="46" t="s">
        <v>9</v>
      </c>
      <c r="M393" s="46" t="s">
        <v>10</v>
      </c>
      <c r="N393" s="46" t="s">
        <v>11</v>
      </c>
      <c r="O393" s="46" t="s">
        <v>12</v>
      </c>
      <c r="P393" s="46" t="s">
        <v>13</v>
      </c>
      <c r="Q393" s="46" t="s">
        <v>14</v>
      </c>
      <c r="R393" s="60" t="s">
        <v>15</v>
      </c>
      <c r="S393" s="59" t="s">
        <v>8</v>
      </c>
      <c r="T393" s="46" t="s">
        <v>9</v>
      </c>
      <c r="U393" s="46" t="s">
        <v>10</v>
      </c>
      <c r="V393" s="46" t="s">
        <v>11</v>
      </c>
      <c r="W393" s="46" t="s">
        <v>12</v>
      </c>
      <c r="X393" s="46" t="s">
        <v>13</v>
      </c>
      <c r="Y393" s="46" t="s">
        <v>14</v>
      </c>
      <c r="Z393" s="60" t="s">
        <v>15</v>
      </c>
      <c r="AA393" s="59" t="s">
        <v>8</v>
      </c>
      <c r="AB393" s="46" t="s">
        <v>9</v>
      </c>
      <c r="AC393" s="46" t="s">
        <v>10</v>
      </c>
      <c r="AD393" s="46" t="s">
        <v>11</v>
      </c>
      <c r="AE393" s="46" t="s">
        <v>12</v>
      </c>
      <c r="AF393" s="46" t="s">
        <v>13</v>
      </c>
      <c r="AG393" s="46" t="s">
        <v>14</v>
      </c>
      <c r="AH393" s="60" t="s">
        <v>15</v>
      </c>
      <c r="AI393" s="59" t="s">
        <v>8</v>
      </c>
      <c r="AJ393" s="46" t="s">
        <v>9</v>
      </c>
      <c r="AK393" s="46" t="s">
        <v>10</v>
      </c>
      <c r="AL393" s="46" t="s">
        <v>11</v>
      </c>
      <c r="AM393" s="46" t="s">
        <v>12</v>
      </c>
      <c r="AN393" s="46" t="s">
        <v>13</v>
      </c>
      <c r="AO393" s="46" t="s">
        <v>14</v>
      </c>
      <c r="AP393" s="60" t="s">
        <v>15</v>
      </c>
    </row>
    <row r="394" spans="1:42" ht="21" customHeight="1" thickTop="1" thickBot="1" x14ac:dyDescent="0.35">
      <c r="A394" s="63"/>
      <c r="B394" s="78"/>
      <c r="C394" s="52">
        <v>1</v>
      </c>
      <c r="D394" s="44">
        <v>87.42</v>
      </c>
      <c r="E394" s="44"/>
      <c r="F394" s="44"/>
      <c r="G394" s="44"/>
      <c r="H394" s="44"/>
      <c r="I394" s="44"/>
      <c r="J394" s="51"/>
      <c r="K394" s="52">
        <v>1</v>
      </c>
      <c r="L394" s="44">
        <v>88.99</v>
      </c>
      <c r="M394" s="44"/>
      <c r="N394" s="44"/>
      <c r="O394" s="44"/>
      <c r="P394" s="44"/>
      <c r="Q394" s="44"/>
      <c r="R394" s="51"/>
      <c r="S394" s="52">
        <v>1</v>
      </c>
      <c r="T394" s="44">
        <v>89.52000000000001</v>
      </c>
      <c r="U394" s="44"/>
      <c r="V394" s="44"/>
      <c r="W394" s="44"/>
      <c r="X394" s="44"/>
      <c r="Y394" s="44"/>
      <c r="Z394" s="51"/>
      <c r="AA394" s="52">
        <v>1</v>
      </c>
      <c r="AB394" s="44">
        <v>92.03</v>
      </c>
      <c r="AC394" s="44"/>
      <c r="AD394" s="44"/>
      <c r="AE394" s="44"/>
      <c r="AF394" s="44"/>
      <c r="AG394" s="44"/>
      <c r="AH394" s="51"/>
      <c r="AI394" s="52">
        <v>1</v>
      </c>
      <c r="AJ394" s="44">
        <v>89.12</v>
      </c>
      <c r="AK394" s="44"/>
      <c r="AL394" s="44"/>
      <c r="AM394" s="44"/>
      <c r="AN394" s="44"/>
      <c r="AO394" s="44"/>
      <c r="AP394" s="51"/>
    </row>
    <row r="395" spans="1:42" ht="21" customHeight="1" thickTop="1" thickBot="1" x14ac:dyDescent="0.35">
      <c r="A395" s="63"/>
      <c r="B395" s="78"/>
      <c r="C395" s="53">
        <v>2</v>
      </c>
      <c r="D395" s="45">
        <v>88.42</v>
      </c>
      <c r="E395" s="45"/>
      <c r="F395" s="45"/>
      <c r="G395" s="45"/>
      <c r="H395" s="45"/>
      <c r="I395" s="45"/>
      <c r="J395" s="51"/>
      <c r="K395" s="53">
        <v>2</v>
      </c>
      <c r="L395" s="45">
        <v>89.860000000000014</v>
      </c>
      <c r="M395" s="45"/>
      <c r="N395" s="45"/>
      <c r="O395" s="45"/>
      <c r="P395" s="45"/>
      <c r="Q395" s="45"/>
      <c r="R395" s="51"/>
      <c r="S395" s="53">
        <v>2</v>
      </c>
      <c r="T395" s="45">
        <v>89.46</v>
      </c>
      <c r="U395" s="45"/>
      <c r="V395" s="45"/>
      <c r="W395" s="45"/>
      <c r="X395" s="45"/>
      <c r="Y395" s="45"/>
      <c r="Z395" s="51"/>
      <c r="AA395" s="53">
        <v>2</v>
      </c>
      <c r="AB395" s="45">
        <v>89.460000000000008</v>
      </c>
      <c r="AC395" s="45"/>
      <c r="AD395" s="45"/>
      <c r="AE395" s="45"/>
      <c r="AF395" s="45"/>
      <c r="AG395" s="45"/>
      <c r="AH395" s="51"/>
      <c r="AI395" s="53">
        <v>2</v>
      </c>
      <c r="AJ395" s="45">
        <v>88.73</v>
      </c>
      <c r="AK395" s="45"/>
      <c r="AL395" s="45"/>
      <c r="AM395" s="45"/>
      <c r="AN395" s="45"/>
      <c r="AO395" s="45"/>
      <c r="AP395" s="51"/>
    </row>
    <row r="396" spans="1:42" ht="21" customHeight="1" thickTop="1" thickBot="1" x14ac:dyDescent="0.35">
      <c r="A396" s="63"/>
      <c r="B396" s="78"/>
      <c r="C396" s="53">
        <v>3</v>
      </c>
      <c r="D396" s="45">
        <v>89.56</v>
      </c>
      <c r="E396" s="45"/>
      <c r="F396" s="45"/>
      <c r="G396" s="44"/>
      <c r="H396" s="44"/>
      <c r="I396" s="44"/>
      <c r="J396" s="51"/>
      <c r="K396" s="53">
        <v>3</v>
      </c>
      <c r="L396" s="45">
        <v>89.27000000000001</v>
      </c>
      <c r="M396" s="45"/>
      <c r="N396" s="45"/>
      <c r="O396" s="44"/>
      <c r="P396" s="44"/>
      <c r="Q396" s="44"/>
      <c r="R396" s="51"/>
      <c r="S396" s="53">
        <v>3</v>
      </c>
      <c r="T396" s="45">
        <v>91.34</v>
      </c>
      <c r="U396" s="45"/>
      <c r="V396" s="45"/>
      <c r="W396" s="44"/>
      <c r="X396" s="44"/>
      <c r="Y396" s="44"/>
      <c r="Z396" s="51"/>
      <c r="AA396" s="53">
        <v>3</v>
      </c>
      <c r="AB396" s="45">
        <v>90.220000000000013</v>
      </c>
      <c r="AC396" s="45"/>
      <c r="AD396" s="45"/>
      <c r="AE396" s="44"/>
      <c r="AF396" s="44"/>
      <c r="AG396" s="44"/>
      <c r="AH396" s="51"/>
      <c r="AI396" s="53">
        <v>3</v>
      </c>
      <c r="AJ396" s="45">
        <v>89.56</v>
      </c>
      <c r="AK396" s="45"/>
      <c r="AL396" s="45"/>
      <c r="AM396" s="44"/>
      <c r="AN396" s="44"/>
      <c r="AO396" s="44"/>
      <c r="AP396" s="51"/>
    </row>
    <row r="397" spans="1:42" ht="21" customHeight="1" thickTop="1" thickBot="1" x14ac:dyDescent="0.35">
      <c r="A397" s="63"/>
      <c r="B397" s="78"/>
      <c r="C397" s="53">
        <v>4</v>
      </c>
      <c r="D397" s="45">
        <v>88.800000000000011</v>
      </c>
      <c r="E397" s="45"/>
      <c r="F397" s="45"/>
      <c r="G397" s="45"/>
      <c r="H397" s="45"/>
      <c r="I397" s="45"/>
      <c r="J397" s="51"/>
      <c r="K397" s="53">
        <v>4</v>
      </c>
      <c r="L397" s="45">
        <v>89.460000000000008</v>
      </c>
      <c r="M397" s="45"/>
      <c r="N397" s="45"/>
      <c r="O397" s="45"/>
      <c r="P397" s="45"/>
      <c r="Q397" s="45"/>
      <c r="R397" s="51"/>
      <c r="S397" s="53">
        <v>4</v>
      </c>
      <c r="T397" s="45">
        <v>89.62</v>
      </c>
      <c r="U397" s="45"/>
      <c r="V397" s="45"/>
      <c r="W397" s="45"/>
      <c r="X397" s="45"/>
      <c r="Y397" s="45"/>
      <c r="Z397" s="51"/>
      <c r="AA397" s="53">
        <v>4</v>
      </c>
      <c r="AB397" s="45">
        <v>91.510000000000019</v>
      </c>
      <c r="AC397" s="45"/>
      <c r="AD397" s="45"/>
      <c r="AE397" s="45"/>
      <c r="AF397" s="45"/>
      <c r="AG397" s="45"/>
      <c r="AH397" s="51"/>
      <c r="AI397" s="53">
        <v>4</v>
      </c>
      <c r="AJ397" s="45">
        <v>89.56</v>
      </c>
      <c r="AK397" s="45"/>
      <c r="AL397" s="45"/>
      <c r="AM397" s="45"/>
      <c r="AN397" s="45"/>
      <c r="AO397" s="45"/>
      <c r="AP397" s="51"/>
    </row>
    <row r="398" spans="1:42" ht="21" customHeight="1" thickTop="1" thickBot="1" x14ac:dyDescent="0.35">
      <c r="A398" s="63"/>
      <c r="B398" s="78"/>
      <c r="C398" s="53">
        <v>5</v>
      </c>
      <c r="D398" s="45">
        <v>88.47</v>
      </c>
      <c r="E398" s="45"/>
      <c r="F398" s="45"/>
      <c r="G398" s="45"/>
      <c r="H398" s="45"/>
      <c r="I398" s="45"/>
      <c r="J398" s="51"/>
      <c r="K398" s="53">
        <v>5</v>
      </c>
      <c r="L398" s="45">
        <v>89.56</v>
      </c>
      <c r="M398" s="45"/>
      <c r="N398" s="45"/>
      <c r="O398" s="45"/>
      <c r="P398" s="45"/>
      <c r="Q398" s="45"/>
      <c r="R398" s="51"/>
      <c r="S398" s="53">
        <v>5</v>
      </c>
      <c r="T398" s="45">
        <v>89.48</v>
      </c>
      <c r="U398" s="45"/>
      <c r="V398" s="45"/>
      <c r="W398" s="45"/>
      <c r="X398" s="45"/>
      <c r="Y398" s="45"/>
      <c r="Z398" s="51"/>
      <c r="AA398" s="53">
        <v>5</v>
      </c>
      <c r="AB398" s="45">
        <v>89.490000000000009</v>
      </c>
      <c r="AC398" s="45"/>
      <c r="AD398" s="45"/>
      <c r="AE398" s="45"/>
      <c r="AF398" s="45"/>
      <c r="AG398" s="45"/>
      <c r="AH398" s="51"/>
      <c r="AI398" s="53">
        <v>5</v>
      </c>
      <c r="AJ398" s="45">
        <v>88.690000000000012</v>
      </c>
      <c r="AK398" s="45"/>
      <c r="AL398" s="45"/>
      <c r="AM398" s="45"/>
      <c r="AN398" s="45"/>
      <c r="AO398" s="45"/>
      <c r="AP398" s="51"/>
    </row>
    <row r="399" spans="1:42" ht="21" customHeight="1" thickTop="1" thickBot="1" x14ac:dyDescent="0.35">
      <c r="A399" s="63"/>
      <c r="B399" s="78"/>
      <c r="C399" s="53">
        <v>6</v>
      </c>
      <c r="D399" s="45">
        <v>89.48</v>
      </c>
      <c r="E399" s="45"/>
      <c r="F399" s="45"/>
      <c r="G399" s="45"/>
      <c r="H399" s="45"/>
      <c r="I399" s="45"/>
      <c r="J399" s="51"/>
      <c r="K399" s="53">
        <v>6</v>
      </c>
      <c r="L399" s="45">
        <v>90.42</v>
      </c>
      <c r="M399" s="45"/>
      <c r="N399" s="45"/>
      <c r="O399" s="45"/>
      <c r="P399" s="45"/>
      <c r="Q399" s="45"/>
      <c r="R399" s="51"/>
      <c r="S399" s="53">
        <v>6</v>
      </c>
      <c r="T399" s="45">
        <v>91.26</v>
      </c>
      <c r="U399" s="45"/>
      <c r="V399" s="45"/>
      <c r="W399" s="45"/>
      <c r="X399" s="45"/>
      <c r="Y399" s="45"/>
      <c r="Z399" s="51"/>
      <c r="AA399" s="53">
        <v>6</v>
      </c>
      <c r="AB399" s="45">
        <v>89.700000000000017</v>
      </c>
      <c r="AC399" s="45"/>
      <c r="AD399" s="45"/>
      <c r="AE399" s="45"/>
      <c r="AF399" s="45"/>
      <c r="AG399" s="45"/>
      <c r="AH399" s="51"/>
      <c r="AI399" s="53">
        <v>6</v>
      </c>
      <c r="AJ399" s="45">
        <v>89.68</v>
      </c>
      <c r="AK399" s="45"/>
      <c r="AL399" s="45"/>
      <c r="AM399" s="45"/>
      <c r="AN399" s="45"/>
      <c r="AO399" s="45"/>
      <c r="AP399" s="51"/>
    </row>
    <row r="400" spans="1:42" ht="21" customHeight="1" thickTop="1" thickBot="1" x14ac:dyDescent="0.35">
      <c r="A400" s="63"/>
      <c r="B400" s="78"/>
      <c r="C400" s="53">
        <v>7</v>
      </c>
      <c r="D400" s="45">
        <v>89.44</v>
      </c>
      <c r="E400" s="45"/>
      <c r="F400" s="45"/>
      <c r="G400" s="45"/>
      <c r="H400" s="45"/>
      <c r="I400" s="45"/>
      <c r="J400" s="51"/>
      <c r="K400" s="53">
        <v>7</v>
      </c>
      <c r="L400" s="45">
        <v>89.320000000000007</v>
      </c>
      <c r="M400" s="45"/>
      <c r="N400" s="45"/>
      <c r="O400" s="45"/>
      <c r="P400" s="45"/>
      <c r="Q400" s="45"/>
      <c r="R400" s="51"/>
      <c r="S400" s="53">
        <v>7</v>
      </c>
      <c r="T400" s="45">
        <v>89.88000000000001</v>
      </c>
      <c r="U400" s="45"/>
      <c r="V400" s="45"/>
      <c r="W400" s="45"/>
      <c r="X400" s="45"/>
      <c r="Y400" s="45"/>
      <c r="Z400" s="51"/>
      <c r="AA400" s="53">
        <v>7</v>
      </c>
      <c r="AB400" s="45">
        <v>89.700000000000017</v>
      </c>
      <c r="AC400" s="45"/>
      <c r="AD400" s="45"/>
      <c r="AE400" s="45"/>
      <c r="AF400" s="45"/>
      <c r="AG400" s="45"/>
      <c r="AH400" s="51"/>
      <c r="AI400" s="53">
        <v>7</v>
      </c>
      <c r="AJ400" s="45">
        <v>88.800000000000011</v>
      </c>
      <c r="AK400" s="45"/>
      <c r="AL400" s="45"/>
      <c r="AM400" s="45"/>
      <c r="AN400" s="45"/>
      <c r="AO400" s="45"/>
      <c r="AP400" s="51"/>
    </row>
    <row r="401" spans="1:42" ht="21" customHeight="1" thickTop="1" thickBot="1" x14ac:dyDescent="0.35">
      <c r="A401" s="63"/>
      <c r="B401" s="78"/>
      <c r="C401" s="53">
        <v>8</v>
      </c>
      <c r="D401" s="45">
        <v>89.33</v>
      </c>
      <c r="E401" s="45"/>
      <c r="F401" s="45"/>
      <c r="G401" s="45"/>
      <c r="H401" s="45"/>
      <c r="I401" s="45"/>
      <c r="J401" s="51"/>
      <c r="K401" s="53">
        <v>8</v>
      </c>
      <c r="L401" s="45">
        <v>89.87</v>
      </c>
      <c r="M401" s="45"/>
      <c r="N401" s="45"/>
      <c r="O401" s="45"/>
      <c r="P401" s="45"/>
      <c r="Q401" s="45"/>
      <c r="R401" s="51"/>
      <c r="S401" s="53">
        <v>8</v>
      </c>
      <c r="T401" s="45">
        <v>89.830000000000013</v>
      </c>
      <c r="U401" s="45"/>
      <c r="V401" s="45"/>
      <c r="W401" s="45"/>
      <c r="X401" s="45"/>
      <c r="Y401" s="45"/>
      <c r="Z401" s="51"/>
      <c r="AA401" s="53">
        <v>8</v>
      </c>
      <c r="AB401" s="45">
        <v>89.490000000000009</v>
      </c>
      <c r="AC401" s="45"/>
      <c r="AD401" s="45"/>
      <c r="AE401" s="45"/>
      <c r="AF401" s="45"/>
      <c r="AG401" s="45"/>
      <c r="AH401" s="51"/>
      <c r="AI401" s="53">
        <v>8</v>
      </c>
      <c r="AJ401" s="45">
        <v>89.87</v>
      </c>
      <c r="AK401" s="45"/>
      <c r="AL401" s="45"/>
      <c r="AM401" s="45"/>
      <c r="AN401" s="45"/>
      <c r="AO401" s="45"/>
      <c r="AP401" s="51"/>
    </row>
    <row r="402" spans="1:42" ht="21" customHeight="1" thickTop="1" thickBot="1" x14ac:dyDescent="0.35">
      <c r="A402" s="63"/>
      <c r="B402" s="78"/>
      <c r="C402" s="53">
        <v>9</v>
      </c>
      <c r="D402" s="45">
        <v>87.350000000000009</v>
      </c>
      <c r="E402" s="45"/>
      <c r="F402" s="45"/>
      <c r="G402" s="45"/>
      <c r="H402" s="45"/>
      <c r="I402" s="45"/>
      <c r="J402" s="51"/>
      <c r="K402" s="53">
        <v>9</v>
      </c>
      <c r="L402" s="45">
        <v>88.31</v>
      </c>
      <c r="M402" s="45"/>
      <c r="N402" s="45"/>
      <c r="O402" s="45"/>
      <c r="P402" s="45"/>
      <c r="Q402" s="45"/>
      <c r="R402" s="51"/>
      <c r="S402" s="53">
        <v>9</v>
      </c>
      <c r="T402" s="45">
        <v>89.56</v>
      </c>
      <c r="U402" s="45"/>
      <c r="V402" s="45"/>
      <c r="W402" s="45"/>
      <c r="X402" s="45"/>
      <c r="Y402" s="45"/>
      <c r="Z402" s="51"/>
      <c r="AA402" s="53">
        <v>9</v>
      </c>
      <c r="AB402" s="45">
        <v>91.860000000000014</v>
      </c>
      <c r="AC402" s="45"/>
      <c r="AD402" s="45"/>
      <c r="AE402" s="45"/>
      <c r="AF402" s="45"/>
      <c r="AG402" s="45"/>
      <c r="AH402" s="51"/>
      <c r="AI402" s="53">
        <v>9</v>
      </c>
      <c r="AJ402" s="45">
        <v>89.39</v>
      </c>
      <c r="AK402" s="45"/>
      <c r="AL402" s="45"/>
      <c r="AM402" s="45"/>
      <c r="AN402" s="45"/>
      <c r="AO402" s="45"/>
      <c r="AP402" s="51"/>
    </row>
    <row r="403" spans="1:42" ht="21" customHeight="1" thickTop="1" thickBot="1" x14ac:dyDescent="0.35">
      <c r="A403" s="63"/>
      <c r="B403" s="78"/>
      <c r="C403" s="53">
        <v>10</v>
      </c>
      <c r="D403" s="45">
        <v>89.190000000000012</v>
      </c>
      <c r="E403" s="45"/>
      <c r="F403" s="45"/>
      <c r="G403" s="45"/>
      <c r="H403" s="45"/>
      <c r="I403" s="45"/>
      <c r="J403" s="51"/>
      <c r="K403" s="53">
        <v>10</v>
      </c>
      <c r="L403" s="45">
        <v>88.47</v>
      </c>
      <c r="M403" s="45"/>
      <c r="N403" s="45"/>
      <c r="O403" s="45"/>
      <c r="P403" s="45"/>
      <c r="Q403" s="45"/>
      <c r="R403" s="51"/>
      <c r="S403" s="53">
        <v>10</v>
      </c>
      <c r="T403" s="45">
        <v>89.23</v>
      </c>
      <c r="U403" s="45"/>
      <c r="V403" s="45"/>
      <c r="W403" s="45"/>
      <c r="X403" s="45"/>
      <c r="Y403" s="45"/>
      <c r="Z403" s="51"/>
      <c r="AA403" s="53">
        <v>10</v>
      </c>
      <c r="AB403" s="45">
        <v>89.490000000000009</v>
      </c>
      <c r="AC403" s="45"/>
      <c r="AD403" s="45"/>
      <c r="AE403" s="45"/>
      <c r="AF403" s="45"/>
      <c r="AG403" s="45"/>
      <c r="AH403" s="51"/>
      <c r="AI403" s="53">
        <v>10</v>
      </c>
      <c r="AJ403" s="45">
        <v>89.7</v>
      </c>
      <c r="AK403" s="45"/>
      <c r="AL403" s="45"/>
      <c r="AM403" s="45"/>
      <c r="AN403" s="45"/>
      <c r="AO403" s="45"/>
      <c r="AP403" s="51"/>
    </row>
    <row r="404" spans="1:42" ht="21" customHeight="1" thickTop="1" thickBot="1" x14ac:dyDescent="0.35">
      <c r="A404" s="63"/>
      <c r="B404" s="78"/>
      <c r="C404" s="53"/>
      <c r="D404" s="45"/>
      <c r="E404" s="45"/>
      <c r="F404" s="45"/>
      <c r="G404" s="45"/>
      <c r="H404" s="45"/>
      <c r="I404" s="45"/>
      <c r="J404" s="51"/>
      <c r="K404" s="53"/>
      <c r="L404" s="45"/>
      <c r="M404" s="45"/>
      <c r="N404" s="45"/>
      <c r="O404" s="45"/>
      <c r="P404" s="45"/>
      <c r="Q404" s="45"/>
      <c r="R404" s="51"/>
      <c r="S404" s="53"/>
      <c r="T404" s="45"/>
      <c r="U404" s="45"/>
      <c r="V404" s="45"/>
      <c r="W404" s="45"/>
      <c r="X404" s="45"/>
      <c r="Y404" s="45"/>
      <c r="Z404" s="51"/>
      <c r="AA404" s="53"/>
      <c r="AB404" s="45"/>
      <c r="AC404" s="45"/>
      <c r="AD404" s="45"/>
      <c r="AE404" s="45"/>
      <c r="AF404" s="45"/>
      <c r="AG404" s="45"/>
      <c r="AH404" s="51"/>
      <c r="AI404" s="53"/>
      <c r="AJ404" s="45"/>
      <c r="AK404" s="45"/>
      <c r="AL404" s="45"/>
      <c r="AM404" s="45"/>
      <c r="AN404" s="45"/>
      <c r="AO404" s="45"/>
      <c r="AP404" s="51"/>
    </row>
    <row r="405" spans="1:42" ht="41" customHeight="1" thickTop="1" thickBot="1" x14ac:dyDescent="0.35">
      <c r="A405" s="63"/>
      <c r="B405" s="78"/>
      <c r="C405" s="54" t="s">
        <v>16</v>
      </c>
      <c r="D405" s="49">
        <f>MIN(D394:D403)</f>
        <v>87.350000000000009</v>
      </c>
      <c r="E405" s="45"/>
      <c r="F405" s="55" t="s">
        <v>17</v>
      </c>
      <c r="G405" s="49" t="s">
        <v>18</v>
      </c>
      <c r="H405" s="49" t="s">
        <v>19</v>
      </c>
      <c r="I405" s="45"/>
      <c r="J405" s="51"/>
      <c r="K405" s="54" t="s">
        <v>16</v>
      </c>
      <c r="L405" s="49">
        <f>MIN(L394:L403)</f>
        <v>88.31</v>
      </c>
      <c r="M405" s="45"/>
      <c r="N405" s="55" t="s">
        <v>17</v>
      </c>
      <c r="O405" s="49" t="s">
        <v>18</v>
      </c>
      <c r="P405" s="49" t="s">
        <v>19</v>
      </c>
      <c r="Q405" s="45"/>
      <c r="R405" s="51"/>
      <c r="S405" s="54" t="s">
        <v>16</v>
      </c>
      <c r="T405" s="49">
        <f>MIN(T394:T403)</f>
        <v>89.23</v>
      </c>
      <c r="U405" s="45"/>
      <c r="V405" s="55" t="s">
        <v>17</v>
      </c>
      <c r="W405" s="49" t="s">
        <v>18</v>
      </c>
      <c r="X405" s="49" t="s">
        <v>19</v>
      </c>
      <c r="Y405" s="45"/>
      <c r="Z405" s="51"/>
      <c r="AA405" s="54" t="s">
        <v>16</v>
      </c>
      <c r="AB405" s="49">
        <f>MIN(AB394:AB403)</f>
        <v>89.460000000000008</v>
      </c>
      <c r="AC405" s="45"/>
      <c r="AD405" s="55" t="s">
        <v>17</v>
      </c>
      <c r="AE405" s="49" t="s">
        <v>18</v>
      </c>
      <c r="AF405" s="49" t="s">
        <v>19</v>
      </c>
      <c r="AG405" s="45"/>
      <c r="AH405" s="51"/>
      <c r="AI405" s="54" t="s">
        <v>16</v>
      </c>
      <c r="AJ405" s="49">
        <f>MIN(AJ394:AJ403)</f>
        <v>88.690000000000012</v>
      </c>
      <c r="AK405" s="45"/>
      <c r="AL405" s="55" t="s">
        <v>17</v>
      </c>
      <c r="AM405" s="49" t="s">
        <v>18</v>
      </c>
      <c r="AN405" s="49" t="s">
        <v>19</v>
      </c>
      <c r="AO405" s="45"/>
      <c r="AP405" s="51"/>
    </row>
    <row r="406" spans="1:42" ht="21" customHeight="1" thickTop="1" thickBot="1" x14ac:dyDescent="0.35">
      <c r="A406" s="63"/>
      <c r="B406" s="78"/>
      <c r="C406" s="54" t="s">
        <v>20</v>
      </c>
      <c r="D406" s="48">
        <f>AVERAGE(D394:D403)</f>
        <v>88.746000000000009</v>
      </c>
      <c r="E406" s="47"/>
      <c r="F406" s="48">
        <f>_xlfn.STDEV.S(D394:D403) / AVERAGE(D394:D403) * 100%</f>
        <v>9.2870950143188209E-3</v>
      </c>
      <c r="G406" s="48">
        <f t="array" ref="G406">MIN((D394:D403 - MIN(D394:D403,L394:L403,T394:T403,AB394:AB403,AJ394:AJ403))/MIN(D394:D403,L394:L403,T394:T403,AB394:AB403,AJ394:AJ403)*100%)</f>
        <v>0</v>
      </c>
      <c r="H406" s="48">
        <f t="array" ref="H406">AVERAGE((D394:D403 - MIN(D394:D403,L394:L403,T394:T403,AB394:AB403,AJ394:AJ403))/MIN(D394:D403,L394:L403,T394:T403,AB394:AB403,AJ394:AJ403)*100%)</f>
        <v>1.5981682884945565E-2</v>
      </c>
      <c r="I406" s="45"/>
      <c r="J406" s="51"/>
      <c r="K406" s="54" t="s">
        <v>20</v>
      </c>
      <c r="L406" s="48">
        <f>AVERAGE(L394:L403)</f>
        <v>89.353000000000023</v>
      </c>
      <c r="M406" s="47"/>
      <c r="N406" s="48">
        <f>_xlfn.STDEV.S(L394:L403) / AVERAGE(L394:L403) * 100%</f>
        <v>7.1994339038040202E-3</v>
      </c>
      <c r="O406" s="48">
        <f t="array" ref="O406">MIN((L394:L403 - MIN(D394:D403,L394:L403,T394:T403,AB394:AB403,AJ394:AJ403))/MIN(D394:D403,L394:L403,T394:T403,AB394:AB403,AJ394:AJ403)*100%)</f>
        <v>1.0990269032627288E-2</v>
      </c>
      <c r="P406" s="48">
        <f t="array" ref="P406">AVERAGE((L394:L403 - MIN(D394:D403,L394:L403,T394:T403,AB394:AB403,AJ394:AJ403))/MIN(D394:D403,L394:L403,T394:T403,AB394:AB403,AJ394:AJ403)*100%)</f>
        <v>2.2930738408700583E-2</v>
      </c>
      <c r="Q406" s="44"/>
      <c r="R406" s="51"/>
      <c r="S406" s="54" t="s">
        <v>20</v>
      </c>
      <c r="T406" s="48">
        <f>AVERAGE(T394:T403)</f>
        <v>89.918000000000006</v>
      </c>
      <c r="U406" s="47"/>
      <c r="V406" s="48">
        <f>_xlfn.STDEV.S(T394:T403) / AVERAGE(T394:T403) * 100%</f>
        <v>8.3574418564821753E-3</v>
      </c>
      <c r="W406" s="48">
        <f t="array" ref="W406">MIN((T394:T403 - MIN(D394:D403,L394:L403,T394:T403,AB394:AB403,AJ394:AJ403))/MIN(D394:D403,L394:L403,T394:T403,AB394:AB403,AJ394:AJ403)*100%)</f>
        <v>2.1522610188895196E-2</v>
      </c>
      <c r="X406" s="48">
        <f t="array" ref="X406">AVERAGE((T394:T403 - MIN(D394:D403,L394:L403,T394:T403,AB394:AB403,AJ394:AJ403))/MIN(D394:D403,L394:L403,T394:T403,AB394:AB403,AJ394:AJ403)*100%)</f>
        <v>2.9398969662278146E-2</v>
      </c>
      <c r="Y406" s="44"/>
      <c r="Z406" s="51"/>
      <c r="AA406" s="54" t="s">
        <v>20</v>
      </c>
      <c r="AB406" s="48">
        <f>AVERAGE(AB394:AB403)</f>
        <v>90.295000000000016</v>
      </c>
      <c r="AC406" s="47"/>
      <c r="AD406" s="48">
        <f>_xlfn.STDEV.S(AB394:AB403) / AVERAGE(AB394:AB403) * 100%</f>
        <v>1.184231057577274E-2</v>
      </c>
      <c r="AE406" s="48">
        <f t="array" ref="AE406">MIN((AB394:AB403 - MIN(D394:D403,L394:L403,T394:T403,AB394:AB403,AJ394:AJ403))/MIN(D394:D403,L394:L403,T394:T403,AB394:AB403,AJ394:AJ403)*100%)</f>
        <v>2.4155695477962213E-2</v>
      </c>
      <c r="AF406" s="48">
        <f t="array" ref="AF406">AVERAGE((AB394:AB403 - MIN(D394:D403,L394:L403,T394:T403,AB394:AB403,AJ394:AJ403))/MIN(D394:D403,L394:L403,T394:T403,AB394:AB403,AJ394:AJ403)*100%)</f>
        <v>3.3714939896966258E-2</v>
      </c>
      <c r="AG406" s="44"/>
      <c r="AH406" s="51"/>
      <c r="AI406" s="54" t="s">
        <v>20</v>
      </c>
      <c r="AJ406" s="48">
        <f>AVERAGE(AJ394:AJ403)</f>
        <v>89.310000000000016</v>
      </c>
      <c r="AK406" s="47"/>
      <c r="AL406" s="48">
        <f>_xlfn.STDEV.S(AJ394:AJ403) / AVERAGE(AJ394:AJ403) * 100%</f>
        <v>4.9388032920008752E-3</v>
      </c>
      <c r="AM406" s="48">
        <f t="array" ref="AM406">MIN((AJ394:AJ403 - MIN(D394:D403,L394:L403,T394:T403,AB394:AB403,AJ394:AJ403))/MIN(D394:D403,L394:L403,T394:T403,AB394:AB403,AJ394:AJ403)*100%)</f>
        <v>1.5340583858042395E-2</v>
      </c>
      <c r="AN406" s="48">
        <f t="array" ref="AN406">AVERAGE((AJ394:AJ403 - MIN(D394:D403,L394:L403,T394:T403,AB394:AB403,AJ394:AJ403))/MIN(D394:D403,L394:L403,T394:T403,AB394:AB403,AJ394:AJ403)*100%)</f>
        <v>2.2438465941614152E-2</v>
      </c>
      <c r="AO406" s="44"/>
      <c r="AP406" s="51"/>
    </row>
    <row r="407" spans="1:42" ht="21" customHeight="1" thickTop="1" thickBot="1" x14ac:dyDescent="0.35">
      <c r="A407" s="63"/>
      <c r="B407" s="79"/>
      <c r="C407" s="53"/>
      <c r="D407" s="44"/>
      <c r="E407" s="44"/>
      <c r="F407" s="44"/>
      <c r="G407" s="44"/>
      <c r="H407" s="44"/>
      <c r="I407" s="44"/>
      <c r="J407" s="51"/>
      <c r="K407" s="53"/>
      <c r="L407" s="44"/>
      <c r="M407" s="44"/>
      <c r="N407" s="44"/>
      <c r="O407" s="44"/>
      <c r="P407" s="44"/>
      <c r="Q407" s="44"/>
      <c r="R407" s="51"/>
      <c r="S407" s="53"/>
      <c r="T407" s="44"/>
      <c r="U407" s="44"/>
      <c r="V407" s="44"/>
      <c r="W407" s="44"/>
      <c r="X407" s="44"/>
      <c r="Y407" s="44"/>
      <c r="Z407" s="51"/>
      <c r="AA407" s="53"/>
      <c r="AB407" s="44"/>
      <c r="AC407" s="44"/>
      <c r="AD407" s="44"/>
      <c r="AE407" s="44"/>
      <c r="AF407" s="44"/>
      <c r="AG407" s="44"/>
      <c r="AH407" s="51"/>
      <c r="AI407" s="53"/>
      <c r="AJ407" s="44"/>
      <c r="AK407" s="44"/>
      <c r="AL407" s="44"/>
      <c r="AM407" s="44"/>
      <c r="AN407" s="44"/>
      <c r="AO407" s="44"/>
      <c r="AP407" s="51"/>
    </row>
    <row r="408" spans="1:42" ht="21" customHeight="1" thickTop="1" thickBot="1" x14ac:dyDescent="0.35">
      <c r="A408" s="63"/>
      <c r="B408" s="77" t="s">
        <v>53</v>
      </c>
      <c r="C408" s="59" t="s">
        <v>8</v>
      </c>
      <c r="D408" s="46" t="s">
        <v>9</v>
      </c>
      <c r="E408" s="46" t="s">
        <v>10</v>
      </c>
      <c r="F408" s="46" t="s">
        <v>11</v>
      </c>
      <c r="G408" s="46" t="s">
        <v>12</v>
      </c>
      <c r="H408" s="46" t="s">
        <v>13</v>
      </c>
      <c r="I408" s="46" t="s">
        <v>14</v>
      </c>
      <c r="J408" s="60" t="s">
        <v>15</v>
      </c>
      <c r="K408" s="59" t="s">
        <v>8</v>
      </c>
      <c r="L408" s="46" t="s">
        <v>9</v>
      </c>
      <c r="M408" s="46" t="s">
        <v>10</v>
      </c>
      <c r="N408" s="46" t="s">
        <v>11</v>
      </c>
      <c r="O408" s="46" t="s">
        <v>12</v>
      </c>
      <c r="P408" s="46" t="s">
        <v>13</v>
      </c>
      <c r="Q408" s="46" t="s">
        <v>14</v>
      </c>
      <c r="R408" s="60" t="s">
        <v>15</v>
      </c>
      <c r="S408" s="59" t="s">
        <v>8</v>
      </c>
      <c r="T408" s="46" t="s">
        <v>9</v>
      </c>
      <c r="U408" s="46" t="s">
        <v>10</v>
      </c>
      <c r="V408" s="46" t="s">
        <v>11</v>
      </c>
      <c r="W408" s="46" t="s">
        <v>12</v>
      </c>
      <c r="X408" s="46" t="s">
        <v>13</v>
      </c>
      <c r="Y408" s="46" t="s">
        <v>14</v>
      </c>
      <c r="Z408" s="60" t="s">
        <v>15</v>
      </c>
      <c r="AA408" s="59" t="s">
        <v>8</v>
      </c>
      <c r="AB408" s="46" t="s">
        <v>9</v>
      </c>
      <c r="AC408" s="46" t="s">
        <v>10</v>
      </c>
      <c r="AD408" s="46" t="s">
        <v>11</v>
      </c>
      <c r="AE408" s="46" t="s">
        <v>12</v>
      </c>
      <c r="AF408" s="46" t="s">
        <v>13</v>
      </c>
      <c r="AG408" s="46" t="s">
        <v>14</v>
      </c>
      <c r="AH408" s="60" t="s">
        <v>15</v>
      </c>
      <c r="AI408" s="59" t="s">
        <v>8</v>
      </c>
      <c r="AJ408" s="46" t="s">
        <v>9</v>
      </c>
      <c r="AK408" s="46" t="s">
        <v>10</v>
      </c>
      <c r="AL408" s="46" t="s">
        <v>11</v>
      </c>
      <c r="AM408" s="46" t="s">
        <v>12</v>
      </c>
      <c r="AN408" s="46" t="s">
        <v>13</v>
      </c>
      <c r="AO408" s="46" t="s">
        <v>14</v>
      </c>
      <c r="AP408" s="60" t="s">
        <v>15</v>
      </c>
    </row>
    <row r="409" spans="1:42" ht="21" customHeight="1" thickTop="1" thickBot="1" x14ac:dyDescent="0.35">
      <c r="A409" s="63"/>
      <c r="B409" s="78"/>
      <c r="C409" s="52">
        <v>1</v>
      </c>
      <c r="D409" s="44">
        <v>118.12</v>
      </c>
      <c r="E409" s="44"/>
      <c r="F409" s="44"/>
      <c r="G409" s="44"/>
      <c r="H409" s="44"/>
      <c r="I409" s="44"/>
      <c r="J409" s="51"/>
      <c r="K409" s="52">
        <v>1</v>
      </c>
      <c r="L409" s="44">
        <v>119.33</v>
      </c>
      <c r="M409" s="44"/>
      <c r="N409" s="44"/>
      <c r="O409" s="44"/>
      <c r="P409" s="44"/>
      <c r="Q409" s="44"/>
      <c r="R409" s="51"/>
      <c r="S409" s="52">
        <v>1</v>
      </c>
      <c r="T409" s="44">
        <v>122.53</v>
      </c>
      <c r="U409" s="44"/>
      <c r="V409" s="44"/>
      <c r="W409" s="44"/>
      <c r="X409" s="44"/>
      <c r="Y409" s="44"/>
      <c r="Z409" s="51"/>
      <c r="AA409" s="52">
        <v>1</v>
      </c>
      <c r="AB409" s="44">
        <v>119.71</v>
      </c>
      <c r="AC409" s="44"/>
      <c r="AD409" s="44"/>
      <c r="AE409" s="44"/>
      <c r="AF409" s="44"/>
      <c r="AG409" s="44"/>
      <c r="AH409" s="51"/>
      <c r="AI409" s="52">
        <v>1</v>
      </c>
      <c r="AJ409" s="44">
        <v>120.98</v>
      </c>
      <c r="AK409" s="44"/>
      <c r="AL409" s="44"/>
      <c r="AM409" s="44"/>
      <c r="AN409" s="44"/>
      <c r="AO409" s="44"/>
      <c r="AP409" s="51"/>
    </row>
    <row r="410" spans="1:42" ht="21" customHeight="1" thickTop="1" thickBot="1" x14ac:dyDescent="0.35">
      <c r="A410" s="63"/>
      <c r="B410" s="78"/>
      <c r="C410" s="53">
        <v>2</v>
      </c>
      <c r="D410" s="45">
        <v>118.12</v>
      </c>
      <c r="E410" s="45"/>
      <c r="F410" s="45"/>
      <c r="G410" s="45"/>
      <c r="H410" s="45"/>
      <c r="I410" s="45"/>
      <c r="J410" s="51"/>
      <c r="K410" s="53">
        <v>2</v>
      </c>
      <c r="L410" s="45">
        <v>119.16</v>
      </c>
      <c r="M410" s="45"/>
      <c r="N410" s="45"/>
      <c r="O410" s="45"/>
      <c r="P410" s="45"/>
      <c r="Q410" s="45"/>
      <c r="R410" s="51"/>
      <c r="S410" s="53">
        <v>2</v>
      </c>
      <c r="T410" s="45">
        <v>121.17</v>
      </c>
      <c r="U410" s="45"/>
      <c r="V410" s="45"/>
      <c r="W410" s="45"/>
      <c r="X410" s="45"/>
      <c r="Y410" s="45"/>
      <c r="Z410" s="51"/>
      <c r="AA410" s="53">
        <v>2</v>
      </c>
      <c r="AB410" s="45">
        <v>120.49</v>
      </c>
      <c r="AC410" s="45"/>
      <c r="AD410" s="45"/>
      <c r="AE410" s="45"/>
      <c r="AF410" s="45"/>
      <c r="AG410" s="45"/>
      <c r="AH410" s="51"/>
      <c r="AI410" s="53">
        <v>2</v>
      </c>
      <c r="AJ410" s="45">
        <v>119.76</v>
      </c>
      <c r="AK410" s="45"/>
      <c r="AL410" s="45"/>
      <c r="AM410" s="45"/>
      <c r="AN410" s="45"/>
      <c r="AO410" s="45"/>
      <c r="AP410" s="51"/>
    </row>
    <row r="411" spans="1:42" ht="21" customHeight="1" thickTop="1" thickBot="1" x14ac:dyDescent="0.35">
      <c r="A411" s="63"/>
      <c r="B411" s="78"/>
      <c r="C411" s="53">
        <v>3</v>
      </c>
      <c r="D411" s="45">
        <v>118.15</v>
      </c>
      <c r="E411" s="45"/>
      <c r="F411" s="45"/>
      <c r="G411" s="44"/>
      <c r="H411" s="44"/>
      <c r="I411" s="44"/>
      <c r="J411" s="51"/>
      <c r="K411" s="53">
        <v>3</v>
      </c>
      <c r="L411" s="45">
        <v>118.44</v>
      </c>
      <c r="M411" s="45"/>
      <c r="N411" s="45"/>
      <c r="O411" s="44"/>
      <c r="P411" s="44"/>
      <c r="Q411" s="44"/>
      <c r="R411" s="51"/>
      <c r="S411" s="53">
        <v>3</v>
      </c>
      <c r="T411" s="45">
        <v>122</v>
      </c>
      <c r="U411" s="45"/>
      <c r="V411" s="45"/>
      <c r="W411" s="44"/>
      <c r="X411" s="44"/>
      <c r="Y411" s="44"/>
      <c r="Z411" s="51"/>
      <c r="AA411" s="53">
        <v>3</v>
      </c>
      <c r="AB411" s="45">
        <v>120.87</v>
      </c>
      <c r="AC411" s="45"/>
      <c r="AD411" s="45"/>
      <c r="AE411" s="44"/>
      <c r="AF411" s="44"/>
      <c r="AG411" s="44"/>
      <c r="AH411" s="51"/>
      <c r="AI411" s="53">
        <v>3</v>
      </c>
      <c r="AJ411" s="45">
        <v>119.83</v>
      </c>
      <c r="AK411" s="45"/>
      <c r="AL411" s="45"/>
      <c r="AM411" s="44"/>
      <c r="AN411" s="44"/>
      <c r="AO411" s="44"/>
      <c r="AP411" s="51"/>
    </row>
    <row r="412" spans="1:42" ht="21" customHeight="1" thickTop="1" thickBot="1" x14ac:dyDescent="0.35">
      <c r="A412" s="63"/>
      <c r="B412" s="78"/>
      <c r="C412" s="53">
        <v>4</v>
      </c>
      <c r="D412" s="45">
        <v>118.17</v>
      </c>
      <c r="E412" s="45"/>
      <c r="F412" s="45"/>
      <c r="G412" s="45"/>
      <c r="H412" s="45"/>
      <c r="I412" s="45"/>
      <c r="J412" s="51"/>
      <c r="K412" s="53">
        <v>4</v>
      </c>
      <c r="L412" s="45">
        <v>119.97</v>
      </c>
      <c r="M412" s="45"/>
      <c r="N412" s="45"/>
      <c r="O412" s="45"/>
      <c r="P412" s="45"/>
      <c r="Q412" s="45"/>
      <c r="R412" s="51"/>
      <c r="S412" s="53">
        <v>4</v>
      </c>
      <c r="T412" s="45">
        <v>119.94</v>
      </c>
      <c r="U412" s="45"/>
      <c r="V412" s="45"/>
      <c r="W412" s="45"/>
      <c r="X412" s="45"/>
      <c r="Y412" s="45"/>
      <c r="Z412" s="51"/>
      <c r="AA412" s="53">
        <v>4</v>
      </c>
      <c r="AB412" s="45">
        <v>119.51</v>
      </c>
      <c r="AC412" s="45"/>
      <c r="AD412" s="45"/>
      <c r="AE412" s="45"/>
      <c r="AF412" s="45"/>
      <c r="AG412" s="45"/>
      <c r="AH412" s="51"/>
      <c r="AI412" s="53">
        <v>4</v>
      </c>
      <c r="AJ412" s="45">
        <v>119.47</v>
      </c>
      <c r="AK412" s="45"/>
      <c r="AL412" s="45"/>
      <c r="AM412" s="45"/>
      <c r="AN412" s="45"/>
      <c r="AO412" s="45"/>
      <c r="AP412" s="51"/>
    </row>
    <row r="413" spans="1:42" ht="21" customHeight="1" thickTop="1" thickBot="1" x14ac:dyDescent="0.35">
      <c r="A413" s="63"/>
      <c r="B413" s="78"/>
      <c r="C413" s="53">
        <v>5</v>
      </c>
      <c r="D413" s="45">
        <v>118.24</v>
      </c>
      <c r="E413" s="45"/>
      <c r="F413" s="45"/>
      <c r="G413" s="45"/>
      <c r="H413" s="45"/>
      <c r="I413" s="45"/>
      <c r="J413" s="51"/>
      <c r="K413" s="53">
        <v>5</v>
      </c>
      <c r="L413" s="45">
        <v>118.24</v>
      </c>
      <c r="M413" s="45"/>
      <c r="N413" s="45"/>
      <c r="O413" s="45"/>
      <c r="P413" s="45"/>
      <c r="Q413" s="45"/>
      <c r="R413" s="51"/>
      <c r="S413" s="53">
        <v>5</v>
      </c>
      <c r="T413" s="45">
        <v>121.65</v>
      </c>
      <c r="U413" s="45"/>
      <c r="V413" s="45"/>
      <c r="W413" s="45"/>
      <c r="X413" s="45"/>
      <c r="Y413" s="45"/>
      <c r="Z413" s="51"/>
      <c r="AA413" s="53">
        <v>5</v>
      </c>
      <c r="AB413" s="45">
        <v>120.84</v>
      </c>
      <c r="AC413" s="45"/>
      <c r="AD413" s="45"/>
      <c r="AE413" s="45"/>
      <c r="AF413" s="45"/>
      <c r="AG413" s="45"/>
      <c r="AH413" s="51"/>
      <c r="AI413" s="53">
        <v>5</v>
      </c>
      <c r="AJ413" s="45">
        <v>119.68</v>
      </c>
      <c r="AK413" s="45"/>
      <c r="AL413" s="45"/>
      <c r="AM413" s="45"/>
      <c r="AN413" s="45"/>
      <c r="AO413" s="45"/>
      <c r="AP413" s="51"/>
    </row>
    <row r="414" spans="1:42" ht="21" customHeight="1" thickTop="1" thickBot="1" x14ac:dyDescent="0.35">
      <c r="A414" s="63"/>
      <c r="B414" s="78"/>
      <c r="C414" s="53">
        <v>6</v>
      </c>
      <c r="D414" s="45">
        <v>118.08</v>
      </c>
      <c r="E414" s="45"/>
      <c r="F414" s="45"/>
      <c r="G414" s="45"/>
      <c r="H414" s="45"/>
      <c r="I414" s="45"/>
      <c r="J414" s="51"/>
      <c r="K414" s="53">
        <v>6</v>
      </c>
      <c r="L414" s="45">
        <v>118.59</v>
      </c>
      <c r="M414" s="45"/>
      <c r="N414" s="45"/>
      <c r="O414" s="45"/>
      <c r="P414" s="45"/>
      <c r="Q414" s="45"/>
      <c r="R414" s="51"/>
      <c r="S414" s="53">
        <v>6</v>
      </c>
      <c r="T414" s="45">
        <v>120.97</v>
      </c>
      <c r="U414" s="45"/>
      <c r="V414" s="45"/>
      <c r="W414" s="45"/>
      <c r="X414" s="45"/>
      <c r="Y414" s="45"/>
      <c r="Z414" s="51"/>
      <c r="AA414" s="53">
        <v>6</v>
      </c>
      <c r="AB414" s="45">
        <v>119.41</v>
      </c>
      <c r="AC414" s="45"/>
      <c r="AD414" s="45"/>
      <c r="AE414" s="45"/>
      <c r="AF414" s="45"/>
      <c r="AG414" s="45"/>
      <c r="AH414" s="51"/>
      <c r="AI414" s="53">
        <v>6</v>
      </c>
      <c r="AJ414" s="45">
        <v>121.45</v>
      </c>
      <c r="AK414" s="45"/>
      <c r="AL414" s="45"/>
      <c r="AM414" s="45"/>
      <c r="AN414" s="45"/>
      <c r="AO414" s="45"/>
      <c r="AP414" s="51"/>
    </row>
    <row r="415" spans="1:42" ht="21" customHeight="1" thickTop="1" thickBot="1" x14ac:dyDescent="0.35">
      <c r="A415" s="63"/>
      <c r="B415" s="78"/>
      <c r="C415" s="53">
        <v>7</v>
      </c>
      <c r="D415" s="45">
        <v>118.12</v>
      </c>
      <c r="E415" s="45"/>
      <c r="F415" s="45"/>
      <c r="G415" s="45"/>
      <c r="H415" s="45"/>
      <c r="I415" s="45"/>
      <c r="J415" s="51"/>
      <c r="K415" s="53">
        <v>7</v>
      </c>
      <c r="L415" s="45">
        <v>118.15</v>
      </c>
      <c r="M415" s="45"/>
      <c r="N415" s="45"/>
      <c r="O415" s="45"/>
      <c r="P415" s="45"/>
      <c r="Q415" s="45"/>
      <c r="R415" s="51"/>
      <c r="S415" s="53">
        <v>7</v>
      </c>
      <c r="T415" s="45">
        <v>121.97</v>
      </c>
      <c r="U415" s="45"/>
      <c r="V415" s="45"/>
      <c r="W415" s="45"/>
      <c r="X415" s="45"/>
      <c r="Y415" s="45"/>
      <c r="Z415" s="51"/>
      <c r="AA415" s="53">
        <v>7</v>
      </c>
      <c r="AB415" s="45">
        <v>119.71</v>
      </c>
      <c r="AC415" s="45"/>
      <c r="AD415" s="45"/>
      <c r="AE415" s="45"/>
      <c r="AF415" s="45"/>
      <c r="AG415" s="45"/>
      <c r="AH415" s="51"/>
      <c r="AI415" s="53">
        <v>7</v>
      </c>
      <c r="AJ415" s="45">
        <v>120.87</v>
      </c>
      <c r="AK415" s="45"/>
      <c r="AL415" s="45"/>
      <c r="AM415" s="45"/>
      <c r="AN415" s="45"/>
      <c r="AO415" s="45"/>
      <c r="AP415" s="51"/>
    </row>
    <row r="416" spans="1:42" ht="21" customHeight="1" thickTop="1" thickBot="1" x14ac:dyDescent="0.35">
      <c r="A416" s="63"/>
      <c r="B416" s="78"/>
      <c r="C416" s="53">
        <v>8</v>
      </c>
      <c r="D416" s="45">
        <v>116.94</v>
      </c>
      <c r="E416" s="45"/>
      <c r="F416" s="45"/>
      <c r="G416" s="45"/>
      <c r="H416" s="45"/>
      <c r="I416" s="45"/>
      <c r="J416" s="51"/>
      <c r="K416" s="53">
        <v>8</v>
      </c>
      <c r="L416" s="45">
        <v>118.16</v>
      </c>
      <c r="M416" s="45"/>
      <c r="N416" s="45"/>
      <c r="O416" s="45"/>
      <c r="P416" s="45"/>
      <c r="Q416" s="45"/>
      <c r="R416" s="51"/>
      <c r="S416" s="53">
        <v>8</v>
      </c>
      <c r="T416" s="45">
        <v>121.39</v>
      </c>
      <c r="U416" s="45"/>
      <c r="V416" s="45"/>
      <c r="W416" s="45"/>
      <c r="X416" s="45"/>
      <c r="Y416" s="45"/>
      <c r="Z416" s="51"/>
      <c r="AA416" s="53">
        <v>8</v>
      </c>
      <c r="AB416" s="45">
        <v>119.41</v>
      </c>
      <c r="AC416" s="45"/>
      <c r="AD416" s="45"/>
      <c r="AE416" s="45"/>
      <c r="AF416" s="45"/>
      <c r="AG416" s="45"/>
      <c r="AH416" s="51"/>
      <c r="AI416" s="53">
        <v>8</v>
      </c>
      <c r="AJ416" s="45">
        <v>120.64</v>
      </c>
      <c r="AK416" s="45"/>
      <c r="AL416" s="45"/>
      <c r="AM416" s="45"/>
      <c r="AN416" s="45"/>
      <c r="AO416" s="45"/>
      <c r="AP416" s="51"/>
    </row>
    <row r="417" spans="1:42" ht="21" customHeight="1" thickTop="1" thickBot="1" x14ac:dyDescent="0.35">
      <c r="A417" s="63"/>
      <c r="B417" s="78"/>
      <c r="C417" s="53">
        <v>9</v>
      </c>
      <c r="D417" s="45">
        <v>118.18</v>
      </c>
      <c r="E417" s="45"/>
      <c r="F417" s="45"/>
      <c r="G417" s="45"/>
      <c r="H417" s="45"/>
      <c r="I417" s="45"/>
      <c r="J417" s="51"/>
      <c r="K417" s="53">
        <v>9</v>
      </c>
      <c r="L417" s="45">
        <v>118.15</v>
      </c>
      <c r="M417" s="45"/>
      <c r="N417" s="45"/>
      <c r="O417" s="45"/>
      <c r="P417" s="45"/>
      <c r="Q417" s="45"/>
      <c r="R417" s="51"/>
      <c r="S417" s="53">
        <v>9</v>
      </c>
      <c r="T417" s="45">
        <v>121.13</v>
      </c>
      <c r="U417" s="45"/>
      <c r="V417" s="45"/>
      <c r="W417" s="45"/>
      <c r="X417" s="45"/>
      <c r="Y417" s="45"/>
      <c r="Z417" s="51"/>
      <c r="AA417" s="53">
        <v>9</v>
      </c>
      <c r="AB417" s="45">
        <v>119.2</v>
      </c>
      <c r="AC417" s="45"/>
      <c r="AD417" s="45"/>
      <c r="AE417" s="45"/>
      <c r="AF417" s="45"/>
      <c r="AG417" s="45"/>
      <c r="AH417" s="51"/>
      <c r="AI417" s="53">
        <v>9</v>
      </c>
      <c r="AJ417" s="45">
        <v>120.65</v>
      </c>
      <c r="AK417" s="45"/>
      <c r="AL417" s="45"/>
      <c r="AM417" s="45"/>
      <c r="AN417" s="45"/>
      <c r="AO417" s="45"/>
      <c r="AP417" s="51"/>
    </row>
    <row r="418" spans="1:42" ht="21" customHeight="1" thickTop="1" thickBot="1" x14ac:dyDescent="0.35">
      <c r="A418" s="63"/>
      <c r="B418" s="78"/>
      <c r="C418" s="53">
        <v>10</v>
      </c>
      <c r="D418" s="45">
        <v>118.24</v>
      </c>
      <c r="E418" s="45"/>
      <c r="F418" s="45"/>
      <c r="G418" s="45"/>
      <c r="H418" s="45"/>
      <c r="I418" s="45"/>
      <c r="J418" s="51"/>
      <c r="K418" s="53">
        <v>10</v>
      </c>
      <c r="L418" s="45">
        <v>118.44</v>
      </c>
      <c r="M418" s="45"/>
      <c r="N418" s="45"/>
      <c r="O418" s="45"/>
      <c r="P418" s="45"/>
      <c r="Q418" s="45"/>
      <c r="R418" s="51"/>
      <c r="S418" s="53">
        <v>10</v>
      </c>
      <c r="T418" s="45">
        <v>120.64</v>
      </c>
      <c r="U418" s="45"/>
      <c r="V418" s="45"/>
      <c r="W418" s="45"/>
      <c r="X418" s="45"/>
      <c r="Y418" s="45"/>
      <c r="Z418" s="51"/>
      <c r="AA418" s="53">
        <v>10</v>
      </c>
      <c r="AB418" s="45">
        <v>119.78</v>
      </c>
      <c r="AC418" s="45"/>
      <c r="AD418" s="45"/>
      <c r="AE418" s="45"/>
      <c r="AF418" s="45"/>
      <c r="AG418" s="45"/>
      <c r="AH418" s="51"/>
      <c r="AI418" s="53">
        <v>10</v>
      </c>
      <c r="AJ418" s="45">
        <v>119.89</v>
      </c>
      <c r="AK418" s="45"/>
      <c r="AL418" s="45"/>
      <c r="AM418" s="45"/>
      <c r="AN418" s="45"/>
      <c r="AO418" s="45"/>
      <c r="AP418" s="51"/>
    </row>
    <row r="419" spans="1:42" ht="21" customHeight="1" thickTop="1" thickBot="1" x14ac:dyDescent="0.35">
      <c r="A419" s="63"/>
      <c r="B419" s="78"/>
      <c r="C419" s="53"/>
      <c r="D419" s="45"/>
      <c r="E419" s="45"/>
      <c r="F419" s="45"/>
      <c r="G419" s="45"/>
      <c r="H419" s="45"/>
      <c r="I419" s="45"/>
      <c r="J419" s="51"/>
      <c r="K419" s="53"/>
      <c r="L419" s="45"/>
      <c r="M419" s="45"/>
      <c r="N419" s="45"/>
      <c r="O419" s="45"/>
      <c r="P419" s="45"/>
      <c r="Q419" s="45"/>
      <c r="R419" s="51"/>
      <c r="S419" s="53"/>
      <c r="T419" s="45"/>
      <c r="U419" s="45"/>
      <c r="V419" s="45"/>
      <c r="W419" s="45"/>
      <c r="X419" s="45"/>
      <c r="Y419" s="45"/>
      <c r="Z419" s="51"/>
      <c r="AA419" s="53"/>
      <c r="AB419" s="45"/>
      <c r="AC419" s="45"/>
      <c r="AD419" s="45"/>
      <c r="AE419" s="45"/>
      <c r="AF419" s="45"/>
      <c r="AG419" s="45"/>
      <c r="AH419" s="51"/>
      <c r="AI419" s="53"/>
      <c r="AJ419" s="45"/>
      <c r="AK419" s="45"/>
      <c r="AL419" s="45"/>
      <c r="AM419" s="45"/>
      <c r="AN419" s="45"/>
      <c r="AO419" s="45"/>
      <c r="AP419" s="51"/>
    </row>
    <row r="420" spans="1:42" ht="41" customHeight="1" thickTop="1" thickBot="1" x14ac:dyDescent="0.35">
      <c r="A420" s="63"/>
      <c r="B420" s="78"/>
      <c r="C420" s="54" t="s">
        <v>16</v>
      </c>
      <c r="D420" s="49">
        <f>MIN(D409:D418)</f>
        <v>116.94</v>
      </c>
      <c r="E420" s="45"/>
      <c r="F420" s="55" t="s">
        <v>17</v>
      </c>
      <c r="G420" s="49" t="s">
        <v>18</v>
      </c>
      <c r="H420" s="49" t="s">
        <v>19</v>
      </c>
      <c r="I420" s="45"/>
      <c r="J420" s="51"/>
      <c r="K420" s="54" t="s">
        <v>16</v>
      </c>
      <c r="L420" s="49">
        <f>MIN(L409:L418)</f>
        <v>118.15</v>
      </c>
      <c r="M420" s="45"/>
      <c r="N420" s="55" t="s">
        <v>17</v>
      </c>
      <c r="O420" s="49" t="s">
        <v>18</v>
      </c>
      <c r="P420" s="49" t="s">
        <v>19</v>
      </c>
      <c r="Q420" s="45"/>
      <c r="R420" s="51"/>
      <c r="S420" s="54" t="s">
        <v>16</v>
      </c>
      <c r="T420" s="49">
        <f>MIN(T409:T418)</f>
        <v>119.94</v>
      </c>
      <c r="U420" s="45"/>
      <c r="V420" s="55" t="s">
        <v>17</v>
      </c>
      <c r="W420" s="49" t="s">
        <v>18</v>
      </c>
      <c r="X420" s="49" t="s">
        <v>19</v>
      </c>
      <c r="Y420" s="45"/>
      <c r="Z420" s="51"/>
      <c r="AA420" s="54" t="s">
        <v>16</v>
      </c>
      <c r="AB420" s="49">
        <f>MIN(AB409:AB418)</f>
        <v>119.2</v>
      </c>
      <c r="AC420" s="45"/>
      <c r="AD420" s="55" t="s">
        <v>17</v>
      </c>
      <c r="AE420" s="49" t="s">
        <v>18</v>
      </c>
      <c r="AF420" s="49" t="s">
        <v>19</v>
      </c>
      <c r="AG420" s="45"/>
      <c r="AH420" s="51"/>
      <c r="AI420" s="54" t="s">
        <v>16</v>
      </c>
      <c r="AJ420" s="49">
        <f>MIN(AJ409:AJ418)</f>
        <v>119.47</v>
      </c>
      <c r="AK420" s="45"/>
      <c r="AL420" s="55" t="s">
        <v>17</v>
      </c>
      <c r="AM420" s="49" t="s">
        <v>18</v>
      </c>
      <c r="AN420" s="49" t="s">
        <v>19</v>
      </c>
      <c r="AO420" s="45"/>
      <c r="AP420" s="51"/>
    </row>
    <row r="421" spans="1:42" ht="21" customHeight="1" thickTop="1" thickBot="1" x14ac:dyDescent="0.35">
      <c r="A421" s="63"/>
      <c r="B421" s="78"/>
      <c r="C421" s="54" t="s">
        <v>20</v>
      </c>
      <c r="D421" s="48">
        <f>AVERAGE(D409:D418)</f>
        <v>118.03600000000002</v>
      </c>
      <c r="E421" s="47"/>
      <c r="F421" s="48">
        <f>_xlfn.STDEV.S(D409:D418) / AVERAGE(D409:D418) * 100%</f>
        <v>3.2923980427490532E-3</v>
      </c>
      <c r="G421" s="48">
        <f t="array" ref="G421">MIN((D409:D418 - MIN(D409:D418,L409:L418,T409:T418,AB409:AB418,AJ409:AJ418))/MIN(D409:D418,L409:L418,T409:T418,AB409:AB418,AJ409:AJ418)*100%)</f>
        <v>0</v>
      </c>
      <c r="H421" s="48">
        <f t="array" ref="H421">AVERAGE((D409:D418 - MIN(D409:D418,L409:L418,T409:T418,AB409:AB418,AJ409:AJ418))/MIN(D409:D418,L409:L418,T409:T418,AB409:AB418,AJ409:AJ418)*100%)</f>
        <v>9.3723276894134046E-3</v>
      </c>
      <c r="I421" s="45"/>
      <c r="J421" s="51"/>
      <c r="K421" s="54" t="s">
        <v>20</v>
      </c>
      <c r="L421" s="48">
        <f>AVERAGE(L409:L418)</f>
        <v>118.66300000000001</v>
      </c>
      <c r="M421" s="47"/>
      <c r="N421" s="48">
        <f>_xlfn.STDEV.S(L409:L418) / AVERAGE(L409:L418) * 100%</f>
        <v>5.2276058448015436E-3</v>
      </c>
      <c r="O421" s="48">
        <f t="array" ref="O421">MIN((L409:L418 - MIN(D409:D418,L409:L418,T409:T418,AB409:AB418,AJ409:AJ418))/MIN(D409:D418,L409:L418,T409:T418,AB409:AB418,AJ409:AJ418)*100%)</f>
        <v>1.0347186591414469E-2</v>
      </c>
      <c r="P421" s="48">
        <f t="array" ref="P421">AVERAGE((L409:L418 - MIN(D409:D418,L409:L418,T409:T418,AB409:AB418,AJ409:AJ418))/MIN(D409:D418,L409:L418,T409:T418,AB409:AB418,AJ409:AJ418)*100%)</f>
        <v>1.4734051650419033E-2</v>
      </c>
      <c r="Q421" s="44"/>
      <c r="R421" s="51"/>
      <c r="S421" s="54" t="s">
        <v>20</v>
      </c>
      <c r="T421" s="48">
        <f>AVERAGE(T409:T418)</f>
        <v>121.33900000000001</v>
      </c>
      <c r="U421" s="47"/>
      <c r="V421" s="48">
        <f>_xlfn.STDEV.S(T409:T418) / AVERAGE(T409:T418) * 100%</f>
        <v>6.1471106791152934E-3</v>
      </c>
      <c r="W421" s="48">
        <f t="array" ref="W421">MIN((T409:T418 - MIN(D409:D418,L409:L418,T409:T418,AB409:AB418,AJ409:AJ418))/MIN(D409:D418,L409:L418,T409:T418,AB409:AB418,AJ409:AJ418)*100%)</f>
        <v>2.5654181631605953E-2</v>
      </c>
      <c r="X421" s="48">
        <f t="array" ref="X421">AVERAGE((T409:T418 - MIN(D409:D418,L409:L418,T409:T418,AB409:AB418,AJ409:AJ418))/MIN(D409:D418,L409:L418,T409:T418,AB409:AB418,AJ409:AJ418)*100%)</f>
        <v>3.7617581665811542E-2</v>
      </c>
      <c r="Y421" s="44"/>
      <c r="Z421" s="51"/>
      <c r="AA421" s="54" t="s">
        <v>20</v>
      </c>
      <c r="AB421" s="48">
        <f>AVERAGE(AB409:AB418)</f>
        <v>119.89299999999999</v>
      </c>
      <c r="AC421" s="47"/>
      <c r="AD421" s="48">
        <f>_xlfn.STDEV.S(AB409:AB418) / AVERAGE(AB409:AB418) * 100%</f>
        <v>5.1122036436827062E-3</v>
      </c>
      <c r="AE421" s="48">
        <f t="array" ref="AE421">MIN((AB409:AB418 - MIN(D409:D418,L409:L418,T409:T418,AB409:AB418,AJ409:AJ418))/MIN(D409:D418,L409:L418,T409:T418,AB409:AB418,AJ409:AJ418)*100%)</f>
        <v>1.9326150162476529E-2</v>
      </c>
      <c r="AF421" s="48">
        <f t="array" ref="AF421">AVERAGE((AB409:AB418 - MIN(D409:D418,L409:L418,T409:T418,AB409:AB418,AJ409:AJ418))/MIN(D409:D418,L409:L418,T409:T418,AB409:AB418,AJ409:AJ418)*100%)</f>
        <v>2.5252266119377469E-2</v>
      </c>
      <c r="AG421" s="44"/>
      <c r="AH421" s="51"/>
      <c r="AI421" s="54" t="s">
        <v>20</v>
      </c>
      <c r="AJ421" s="48">
        <f>AVERAGE(AJ409:AJ418)</f>
        <v>120.32200000000003</v>
      </c>
      <c r="AK421" s="47"/>
      <c r="AL421" s="48">
        <f>_xlfn.STDEV.S(AJ409:AJ418) / AVERAGE(AJ409:AJ418) * 100%</f>
        <v>5.6074390924274785E-3</v>
      </c>
      <c r="AM421" s="48">
        <f t="array" ref="AM421">MIN((AJ409:AJ418 - MIN(D409:D418,L409:L418,T409:T418,AB409:AB418,AJ409:AJ418))/MIN(D409:D418,L409:L418,T409:T418,AB409:AB418,AJ409:AJ418)*100%)</f>
        <v>2.1635026509321028E-2</v>
      </c>
      <c r="AN421" s="48">
        <f t="array" ref="AN421">AVERAGE((AJ409:AJ418 - MIN(D409:D418,L409:L418,T409:T418,AB409:AB418,AJ409:AJ418))/MIN(D409:D418,L409:L418,T409:T418,AB409:AB418,AJ409:AJ418)*100%)</f>
        <v>2.8920814092697155E-2</v>
      </c>
      <c r="AO421" s="44"/>
      <c r="AP421" s="51"/>
    </row>
    <row r="422" spans="1:42" ht="21" customHeight="1" thickTop="1" thickBot="1" x14ac:dyDescent="0.35">
      <c r="A422" s="63"/>
      <c r="B422" s="79"/>
      <c r="C422" s="53"/>
      <c r="D422" s="44"/>
      <c r="E422" s="44"/>
      <c r="F422" s="44"/>
      <c r="G422" s="44"/>
      <c r="H422" s="44"/>
      <c r="I422" s="44"/>
      <c r="J422" s="51"/>
      <c r="K422" s="53"/>
      <c r="L422" s="44"/>
      <c r="M422" s="44"/>
      <c r="N422" s="44"/>
      <c r="O422" s="44"/>
      <c r="P422" s="44"/>
      <c r="Q422" s="44"/>
      <c r="R422" s="51"/>
      <c r="S422" s="53"/>
      <c r="T422" s="44"/>
      <c r="U422" s="44"/>
      <c r="V422" s="44"/>
      <c r="W422" s="44"/>
      <c r="X422" s="44"/>
      <c r="Y422" s="44"/>
      <c r="Z422" s="51"/>
      <c r="AA422" s="53"/>
      <c r="AB422" s="44"/>
      <c r="AC422" s="44"/>
      <c r="AD422" s="44"/>
      <c r="AE422" s="44"/>
      <c r="AF422" s="44"/>
      <c r="AG422" s="44"/>
      <c r="AH422" s="51"/>
      <c r="AI422" s="53"/>
      <c r="AJ422" s="44"/>
      <c r="AK422" s="44"/>
      <c r="AL422" s="44"/>
      <c r="AM422" s="44"/>
      <c r="AN422" s="44"/>
      <c r="AO422" s="44"/>
      <c r="AP422" s="51"/>
    </row>
    <row r="423" spans="1:42" ht="21" customHeight="1" thickTop="1" thickBot="1" x14ac:dyDescent="0.35">
      <c r="A423" s="63"/>
      <c r="B423" s="77" t="s">
        <v>54</v>
      </c>
      <c r="C423" s="59" t="s">
        <v>8</v>
      </c>
      <c r="D423" s="46" t="s">
        <v>9</v>
      </c>
      <c r="E423" s="46" t="s">
        <v>10</v>
      </c>
      <c r="F423" s="46" t="s">
        <v>11</v>
      </c>
      <c r="G423" s="46" t="s">
        <v>12</v>
      </c>
      <c r="H423" s="46" t="s">
        <v>13</v>
      </c>
      <c r="I423" s="46" t="s">
        <v>14</v>
      </c>
      <c r="J423" s="60" t="s">
        <v>15</v>
      </c>
      <c r="K423" s="59" t="s">
        <v>8</v>
      </c>
      <c r="L423" s="46" t="s">
        <v>9</v>
      </c>
      <c r="M423" s="46" t="s">
        <v>10</v>
      </c>
      <c r="N423" s="46" t="s">
        <v>11</v>
      </c>
      <c r="O423" s="46" t="s">
        <v>12</v>
      </c>
      <c r="P423" s="46" t="s">
        <v>13</v>
      </c>
      <c r="Q423" s="46" t="s">
        <v>14</v>
      </c>
      <c r="R423" s="60" t="s">
        <v>15</v>
      </c>
      <c r="S423" s="59" t="s">
        <v>8</v>
      </c>
      <c r="T423" s="46" t="s">
        <v>9</v>
      </c>
      <c r="U423" s="46" t="s">
        <v>10</v>
      </c>
      <c r="V423" s="46" t="s">
        <v>11</v>
      </c>
      <c r="W423" s="46" t="s">
        <v>12</v>
      </c>
      <c r="X423" s="46" t="s">
        <v>13</v>
      </c>
      <c r="Y423" s="46" t="s">
        <v>14</v>
      </c>
      <c r="Z423" s="60" t="s">
        <v>15</v>
      </c>
      <c r="AA423" s="59" t="s">
        <v>8</v>
      </c>
      <c r="AB423" s="46" t="s">
        <v>9</v>
      </c>
      <c r="AC423" s="46" t="s">
        <v>10</v>
      </c>
      <c r="AD423" s="46" t="s">
        <v>11</v>
      </c>
      <c r="AE423" s="46" t="s">
        <v>12</v>
      </c>
      <c r="AF423" s="46" t="s">
        <v>13</v>
      </c>
      <c r="AG423" s="46" t="s">
        <v>14</v>
      </c>
      <c r="AH423" s="60" t="s">
        <v>15</v>
      </c>
      <c r="AI423" s="59" t="s">
        <v>8</v>
      </c>
      <c r="AJ423" s="46" t="s">
        <v>9</v>
      </c>
      <c r="AK423" s="46" t="s">
        <v>10</v>
      </c>
      <c r="AL423" s="46" t="s">
        <v>11</v>
      </c>
      <c r="AM423" s="46" t="s">
        <v>12</v>
      </c>
      <c r="AN423" s="46" t="s">
        <v>13</v>
      </c>
      <c r="AO423" s="46" t="s">
        <v>14</v>
      </c>
      <c r="AP423" s="60" t="s">
        <v>15</v>
      </c>
    </row>
    <row r="424" spans="1:42" ht="21" customHeight="1" thickTop="1" thickBot="1" x14ac:dyDescent="0.35">
      <c r="A424" s="63"/>
      <c r="B424" s="78"/>
      <c r="C424" s="52">
        <v>1</v>
      </c>
      <c r="D424" s="44">
        <v>120.84</v>
      </c>
      <c r="E424" s="44"/>
      <c r="F424" s="44"/>
      <c r="G424" s="44"/>
      <c r="H424" s="44"/>
      <c r="I424" s="44"/>
      <c r="J424" s="51"/>
      <c r="K424" s="52">
        <v>1</v>
      </c>
      <c r="L424" s="44">
        <v>120.29</v>
      </c>
      <c r="M424" s="44"/>
      <c r="N424" s="44"/>
      <c r="O424" s="44"/>
      <c r="P424" s="44"/>
      <c r="Q424" s="44"/>
      <c r="R424" s="51"/>
      <c r="S424" s="52">
        <v>1</v>
      </c>
      <c r="T424" s="44">
        <v>122.57</v>
      </c>
      <c r="U424" s="44"/>
      <c r="V424" s="44"/>
      <c r="W424" s="44"/>
      <c r="X424" s="44"/>
      <c r="Y424" s="44"/>
      <c r="Z424" s="51"/>
      <c r="AA424" s="52">
        <v>1</v>
      </c>
      <c r="AB424" s="44">
        <v>120.16</v>
      </c>
      <c r="AC424" s="44"/>
      <c r="AD424" s="44"/>
      <c r="AE424" s="44"/>
      <c r="AF424" s="44"/>
      <c r="AG424" s="44"/>
      <c r="AH424" s="51"/>
      <c r="AI424" s="52">
        <v>1</v>
      </c>
      <c r="AJ424" s="44">
        <v>119.42</v>
      </c>
      <c r="AK424" s="44"/>
      <c r="AL424" s="44"/>
      <c r="AM424" s="44"/>
      <c r="AN424" s="44"/>
      <c r="AO424" s="44"/>
      <c r="AP424" s="51"/>
    </row>
    <row r="425" spans="1:42" ht="21" customHeight="1" thickTop="1" thickBot="1" x14ac:dyDescent="0.35">
      <c r="A425" s="63"/>
      <c r="B425" s="78"/>
      <c r="C425" s="53">
        <v>2</v>
      </c>
      <c r="D425" s="45">
        <v>119.8</v>
      </c>
      <c r="E425" s="45"/>
      <c r="F425" s="45"/>
      <c r="G425" s="45"/>
      <c r="H425" s="45"/>
      <c r="I425" s="45"/>
      <c r="J425" s="51"/>
      <c r="K425" s="53">
        <v>2</v>
      </c>
      <c r="L425" s="45">
        <v>120.51</v>
      </c>
      <c r="M425" s="45"/>
      <c r="N425" s="45"/>
      <c r="O425" s="45"/>
      <c r="P425" s="45"/>
      <c r="Q425" s="45"/>
      <c r="R425" s="51"/>
      <c r="S425" s="53">
        <v>2</v>
      </c>
      <c r="T425" s="45">
        <v>121.81</v>
      </c>
      <c r="U425" s="45"/>
      <c r="V425" s="45"/>
      <c r="W425" s="45"/>
      <c r="X425" s="45"/>
      <c r="Y425" s="45"/>
      <c r="Z425" s="51"/>
      <c r="AA425" s="53">
        <v>2</v>
      </c>
      <c r="AB425" s="45">
        <v>120.19</v>
      </c>
      <c r="AC425" s="45"/>
      <c r="AD425" s="45"/>
      <c r="AE425" s="45"/>
      <c r="AF425" s="45"/>
      <c r="AG425" s="45"/>
      <c r="AH425" s="51"/>
      <c r="AI425" s="53">
        <v>2</v>
      </c>
      <c r="AJ425" s="45">
        <v>120.83</v>
      </c>
      <c r="AK425" s="45"/>
      <c r="AL425" s="45"/>
      <c r="AM425" s="45"/>
      <c r="AN425" s="45"/>
      <c r="AO425" s="45"/>
      <c r="AP425" s="51"/>
    </row>
    <row r="426" spans="1:42" ht="21" customHeight="1" thickTop="1" thickBot="1" x14ac:dyDescent="0.35">
      <c r="A426" s="63"/>
      <c r="B426" s="78"/>
      <c r="C426" s="53">
        <v>3</v>
      </c>
      <c r="D426" s="45">
        <v>120.64</v>
      </c>
      <c r="E426" s="45"/>
      <c r="F426" s="45"/>
      <c r="G426" s="44"/>
      <c r="H426" s="44"/>
      <c r="I426" s="44"/>
      <c r="J426" s="51"/>
      <c r="K426" s="53">
        <v>3</v>
      </c>
      <c r="L426" s="45">
        <v>120.8</v>
      </c>
      <c r="M426" s="45"/>
      <c r="N426" s="45"/>
      <c r="O426" s="44"/>
      <c r="P426" s="44"/>
      <c r="Q426" s="44"/>
      <c r="R426" s="51"/>
      <c r="S426" s="53">
        <v>3</v>
      </c>
      <c r="T426" s="45">
        <v>121</v>
      </c>
      <c r="U426" s="45"/>
      <c r="V426" s="45"/>
      <c r="W426" s="44"/>
      <c r="X426" s="44"/>
      <c r="Y426" s="44"/>
      <c r="Z426" s="51"/>
      <c r="AA426" s="53">
        <v>3</v>
      </c>
      <c r="AB426" s="45">
        <v>121.76</v>
      </c>
      <c r="AC426" s="45"/>
      <c r="AD426" s="45"/>
      <c r="AE426" s="44"/>
      <c r="AF426" s="44"/>
      <c r="AG426" s="44"/>
      <c r="AH426" s="51"/>
      <c r="AI426" s="53">
        <v>3</v>
      </c>
      <c r="AJ426" s="45">
        <v>120.51</v>
      </c>
      <c r="AK426" s="45"/>
      <c r="AL426" s="45"/>
      <c r="AM426" s="44"/>
      <c r="AN426" s="44"/>
      <c r="AO426" s="44"/>
      <c r="AP426" s="51"/>
    </row>
    <row r="427" spans="1:42" ht="21" customHeight="1" thickTop="1" thickBot="1" x14ac:dyDescent="0.35">
      <c r="A427" s="63"/>
      <c r="B427" s="78"/>
      <c r="C427" s="53">
        <v>4</v>
      </c>
      <c r="D427" s="45">
        <v>120.24</v>
      </c>
      <c r="E427" s="45"/>
      <c r="F427" s="45"/>
      <c r="G427" s="45"/>
      <c r="H427" s="45"/>
      <c r="I427" s="45"/>
      <c r="J427" s="51"/>
      <c r="K427" s="53">
        <v>4</v>
      </c>
      <c r="L427" s="45">
        <v>121.23</v>
      </c>
      <c r="M427" s="45"/>
      <c r="N427" s="45"/>
      <c r="O427" s="45"/>
      <c r="P427" s="45"/>
      <c r="Q427" s="45"/>
      <c r="R427" s="51"/>
      <c r="S427" s="53">
        <v>4</v>
      </c>
      <c r="T427" s="45">
        <v>121.15</v>
      </c>
      <c r="U427" s="45"/>
      <c r="V427" s="45"/>
      <c r="W427" s="45"/>
      <c r="X427" s="45"/>
      <c r="Y427" s="45"/>
      <c r="Z427" s="51"/>
      <c r="AA427" s="53">
        <v>4</v>
      </c>
      <c r="AB427" s="45">
        <v>119.9</v>
      </c>
      <c r="AC427" s="45"/>
      <c r="AD427" s="45"/>
      <c r="AE427" s="45"/>
      <c r="AF427" s="45"/>
      <c r="AG427" s="45"/>
      <c r="AH427" s="51"/>
      <c r="AI427" s="53">
        <v>4</v>
      </c>
      <c r="AJ427" s="45">
        <v>119.64</v>
      </c>
      <c r="AK427" s="45"/>
      <c r="AL427" s="45"/>
      <c r="AM427" s="45"/>
      <c r="AN427" s="45"/>
      <c r="AO427" s="45"/>
      <c r="AP427" s="51"/>
    </row>
    <row r="428" spans="1:42" ht="21" customHeight="1" thickTop="1" thickBot="1" x14ac:dyDescent="0.35">
      <c r="A428" s="63"/>
      <c r="B428" s="78"/>
      <c r="C428" s="53">
        <v>5</v>
      </c>
      <c r="D428" s="45">
        <v>119.69</v>
      </c>
      <c r="E428" s="45"/>
      <c r="F428" s="45"/>
      <c r="G428" s="45"/>
      <c r="H428" s="45"/>
      <c r="I428" s="45"/>
      <c r="J428" s="51"/>
      <c r="K428" s="53">
        <v>5</v>
      </c>
      <c r="L428" s="45">
        <v>120.34</v>
      </c>
      <c r="M428" s="45"/>
      <c r="N428" s="45"/>
      <c r="O428" s="45"/>
      <c r="P428" s="45"/>
      <c r="Q428" s="45"/>
      <c r="R428" s="51"/>
      <c r="S428" s="53">
        <v>5</v>
      </c>
      <c r="T428" s="45">
        <v>122.98</v>
      </c>
      <c r="U428" s="45"/>
      <c r="V428" s="45"/>
      <c r="W428" s="45"/>
      <c r="X428" s="45"/>
      <c r="Y428" s="45"/>
      <c r="Z428" s="51"/>
      <c r="AA428" s="53">
        <v>5</v>
      </c>
      <c r="AB428" s="45">
        <v>120.01</v>
      </c>
      <c r="AC428" s="45"/>
      <c r="AD428" s="45"/>
      <c r="AE428" s="45"/>
      <c r="AF428" s="45"/>
      <c r="AG428" s="45"/>
      <c r="AH428" s="51"/>
      <c r="AI428" s="53">
        <v>5</v>
      </c>
      <c r="AJ428" s="45">
        <v>120.74</v>
      </c>
      <c r="AK428" s="45"/>
      <c r="AL428" s="45"/>
      <c r="AM428" s="45"/>
      <c r="AN428" s="45"/>
      <c r="AO428" s="45"/>
      <c r="AP428" s="51"/>
    </row>
    <row r="429" spans="1:42" ht="21" customHeight="1" thickTop="1" thickBot="1" x14ac:dyDescent="0.35">
      <c r="A429" s="63"/>
      <c r="B429" s="78"/>
      <c r="C429" s="53">
        <v>6</v>
      </c>
      <c r="D429" s="45">
        <v>118.3</v>
      </c>
      <c r="E429" s="45"/>
      <c r="F429" s="45"/>
      <c r="G429" s="45"/>
      <c r="H429" s="45"/>
      <c r="I429" s="45"/>
      <c r="J429" s="51"/>
      <c r="K429" s="53">
        <v>6</v>
      </c>
      <c r="L429" s="45">
        <v>120.36</v>
      </c>
      <c r="M429" s="45"/>
      <c r="N429" s="45"/>
      <c r="O429" s="45"/>
      <c r="P429" s="45"/>
      <c r="Q429" s="45"/>
      <c r="R429" s="51"/>
      <c r="S429" s="53">
        <v>6</v>
      </c>
      <c r="T429" s="45">
        <v>120.95</v>
      </c>
      <c r="U429" s="45"/>
      <c r="V429" s="45"/>
      <c r="W429" s="45"/>
      <c r="X429" s="45"/>
      <c r="Y429" s="45"/>
      <c r="Z429" s="51"/>
      <c r="AA429" s="53">
        <v>6</v>
      </c>
      <c r="AB429" s="45">
        <v>119.92</v>
      </c>
      <c r="AC429" s="45"/>
      <c r="AD429" s="45"/>
      <c r="AE429" s="45"/>
      <c r="AF429" s="45"/>
      <c r="AG429" s="45"/>
      <c r="AH429" s="51"/>
      <c r="AI429" s="53">
        <v>6</v>
      </c>
      <c r="AJ429" s="45">
        <v>120.84</v>
      </c>
      <c r="AK429" s="45"/>
      <c r="AL429" s="45"/>
      <c r="AM429" s="45"/>
      <c r="AN429" s="45"/>
      <c r="AO429" s="45"/>
      <c r="AP429" s="51"/>
    </row>
    <row r="430" spans="1:42" ht="21" customHeight="1" thickTop="1" thickBot="1" x14ac:dyDescent="0.35">
      <c r="A430" s="63"/>
      <c r="B430" s="78"/>
      <c r="C430" s="53">
        <v>7</v>
      </c>
      <c r="D430" s="45">
        <v>120.24</v>
      </c>
      <c r="E430" s="45"/>
      <c r="F430" s="45"/>
      <c r="G430" s="45"/>
      <c r="H430" s="45"/>
      <c r="I430" s="45"/>
      <c r="J430" s="51"/>
      <c r="K430" s="53">
        <v>7</v>
      </c>
      <c r="L430" s="45">
        <v>120.32</v>
      </c>
      <c r="M430" s="45"/>
      <c r="N430" s="45"/>
      <c r="O430" s="45"/>
      <c r="P430" s="45"/>
      <c r="Q430" s="45"/>
      <c r="R430" s="51"/>
      <c r="S430" s="53">
        <v>7</v>
      </c>
      <c r="T430" s="45">
        <v>121.15</v>
      </c>
      <c r="U430" s="45"/>
      <c r="V430" s="45"/>
      <c r="W430" s="45"/>
      <c r="X430" s="45"/>
      <c r="Y430" s="45"/>
      <c r="Z430" s="51"/>
      <c r="AA430" s="53">
        <v>7</v>
      </c>
      <c r="AB430" s="45">
        <v>119.8</v>
      </c>
      <c r="AC430" s="45"/>
      <c r="AD430" s="45"/>
      <c r="AE430" s="45"/>
      <c r="AF430" s="45"/>
      <c r="AG430" s="45"/>
      <c r="AH430" s="51"/>
      <c r="AI430" s="53">
        <v>7</v>
      </c>
      <c r="AJ430" s="45">
        <v>120.42</v>
      </c>
      <c r="AK430" s="45"/>
      <c r="AL430" s="45"/>
      <c r="AM430" s="45"/>
      <c r="AN430" s="45"/>
      <c r="AO430" s="45"/>
      <c r="AP430" s="51"/>
    </row>
    <row r="431" spans="1:42" ht="21" customHeight="1" thickTop="1" thickBot="1" x14ac:dyDescent="0.35">
      <c r="A431" s="63"/>
      <c r="B431" s="78"/>
      <c r="C431" s="53">
        <v>8</v>
      </c>
      <c r="D431" s="45">
        <v>119.88</v>
      </c>
      <c r="E431" s="45"/>
      <c r="F431" s="45"/>
      <c r="G431" s="45"/>
      <c r="H431" s="45"/>
      <c r="I431" s="45"/>
      <c r="J431" s="51"/>
      <c r="K431" s="53">
        <v>8</v>
      </c>
      <c r="L431" s="45">
        <v>121.04</v>
      </c>
      <c r="M431" s="45"/>
      <c r="N431" s="45"/>
      <c r="O431" s="45"/>
      <c r="P431" s="45"/>
      <c r="Q431" s="45"/>
      <c r="R431" s="51"/>
      <c r="S431" s="53">
        <v>8</v>
      </c>
      <c r="T431" s="45">
        <v>123.59</v>
      </c>
      <c r="U431" s="45"/>
      <c r="V431" s="45"/>
      <c r="W431" s="45"/>
      <c r="X431" s="45"/>
      <c r="Y431" s="45"/>
      <c r="Z431" s="51"/>
      <c r="AA431" s="53">
        <v>8</v>
      </c>
      <c r="AB431" s="45">
        <v>119.99</v>
      </c>
      <c r="AC431" s="45"/>
      <c r="AD431" s="45"/>
      <c r="AE431" s="45"/>
      <c r="AF431" s="45"/>
      <c r="AG431" s="45"/>
      <c r="AH431" s="51"/>
      <c r="AI431" s="53">
        <v>8</v>
      </c>
      <c r="AJ431" s="45">
        <v>120.24</v>
      </c>
      <c r="AK431" s="45"/>
      <c r="AL431" s="45"/>
      <c r="AM431" s="45"/>
      <c r="AN431" s="45"/>
      <c r="AO431" s="45"/>
      <c r="AP431" s="51"/>
    </row>
    <row r="432" spans="1:42" ht="21" customHeight="1" thickTop="1" thickBot="1" x14ac:dyDescent="0.35">
      <c r="A432" s="63"/>
      <c r="B432" s="78"/>
      <c r="C432" s="53">
        <v>9</v>
      </c>
      <c r="D432" s="45">
        <v>120.57</v>
      </c>
      <c r="E432" s="45"/>
      <c r="F432" s="45"/>
      <c r="G432" s="45"/>
      <c r="H432" s="45"/>
      <c r="I432" s="45"/>
      <c r="J432" s="51"/>
      <c r="K432" s="53">
        <v>9</v>
      </c>
      <c r="L432" s="45">
        <v>120.92</v>
      </c>
      <c r="M432" s="45"/>
      <c r="N432" s="45"/>
      <c r="O432" s="45"/>
      <c r="P432" s="45"/>
      <c r="Q432" s="45"/>
      <c r="R432" s="51"/>
      <c r="S432" s="53">
        <v>9</v>
      </c>
      <c r="T432" s="45">
        <v>122.82</v>
      </c>
      <c r="U432" s="45"/>
      <c r="V432" s="45"/>
      <c r="W432" s="45"/>
      <c r="X432" s="45"/>
      <c r="Y432" s="45"/>
      <c r="Z432" s="51"/>
      <c r="AA432" s="53">
        <v>9</v>
      </c>
      <c r="AB432" s="45">
        <v>120.83</v>
      </c>
      <c r="AC432" s="45"/>
      <c r="AD432" s="45"/>
      <c r="AE432" s="45"/>
      <c r="AF432" s="45"/>
      <c r="AG432" s="45"/>
      <c r="AH432" s="51"/>
      <c r="AI432" s="53">
        <v>9</v>
      </c>
      <c r="AJ432" s="45">
        <v>119.51</v>
      </c>
      <c r="AK432" s="45"/>
      <c r="AL432" s="45"/>
      <c r="AM432" s="45"/>
      <c r="AN432" s="45"/>
      <c r="AO432" s="45"/>
      <c r="AP432" s="51"/>
    </row>
    <row r="433" spans="1:42" ht="21" customHeight="1" thickTop="1" thickBot="1" x14ac:dyDescent="0.35">
      <c r="A433" s="63"/>
      <c r="B433" s="78"/>
      <c r="C433" s="53">
        <v>10</v>
      </c>
      <c r="D433" s="45">
        <v>119.89</v>
      </c>
      <c r="E433" s="45"/>
      <c r="F433" s="45"/>
      <c r="G433" s="45"/>
      <c r="H433" s="45"/>
      <c r="I433" s="45"/>
      <c r="J433" s="51"/>
      <c r="K433" s="53">
        <v>10</v>
      </c>
      <c r="L433" s="45">
        <v>120.93</v>
      </c>
      <c r="M433" s="45"/>
      <c r="N433" s="45"/>
      <c r="O433" s="45"/>
      <c r="P433" s="45"/>
      <c r="Q433" s="45"/>
      <c r="R433" s="51"/>
      <c r="S433" s="53">
        <v>10</v>
      </c>
      <c r="T433" s="45">
        <v>122.17</v>
      </c>
      <c r="U433" s="45"/>
      <c r="V433" s="45"/>
      <c r="W433" s="45"/>
      <c r="X433" s="45"/>
      <c r="Y433" s="45"/>
      <c r="Z433" s="51"/>
      <c r="AA433" s="53">
        <v>10</v>
      </c>
      <c r="AB433" s="45">
        <v>120.3</v>
      </c>
      <c r="AC433" s="45"/>
      <c r="AD433" s="45"/>
      <c r="AE433" s="45"/>
      <c r="AF433" s="45"/>
      <c r="AG433" s="45"/>
      <c r="AH433" s="51"/>
      <c r="AI433" s="53">
        <v>10</v>
      </c>
      <c r="AJ433" s="45">
        <v>119.04</v>
      </c>
      <c r="AK433" s="45"/>
      <c r="AL433" s="45"/>
      <c r="AM433" s="45"/>
      <c r="AN433" s="45"/>
      <c r="AO433" s="45"/>
      <c r="AP433" s="51"/>
    </row>
    <row r="434" spans="1:42" ht="21" customHeight="1" thickTop="1" thickBot="1" x14ac:dyDescent="0.35">
      <c r="A434" s="63"/>
      <c r="B434" s="78"/>
      <c r="C434" s="53"/>
      <c r="D434" s="45"/>
      <c r="E434" s="45"/>
      <c r="F434" s="45"/>
      <c r="G434" s="45"/>
      <c r="H434" s="45"/>
      <c r="I434" s="45"/>
      <c r="J434" s="51"/>
      <c r="K434" s="53"/>
      <c r="L434" s="45"/>
      <c r="M434" s="45"/>
      <c r="N434" s="45"/>
      <c r="O434" s="45"/>
      <c r="P434" s="45"/>
      <c r="Q434" s="45"/>
      <c r="R434" s="51"/>
      <c r="S434" s="53"/>
      <c r="T434" s="45"/>
      <c r="U434" s="45"/>
      <c r="V434" s="45"/>
      <c r="W434" s="45"/>
      <c r="X434" s="45"/>
      <c r="Y434" s="45"/>
      <c r="Z434" s="51"/>
      <c r="AA434" s="53"/>
      <c r="AB434" s="45"/>
      <c r="AC434" s="45"/>
      <c r="AD434" s="45"/>
      <c r="AE434" s="45"/>
      <c r="AF434" s="45"/>
      <c r="AG434" s="45"/>
      <c r="AH434" s="51"/>
      <c r="AI434" s="53"/>
      <c r="AJ434" s="45"/>
      <c r="AK434" s="45"/>
      <c r="AL434" s="45"/>
      <c r="AM434" s="45"/>
      <c r="AN434" s="45"/>
      <c r="AO434" s="45"/>
      <c r="AP434" s="51"/>
    </row>
    <row r="435" spans="1:42" ht="41" customHeight="1" thickTop="1" thickBot="1" x14ac:dyDescent="0.35">
      <c r="A435" s="63"/>
      <c r="B435" s="78"/>
      <c r="C435" s="54" t="s">
        <v>16</v>
      </c>
      <c r="D435" s="49">
        <f>MIN(D424:D433)</f>
        <v>118.3</v>
      </c>
      <c r="E435" s="45"/>
      <c r="F435" s="55" t="s">
        <v>17</v>
      </c>
      <c r="G435" s="49" t="s">
        <v>18</v>
      </c>
      <c r="H435" s="49" t="s">
        <v>19</v>
      </c>
      <c r="I435" s="45"/>
      <c r="J435" s="51"/>
      <c r="K435" s="54" t="s">
        <v>16</v>
      </c>
      <c r="L435" s="49">
        <f>MIN(L424:L433)</f>
        <v>120.29</v>
      </c>
      <c r="M435" s="45"/>
      <c r="N435" s="55" t="s">
        <v>17</v>
      </c>
      <c r="O435" s="49" t="s">
        <v>18</v>
      </c>
      <c r="P435" s="49" t="s">
        <v>19</v>
      </c>
      <c r="Q435" s="45"/>
      <c r="R435" s="51"/>
      <c r="S435" s="54" t="s">
        <v>16</v>
      </c>
      <c r="T435" s="49">
        <f>MIN(T424:T433)</f>
        <v>120.95</v>
      </c>
      <c r="U435" s="45"/>
      <c r="V435" s="55" t="s">
        <v>17</v>
      </c>
      <c r="W435" s="49" t="s">
        <v>18</v>
      </c>
      <c r="X435" s="49" t="s">
        <v>19</v>
      </c>
      <c r="Y435" s="45"/>
      <c r="Z435" s="51"/>
      <c r="AA435" s="54" t="s">
        <v>16</v>
      </c>
      <c r="AB435" s="49">
        <f>MIN(AB424:AB433)</f>
        <v>119.8</v>
      </c>
      <c r="AC435" s="45"/>
      <c r="AD435" s="55" t="s">
        <v>17</v>
      </c>
      <c r="AE435" s="49" t="s">
        <v>18</v>
      </c>
      <c r="AF435" s="49" t="s">
        <v>19</v>
      </c>
      <c r="AG435" s="45"/>
      <c r="AH435" s="51"/>
      <c r="AI435" s="54" t="s">
        <v>16</v>
      </c>
      <c r="AJ435" s="49">
        <f>MIN(AJ424:AJ433)</f>
        <v>119.04</v>
      </c>
      <c r="AK435" s="45"/>
      <c r="AL435" s="55" t="s">
        <v>17</v>
      </c>
      <c r="AM435" s="49" t="s">
        <v>18</v>
      </c>
      <c r="AN435" s="49" t="s">
        <v>19</v>
      </c>
      <c r="AO435" s="45"/>
      <c r="AP435" s="51"/>
    </row>
    <row r="436" spans="1:42" ht="21" customHeight="1" thickTop="1" thickBot="1" x14ac:dyDescent="0.35">
      <c r="A436" s="63"/>
      <c r="B436" s="78"/>
      <c r="C436" s="54" t="s">
        <v>20</v>
      </c>
      <c r="D436" s="48">
        <f>AVERAGE(D424:D433)</f>
        <v>120.00900000000001</v>
      </c>
      <c r="E436" s="47"/>
      <c r="F436" s="48">
        <f>_xlfn.STDEV.S(D424:D433) / AVERAGE(D424:D433) * 100%</f>
        <v>5.9618119955552329E-3</v>
      </c>
      <c r="G436" s="48">
        <f t="array" ref="G436">MIN((D424:D433 - MIN(D424:D433,L424:L433,T424:T433,AB424:AB433,AJ424:AJ433))/MIN(D424:D433,L424:L433,T424:T433,AB424:AB433,AJ424:AJ433)*100%)</f>
        <v>0</v>
      </c>
      <c r="H436" s="48">
        <f t="array" ref="H436">AVERAGE((D424:D433 - MIN(D424:D433,L424:L433,T424:T433,AB424:AB433,AJ424:AJ433))/MIN(D424:D433,L424:L433,T424:T433,AB424:AB433,AJ424:AJ433)*100%)</f>
        <v>1.444632290786137E-2</v>
      </c>
      <c r="I436" s="45"/>
      <c r="J436" s="51"/>
      <c r="K436" s="54" t="s">
        <v>20</v>
      </c>
      <c r="L436" s="48">
        <f>AVERAGE(L424:L433)</f>
        <v>120.67400000000002</v>
      </c>
      <c r="M436" s="47"/>
      <c r="N436" s="48">
        <f>_xlfn.STDEV.S(L424:L433) / AVERAGE(L424:L433) * 100%</f>
        <v>2.8902829747161165E-3</v>
      </c>
      <c r="O436" s="48">
        <f t="array" ref="O436">MIN((L424:L433 - MIN(D424:D433,L424:L433,T424:T433,AB424:AB433,AJ424:AJ433))/MIN(D424:D433,L424:L433,T424:T433,AB424:AB433,AJ424:AJ433)*100%)</f>
        <v>1.6821639898563053E-2</v>
      </c>
      <c r="P436" s="48">
        <f t="array" ref="P436">AVERAGE((L424:L433 - MIN(D424:D433,L424:L433,T424:T433,AB424:AB433,AJ424:AJ433))/MIN(D424:D433,L424:L433,T424:T433,AB424:AB433,AJ424:AJ433)*100%)</f>
        <v>2.0067624683009343E-2</v>
      </c>
      <c r="Q436" s="44"/>
      <c r="R436" s="51"/>
      <c r="S436" s="54" t="s">
        <v>20</v>
      </c>
      <c r="T436" s="48">
        <f>AVERAGE(T424:T433)</f>
        <v>122.01900000000001</v>
      </c>
      <c r="U436" s="47"/>
      <c r="V436" s="48">
        <f>_xlfn.STDEV.S(T424:T433) / AVERAGE(T424:T433) * 100%</f>
        <v>7.7723329134651497E-3</v>
      </c>
      <c r="W436" s="48">
        <f t="array" ref="W436">MIN((T424:T433 - MIN(D424:D433,L424:L433,T424:T433,AB424:AB433,AJ424:AJ433))/MIN(D424:D433,L424:L433,T424:T433,AB424:AB433,AJ424:AJ433)*100%)</f>
        <v>2.2400676246830141E-2</v>
      </c>
      <c r="X436" s="48">
        <f t="array" ref="X436">AVERAGE((T424:T433 - MIN(D424:D433,L424:L433,T424:T433,AB424:AB433,AJ424:AJ433))/MIN(D424:D433,L424:L433,T424:T433,AB424:AB433,AJ424:AJ433)*100%)</f>
        <v>3.1437024513947628E-2</v>
      </c>
      <c r="Y436" s="44"/>
      <c r="Z436" s="51"/>
      <c r="AA436" s="54" t="s">
        <v>20</v>
      </c>
      <c r="AB436" s="48">
        <f>AVERAGE(AB424:AB433)</f>
        <v>120.28599999999999</v>
      </c>
      <c r="AC436" s="47"/>
      <c r="AD436" s="48">
        <f>_xlfn.STDEV.S(AB424:AB433) / AVERAGE(AB424:AB433) * 100%</f>
        <v>4.9392536947716814E-3</v>
      </c>
      <c r="AE436" s="48">
        <f t="array" ref="AE436">MIN((AB424:AB433 - MIN(D424:D433,L424:L433,T424:T433,AB424:AB433,AJ424:AJ433))/MIN(D424:D433,L424:L433,T424:T433,AB424:AB433,AJ424:AJ433)*100%)</f>
        <v>1.2679628064243449E-2</v>
      </c>
      <c r="AF436" s="48">
        <f t="array" ref="AF436">AVERAGE((AB424:AB433 - MIN(D424:D433,L424:L433,T424:T433,AB424:AB433,AJ424:AJ433))/MIN(D424:D433,L424:L433,T424:T433,AB424:AB433,AJ424:AJ433)*100%)</f>
        <v>1.6787827557058349E-2</v>
      </c>
      <c r="AG436" s="44"/>
      <c r="AH436" s="51"/>
      <c r="AI436" s="54" t="s">
        <v>20</v>
      </c>
      <c r="AJ436" s="48">
        <f>AVERAGE(AJ424:AJ433)</f>
        <v>120.119</v>
      </c>
      <c r="AK436" s="47"/>
      <c r="AL436" s="48">
        <f>_xlfn.STDEV.S(AJ424:AJ433) / AVERAGE(AJ424:AJ433) * 100%</f>
        <v>5.4958755212708207E-3</v>
      </c>
      <c r="AM436" s="48">
        <f t="array" ref="AM436">MIN((AJ424:AJ433 - MIN(D424:D433,L424:L433,T424:T433,AB424:AB433,AJ424:AJ433))/MIN(D424:D433,L424:L433,T424:T433,AB424:AB433,AJ424:AJ433)*100%)</f>
        <v>6.2552831783601786E-3</v>
      </c>
      <c r="AN436" s="48">
        <f t="array" ref="AN436">AVERAGE((AJ424:AJ433 - MIN(D424:D433,L424:L433,T424:T433,AB424:AB433,AJ424:AJ433))/MIN(D424:D433,L424:L433,T424:T433,AB424:AB433,AJ424:AJ433)*100%)</f>
        <v>1.5376162299239261E-2</v>
      </c>
      <c r="AO436" s="44"/>
      <c r="AP436" s="51"/>
    </row>
    <row r="437" spans="1:42" ht="21" customHeight="1" thickTop="1" thickBot="1" x14ac:dyDescent="0.35">
      <c r="A437" s="63"/>
      <c r="B437" s="79"/>
      <c r="C437" s="53"/>
      <c r="D437" s="44"/>
      <c r="E437" s="44"/>
      <c r="F437" s="44"/>
      <c r="G437" s="44"/>
      <c r="H437" s="44"/>
      <c r="I437" s="44"/>
      <c r="J437" s="51"/>
      <c r="K437" s="53"/>
      <c r="L437" s="44"/>
      <c r="M437" s="44"/>
      <c r="N437" s="44"/>
      <c r="O437" s="44"/>
      <c r="P437" s="44"/>
      <c r="Q437" s="44"/>
      <c r="R437" s="51"/>
      <c r="S437" s="53"/>
      <c r="T437" s="44"/>
      <c r="U437" s="44"/>
      <c r="V437" s="44"/>
      <c r="W437" s="44"/>
      <c r="X437" s="44"/>
      <c r="Y437" s="44"/>
      <c r="Z437" s="51"/>
      <c r="AA437" s="53"/>
      <c r="AB437" s="44"/>
      <c r="AC437" s="44"/>
      <c r="AD437" s="44"/>
      <c r="AE437" s="44"/>
      <c r="AF437" s="44"/>
      <c r="AG437" s="44"/>
      <c r="AH437" s="51"/>
      <c r="AI437" s="53"/>
      <c r="AJ437" s="44"/>
      <c r="AK437" s="44"/>
      <c r="AL437" s="44"/>
      <c r="AM437" s="44"/>
      <c r="AN437" s="44"/>
      <c r="AO437" s="44"/>
      <c r="AP437" s="51"/>
    </row>
    <row r="438" spans="1:42" ht="21" customHeight="1" thickTop="1" thickBot="1" x14ac:dyDescent="0.35">
      <c r="A438" s="63"/>
      <c r="B438" s="77" t="s">
        <v>55</v>
      </c>
      <c r="C438" s="59" t="s">
        <v>8</v>
      </c>
      <c r="D438" s="46" t="s">
        <v>9</v>
      </c>
      <c r="E438" s="46" t="s">
        <v>10</v>
      </c>
      <c r="F438" s="46" t="s">
        <v>11</v>
      </c>
      <c r="G438" s="46" t="s">
        <v>12</v>
      </c>
      <c r="H438" s="46" t="s">
        <v>13</v>
      </c>
      <c r="I438" s="46" t="s">
        <v>14</v>
      </c>
      <c r="J438" s="60" t="s">
        <v>15</v>
      </c>
      <c r="K438" s="59" t="s">
        <v>8</v>
      </c>
      <c r="L438" s="46" t="s">
        <v>9</v>
      </c>
      <c r="M438" s="46" t="s">
        <v>10</v>
      </c>
      <c r="N438" s="46" t="s">
        <v>11</v>
      </c>
      <c r="O438" s="46" t="s">
        <v>12</v>
      </c>
      <c r="P438" s="46" t="s">
        <v>13</v>
      </c>
      <c r="Q438" s="46" t="s">
        <v>14</v>
      </c>
      <c r="R438" s="60" t="s">
        <v>15</v>
      </c>
      <c r="S438" s="59" t="s">
        <v>8</v>
      </c>
      <c r="T438" s="46" t="s">
        <v>9</v>
      </c>
      <c r="U438" s="46" t="s">
        <v>10</v>
      </c>
      <c r="V438" s="46" t="s">
        <v>11</v>
      </c>
      <c r="W438" s="46" t="s">
        <v>12</v>
      </c>
      <c r="X438" s="46" t="s">
        <v>13</v>
      </c>
      <c r="Y438" s="46" t="s">
        <v>14</v>
      </c>
      <c r="Z438" s="60" t="s">
        <v>15</v>
      </c>
      <c r="AA438" s="59" t="s">
        <v>8</v>
      </c>
      <c r="AB438" s="46" t="s">
        <v>9</v>
      </c>
      <c r="AC438" s="46" t="s">
        <v>10</v>
      </c>
      <c r="AD438" s="46" t="s">
        <v>11</v>
      </c>
      <c r="AE438" s="46" t="s">
        <v>12</v>
      </c>
      <c r="AF438" s="46" t="s">
        <v>13</v>
      </c>
      <c r="AG438" s="46" t="s">
        <v>14</v>
      </c>
      <c r="AH438" s="60" t="s">
        <v>15</v>
      </c>
      <c r="AI438" s="59" t="s">
        <v>8</v>
      </c>
      <c r="AJ438" s="46" t="s">
        <v>9</v>
      </c>
      <c r="AK438" s="46" t="s">
        <v>10</v>
      </c>
      <c r="AL438" s="46" t="s">
        <v>11</v>
      </c>
      <c r="AM438" s="46" t="s">
        <v>12</v>
      </c>
      <c r="AN438" s="46" t="s">
        <v>13</v>
      </c>
      <c r="AO438" s="46" t="s">
        <v>14</v>
      </c>
      <c r="AP438" s="60" t="s">
        <v>15</v>
      </c>
    </row>
    <row r="439" spans="1:42" ht="21" customHeight="1" thickTop="1" thickBot="1" x14ac:dyDescent="0.35">
      <c r="A439" s="63"/>
      <c r="B439" s="78"/>
      <c r="C439" s="52">
        <v>1</v>
      </c>
      <c r="D439" s="44">
        <v>141.80000000000001</v>
      </c>
      <c r="E439" s="44"/>
      <c r="F439" s="44"/>
      <c r="G439" s="44"/>
      <c r="H439" s="44"/>
      <c r="I439" s="44"/>
      <c r="J439" s="51"/>
      <c r="K439" s="52">
        <v>1</v>
      </c>
      <c r="L439" s="44">
        <v>143.13</v>
      </c>
      <c r="M439" s="44"/>
      <c r="N439" s="44"/>
      <c r="O439" s="44"/>
      <c r="P439" s="44"/>
      <c r="Q439" s="44"/>
      <c r="R439" s="51"/>
      <c r="S439" s="52">
        <v>1</v>
      </c>
      <c r="T439" s="44">
        <v>145.24</v>
      </c>
      <c r="U439" s="44"/>
      <c r="V439" s="44"/>
      <c r="W439" s="44"/>
      <c r="X439" s="44"/>
      <c r="Y439" s="44"/>
      <c r="Z439" s="51"/>
      <c r="AA439" s="52">
        <v>1</v>
      </c>
      <c r="AB439" s="44">
        <v>146.58000000000001</v>
      </c>
      <c r="AC439" s="44"/>
      <c r="AD439" s="44"/>
      <c r="AE439" s="44"/>
      <c r="AF439" s="44"/>
      <c r="AG439" s="44"/>
      <c r="AH439" s="51"/>
      <c r="AI439" s="52">
        <v>1</v>
      </c>
      <c r="AJ439" s="44">
        <v>146</v>
      </c>
      <c r="AK439" s="44"/>
      <c r="AL439" s="44"/>
      <c r="AM439" s="44"/>
      <c r="AN439" s="44"/>
      <c r="AO439" s="44"/>
      <c r="AP439" s="51"/>
    </row>
    <row r="440" spans="1:42" ht="21" customHeight="1" thickTop="1" thickBot="1" x14ac:dyDescent="0.35">
      <c r="A440" s="63"/>
      <c r="B440" s="78"/>
      <c r="C440" s="53">
        <v>2</v>
      </c>
      <c r="D440" s="45">
        <v>143.13</v>
      </c>
      <c r="E440" s="45"/>
      <c r="F440" s="45"/>
      <c r="G440" s="45"/>
      <c r="H440" s="45"/>
      <c r="I440" s="45"/>
      <c r="J440" s="51"/>
      <c r="K440" s="53">
        <v>2</v>
      </c>
      <c r="L440" s="45">
        <v>141.87</v>
      </c>
      <c r="M440" s="45"/>
      <c r="N440" s="45"/>
      <c r="O440" s="45"/>
      <c r="P440" s="45"/>
      <c r="Q440" s="45"/>
      <c r="R440" s="51"/>
      <c r="S440" s="53">
        <v>2</v>
      </c>
      <c r="T440" s="45">
        <v>145.18</v>
      </c>
      <c r="U440" s="45"/>
      <c r="V440" s="45"/>
      <c r="W440" s="45"/>
      <c r="X440" s="45"/>
      <c r="Y440" s="45"/>
      <c r="Z440" s="51"/>
      <c r="AA440" s="53">
        <v>2</v>
      </c>
      <c r="AB440" s="45">
        <v>144.54</v>
      </c>
      <c r="AC440" s="45"/>
      <c r="AD440" s="45"/>
      <c r="AE440" s="45"/>
      <c r="AF440" s="45"/>
      <c r="AG440" s="45"/>
      <c r="AH440" s="51"/>
      <c r="AI440" s="53">
        <v>2</v>
      </c>
      <c r="AJ440" s="45">
        <v>146.38</v>
      </c>
      <c r="AK440" s="45"/>
      <c r="AL440" s="45"/>
      <c r="AM440" s="45"/>
      <c r="AN440" s="45"/>
      <c r="AO440" s="45"/>
      <c r="AP440" s="51"/>
    </row>
    <row r="441" spans="1:42" ht="21" customHeight="1" thickTop="1" thickBot="1" x14ac:dyDescent="0.35">
      <c r="A441" s="63"/>
      <c r="B441" s="78"/>
      <c r="C441" s="53">
        <v>3</v>
      </c>
      <c r="D441" s="45">
        <v>141.87</v>
      </c>
      <c r="E441" s="45"/>
      <c r="F441" s="45"/>
      <c r="G441" s="44"/>
      <c r="H441" s="44"/>
      <c r="I441" s="44"/>
      <c r="J441" s="51"/>
      <c r="K441" s="53">
        <v>3</v>
      </c>
      <c r="L441" s="45">
        <v>143.86000000000001</v>
      </c>
      <c r="M441" s="45"/>
      <c r="N441" s="45"/>
      <c r="O441" s="44"/>
      <c r="P441" s="44"/>
      <c r="Q441" s="44"/>
      <c r="R441" s="51"/>
      <c r="S441" s="53">
        <v>3</v>
      </c>
      <c r="T441" s="45">
        <v>146.09</v>
      </c>
      <c r="U441" s="45"/>
      <c r="V441" s="45"/>
      <c r="W441" s="44"/>
      <c r="X441" s="44"/>
      <c r="Y441" s="44"/>
      <c r="Z441" s="51"/>
      <c r="AA441" s="53">
        <v>3</v>
      </c>
      <c r="AB441" s="45">
        <v>143.91</v>
      </c>
      <c r="AC441" s="45"/>
      <c r="AD441" s="45"/>
      <c r="AE441" s="44"/>
      <c r="AF441" s="44"/>
      <c r="AG441" s="44"/>
      <c r="AH441" s="51"/>
      <c r="AI441" s="53">
        <v>3</v>
      </c>
      <c r="AJ441" s="45">
        <v>145.97</v>
      </c>
      <c r="AK441" s="45"/>
      <c r="AL441" s="45"/>
      <c r="AM441" s="44"/>
      <c r="AN441" s="44"/>
      <c r="AO441" s="44"/>
      <c r="AP441" s="51"/>
    </row>
    <row r="442" spans="1:42" ht="21" customHeight="1" thickTop="1" thickBot="1" x14ac:dyDescent="0.35">
      <c r="A442" s="63"/>
      <c r="B442" s="78"/>
      <c r="C442" s="53">
        <v>4</v>
      </c>
      <c r="D442" s="45">
        <v>141.80000000000001</v>
      </c>
      <c r="E442" s="45"/>
      <c r="F442" s="45"/>
      <c r="G442" s="45"/>
      <c r="H442" s="45"/>
      <c r="I442" s="45"/>
      <c r="J442" s="51"/>
      <c r="K442" s="53">
        <v>4</v>
      </c>
      <c r="L442" s="45">
        <v>142.97999999999999</v>
      </c>
      <c r="M442" s="45"/>
      <c r="N442" s="45"/>
      <c r="O442" s="45"/>
      <c r="P442" s="45"/>
      <c r="Q442" s="45"/>
      <c r="R442" s="51"/>
      <c r="S442" s="53">
        <v>4</v>
      </c>
      <c r="T442" s="45">
        <v>143.13</v>
      </c>
      <c r="U442" s="45"/>
      <c r="V442" s="45"/>
      <c r="W442" s="45"/>
      <c r="X442" s="45"/>
      <c r="Y442" s="45"/>
      <c r="Z442" s="51"/>
      <c r="AA442" s="53">
        <v>4</v>
      </c>
      <c r="AB442" s="45">
        <v>145.30000000000001</v>
      </c>
      <c r="AC442" s="45"/>
      <c r="AD442" s="45"/>
      <c r="AE442" s="45"/>
      <c r="AF442" s="45"/>
      <c r="AG442" s="45"/>
      <c r="AH442" s="51"/>
      <c r="AI442" s="53">
        <v>4</v>
      </c>
      <c r="AJ442" s="45">
        <v>146.77000000000001</v>
      </c>
      <c r="AK442" s="45"/>
      <c r="AL442" s="45"/>
      <c r="AM442" s="45"/>
      <c r="AN442" s="45"/>
      <c r="AO442" s="45"/>
      <c r="AP442" s="51"/>
    </row>
    <row r="443" spans="1:42" ht="21" customHeight="1" thickTop="1" thickBot="1" x14ac:dyDescent="0.35">
      <c r="A443" s="63"/>
      <c r="B443" s="78"/>
      <c r="C443" s="53">
        <v>5</v>
      </c>
      <c r="D443" s="45">
        <v>141.80000000000001</v>
      </c>
      <c r="E443" s="45"/>
      <c r="F443" s="45"/>
      <c r="G443" s="45"/>
      <c r="H443" s="45"/>
      <c r="I443" s="45"/>
      <c r="J443" s="51"/>
      <c r="K443" s="53">
        <v>5</v>
      </c>
      <c r="L443" s="45">
        <v>143.07</v>
      </c>
      <c r="M443" s="45"/>
      <c r="N443" s="45"/>
      <c r="O443" s="45"/>
      <c r="P443" s="45"/>
      <c r="Q443" s="45"/>
      <c r="R443" s="51"/>
      <c r="S443" s="53">
        <v>5</v>
      </c>
      <c r="T443" s="45">
        <v>144.69999999999999</v>
      </c>
      <c r="U443" s="45"/>
      <c r="V443" s="45"/>
      <c r="W443" s="45"/>
      <c r="X443" s="45"/>
      <c r="Y443" s="45"/>
      <c r="Z443" s="51"/>
      <c r="AA443" s="53">
        <v>5</v>
      </c>
      <c r="AB443" s="45">
        <v>145.24</v>
      </c>
      <c r="AC443" s="45"/>
      <c r="AD443" s="45"/>
      <c r="AE443" s="45"/>
      <c r="AF443" s="45"/>
      <c r="AG443" s="45"/>
      <c r="AH443" s="51"/>
      <c r="AI443" s="53">
        <v>5</v>
      </c>
      <c r="AJ443" s="45">
        <v>145.27000000000001</v>
      </c>
      <c r="AK443" s="45"/>
      <c r="AL443" s="45"/>
      <c r="AM443" s="45"/>
      <c r="AN443" s="45"/>
      <c r="AO443" s="45"/>
      <c r="AP443" s="51"/>
    </row>
    <row r="444" spans="1:42" ht="21" customHeight="1" thickTop="1" thickBot="1" x14ac:dyDescent="0.35">
      <c r="A444" s="63"/>
      <c r="B444" s="78"/>
      <c r="C444" s="53">
        <v>6</v>
      </c>
      <c r="D444" s="45">
        <v>141.80000000000001</v>
      </c>
      <c r="E444" s="45"/>
      <c r="F444" s="45"/>
      <c r="G444" s="45"/>
      <c r="H444" s="45"/>
      <c r="I444" s="45"/>
      <c r="J444" s="51"/>
      <c r="K444" s="53">
        <v>6</v>
      </c>
      <c r="L444" s="45">
        <v>143.07</v>
      </c>
      <c r="M444" s="45"/>
      <c r="N444" s="45"/>
      <c r="O444" s="45"/>
      <c r="P444" s="45"/>
      <c r="Q444" s="45"/>
      <c r="R444" s="51"/>
      <c r="S444" s="53">
        <v>6</v>
      </c>
      <c r="T444" s="45">
        <v>146.36000000000001</v>
      </c>
      <c r="U444" s="45"/>
      <c r="V444" s="45"/>
      <c r="W444" s="45"/>
      <c r="X444" s="45"/>
      <c r="Y444" s="45"/>
      <c r="Z444" s="51"/>
      <c r="AA444" s="53">
        <v>6</v>
      </c>
      <c r="AB444" s="45">
        <v>147.19999999999999</v>
      </c>
      <c r="AC444" s="45"/>
      <c r="AD444" s="45"/>
      <c r="AE444" s="45"/>
      <c r="AF444" s="45"/>
      <c r="AG444" s="45"/>
      <c r="AH444" s="51"/>
      <c r="AI444" s="53">
        <v>6</v>
      </c>
      <c r="AJ444" s="45">
        <v>144</v>
      </c>
      <c r="AK444" s="45"/>
      <c r="AL444" s="45"/>
      <c r="AM444" s="45"/>
      <c r="AN444" s="45"/>
      <c r="AO444" s="45"/>
      <c r="AP444" s="51"/>
    </row>
    <row r="445" spans="1:42" ht="21" customHeight="1" thickTop="1" thickBot="1" x14ac:dyDescent="0.35">
      <c r="A445" s="63"/>
      <c r="B445" s="78"/>
      <c r="C445" s="53">
        <v>7</v>
      </c>
      <c r="D445" s="45">
        <v>142.5</v>
      </c>
      <c r="E445" s="45"/>
      <c r="F445" s="45"/>
      <c r="G445" s="45"/>
      <c r="H445" s="45"/>
      <c r="I445" s="45"/>
      <c r="J445" s="51"/>
      <c r="K445" s="53">
        <v>7</v>
      </c>
      <c r="L445" s="45">
        <v>143.83000000000001</v>
      </c>
      <c r="M445" s="45"/>
      <c r="N445" s="45"/>
      <c r="O445" s="45"/>
      <c r="P445" s="45"/>
      <c r="Q445" s="45"/>
      <c r="R445" s="51"/>
      <c r="S445" s="53">
        <v>7</v>
      </c>
      <c r="T445" s="45">
        <v>143.13</v>
      </c>
      <c r="U445" s="45"/>
      <c r="V445" s="45"/>
      <c r="W445" s="45"/>
      <c r="X445" s="45"/>
      <c r="Y445" s="45"/>
      <c r="Z445" s="51"/>
      <c r="AA445" s="53">
        <v>7</v>
      </c>
      <c r="AB445" s="45">
        <v>143.86000000000001</v>
      </c>
      <c r="AC445" s="45"/>
      <c r="AD445" s="45"/>
      <c r="AE445" s="45"/>
      <c r="AF445" s="45"/>
      <c r="AG445" s="45"/>
      <c r="AH445" s="51"/>
      <c r="AI445" s="53">
        <v>7</v>
      </c>
      <c r="AJ445" s="45">
        <v>145.24</v>
      </c>
      <c r="AK445" s="45"/>
      <c r="AL445" s="45"/>
      <c r="AM445" s="45"/>
      <c r="AN445" s="45"/>
      <c r="AO445" s="45"/>
      <c r="AP445" s="51"/>
    </row>
    <row r="446" spans="1:42" ht="21" customHeight="1" thickTop="1" thickBot="1" x14ac:dyDescent="0.35">
      <c r="A446" s="63"/>
      <c r="B446" s="78"/>
      <c r="C446" s="53">
        <v>8</v>
      </c>
      <c r="D446" s="45">
        <v>141.80000000000001</v>
      </c>
      <c r="E446" s="45"/>
      <c r="F446" s="45"/>
      <c r="G446" s="45"/>
      <c r="H446" s="45"/>
      <c r="I446" s="45"/>
      <c r="J446" s="51"/>
      <c r="K446" s="53">
        <v>8</v>
      </c>
      <c r="L446" s="45">
        <v>142.63</v>
      </c>
      <c r="M446" s="45"/>
      <c r="N446" s="45"/>
      <c r="O446" s="45"/>
      <c r="P446" s="45"/>
      <c r="Q446" s="45"/>
      <c r="R446" s="51"/>
      <c r="S446" s="53">
        <v>8</v>
      </c>
      <c r="T446" s="45">
        <v>144.79</v>
      </c>
      <c r="U446" s="45"/>
      <c r="V446" s="45"/>
      <c r="W446" s="45"/>
      <c r="X446" s="45"/>
      <c r="Y446" s="45"/>
      <c r="Z446" s="51"/>
      <c r="AA446" s="53">
        <v>8</v>
      </c>
      <c r="AB446" s="45">
        <v>144.81</v>
      </c>
      <c r="AC446" s="45"/>
      <c r="AD446" s="45"/>
      <c r="AE446" s="45"/>
      <c r="AF446" s="45"/>
      <c r="AG446" s="45"/>
      <c r="AH446" s="51"/>
      <c r="AI446" s="53">
        <v>8</v>
      </c>
      <c r="AJ446" s="45">
        <v>145.88</v>
      </c>
      <c r="AK446" s="45"/>
      <c r="AL446" s="45"/>
      <c r="AM446" s="45"/>
      <c r="AN446" s="45"/>
      <c r="AO446" s="45"/>
      <c r="AP446" s="51"/>
    </row>
    <row r="447" spans="1:42" ht="21" customHeight="1" thickTop="1" thickBot="1" x14ac:dyDescent="0.35">
      <c r="A447" s="63"/>
      <c r="B447" s="78"/>
      <c r="C447" s="53">
        <v>9</v>
      </c>
      <c r="D447" s="45">
        <v>143.07</v>
      </c>
      <c r="E447" s="45"/>
      <c r="F447" s="45"/>
      <c r="G447" s="45"/>
      <c r="H447" s="45"/>
      <c r="I447" s="45"/>
      <c r="J447" s="51"/>
      <c r="K447" s="53">
        <v>9</v>
      </c>
      <c r="L447" s="45">
        <v>144.28</v>
      </c>
      <c r="M447" s="45"/>
      <c r="N447" s="45"/>
      <c r="O447" s="45"/>
      <c r="P447" s="45"/>
      <c r="Q447" s="45"/>
      <c r="R447" s="51"/>
      <c r="S447" s="53">
        <v>9</v>
      </c>
      <c r="T447" s="45">
        <v>146.56</v>
      </c>
      <c r="U447" s="45"/>
      <c r="V447" s="45"/>
      <c r="W447" s="45"/>
      <c r="X447" s="45"/>
      <c r="Y447" s="45"/>
      <c r="Z447" s="51"/>
      <c r="AA447" s="53">
        <v>9</v>
      </c>
      <c r="AB447" s="45">
        <v>146.58000000000001</v>
      </c>
      <c r="AC447" s="45"/>
      <c r="AD447" s="45"/>
      <c r="AE447" s="45"/>
      <c r="AF447" s="45"/>
      <c r="AG447" s="45"/>
      <c r="AH447" s="51"/>
      <c r="AI447" s="53">
        <v>9</v>
      </c>
      <c r="AJ447" s="45">
        <v>145.81</v>
      </c>
      <c r="AK447" s="45"/>
      <c r="AL447" s="45"/>
      <c r="AM447" s="45"/>
      <c r="AN447" s="45"/>
      <c r="AO447" s="45"/>
      <c r="AP447" s="51"/>
    </row>
    <row r="448" spans="1:42" ht="21" customHeight="1" thickTop="1" thickBot="1" x14ac:dyDescent="0.35">
      <c r="A448" s="63"/>
      <c r="B448" s="78"/>
      <c r="C448" s="53">
        <v>10</v>
      </c>
      <c r="D448" s="45">
        <v>143.29</v>
      </c>
      <c r="E448" s="45"/>
      <c r="F448" s="45"/>
      <c r="G448" s="45"/>
      <c r="H448" s="45"/>
      <c r="I448" s="45"/>
      <c r="J448" s="51"/>
      <c r="K448" s="53">
        <v>10</v>
      </c>
      <c r="L448" s="45">
        <v>143.13</v>
      </c>
      <c r="M448" s="45"/>
      <c r="N448" s="45"/>
      <c r="O448" s="45"/>
      <c r="P448" s="45"/>
      <c r="Q448" s="45"/>
      <c r="R448" s="51"/>
      <c r="S448" s="53">
        <v>10</v>
      </c>
      <c r="T448" s="45">
        <v>146.55000000000001</v>
      </c>
      <c r="U448" s="45"/>
      <c r="V448" s="45"/>
      <c r="W448" s="45"/>
      <c r="X448" s="45"/>
      <c r="Y448" s="45"/>
      <c r="Z448" s="51"/>
      <c r="AA448" s="53">
        <v>10</v>
      </c>
      <c r="AB448" s="45">
        <v>143.86000000000001</v>
      </c>
      <c r="AC448" s="45"/>
      <c r="AD448" s="45"/>
      <c r="AE448" s="45"/>
      <c r="AF448" s="45"/>
      <c r="AG448" s="45"/>
      <c r="AH448" s="51"/>
      <c r="AI448" s="53">
        <v>10</v>
      </c>
      <c r="AJ448" s="45">
        <v>143.88999999999999</v>
      </c>
      <c r="AK448" s="45"/>
      <c r="AL448" s="45"/>
      <c r="AM448" s="45"/>
      <c r="AN448" s="45"/>
      <c r="AO448" s="45"/>
      <c r="AP448" s="51"/>
    </row>
    <row r="449" spans="1:42" ht="21" customHeight="1" thickTop="1" thickBot="1" x14ac:dyDescent="0.35">
      <c r="A449" s="63"/>
      <c r="B449" s="78"/>
      <c r="C449" s="53"/>
      <c r="D449" s="45"/>
      <c r="E449" s="45"/>
      <c r="F449" s="45"/>
      <c r="G449" s="45"/>
      <c r="H449" s="45"/>
      <c r="I449" s="45"/>
      <c r="J449" s="51"/>
      <c r="K449" s="53"/>
      <c r="L449" s="45"/>
      <c r="M449" s="45"/>
      <c r="N449" s="45"/>
      <c r="O449" s="45"/>
      <c r="P449" s="45"/>
      <c r="Q449" s="45"/>
      <c r="R449" s="51"/>
      <c r="S449" s="53"/>
      <c r="T449" s="45"/>
      <c r="U449" s="45"/>
      <c r="V449" s="45"/>
      <c r="W449" s="45"/>
      <c r="X449" s="45"/>
      <c r="Y449" s="45"/>
      <c r="Z449" s="51"/>
      <c r="AA449" s="53"/>
      <c r="AB449" s="45"/>
      <c r="AC449" s="45"/>
      <c r="AD449" s="45"/>
      <c r="AE449" s="45"/>
      <c r="AF449" s="45"/>
      <c r="AG449" s="45"/>
      <c r="AH449" s="51"/>
      <c r="AI449" s="53"/>
      <c r="AJ449" s="45"/>
      <c r="AK449" s="45"/>
      <c r="AL449" s="45"/>
      <c r="AM449" s="45"/>
      <c r="AN449" s="45"/>
      <c r="AO449" s="45"/>
      <c r="AP449" s="51"/>
    </row>
    <row r="450" spans="1:42" ht="41" customHeight="1" thickTop="1" thickBot="1" x14ac:dyDescent="0.35">
      <c r="A450" s="63"/>
      <c r="B450" s="78"/>
      <c r="C450" s="54" t="s">
        <v>16</v>
      </c>
      <c r="D450" s="49">
        <f>MIN(D439:D448)</f>
        <v>141.80000000000001</v>
      </c>
      <c r="E450" s="45"/>
      <c r="F450" s="55" t="s">
        <v>17</v>
      </c>
      <c r="G450" s="49" t="s">
        <v>18</v>
      </c>
      <c r="H450" s="49" t="s">
        <v>19</v>
      </c>
      <c r="I450" s="45"/>
      <c r="J450" s="51"/>
      <c r="K450" s="54" t="s">
        <v>16</v>
      </c>
      <c r="L450" s="49">
        <f>MIN(L439:L448)</f>
        <v>141.87</v>
      </c>
      <c r="M450" s="45"/>
      <c r="N450" s="55" t="s">
        <v>17</v>
      </c>
      <c r="O450" s="49" t="s">
        <v>18</v>
      </c>
      <c r="P450" s="49" t="s">
        <v>19</v>
      </c>
      <c r="Q450" s="45"/>
      <c r="R450" s="51"/>
      <c r="S450" s="54" t="s">
        <v>16</v>
      </c>
      <c r="T450" s="49">
        <f>MIN(T439:T448)</f>
        <v>143.13</v>
      </c>
      <c r="U450" s="45"/>
      <c r="V450" s="55" t="s">
        <v>17</v>
      </c>
      <c r="W450" s="49" t="s">
        <v>18</v>
      </c>
      <c r="X450" s="49" t="s">
        <v>19</v>
      </c>
      <c r="Y450" s="45"/>
      <c r="Z450" s="51"/>
      <c r="AA450" s="54" t="s">
        <v>16</v>
      </c>
      <c r="AB450" s="49">
        <f>MIN(AB439:AB448)</f>
        <v>143.86000000000001</v>
      </c>
      <c r="AC450" s="45"/>
      <c r="AD450" s="55" t="s">
        <v>17</v>
      </c>
      <c r="AE450" s="49" t="s">
        <v>18</v>
      </c>
      <c r="AF450" s="49" t="s">
        <v>19</v>
      </c>
      <c r="AG450" s="45"/>
      <c r="AH450" s="51"/>
      <c r="AI450" s="54" t="s">
        <v>16</v>
      </c>
      <c r="AJ450" s="49">
        <f>MIN(AJ439:AJ448)</f>
        <v>143.88999999999999</v>
      </c>
      <c r="AK450" s="45"/>
      <c r="AL450" s="55" t="s">
        <v>17</v>
      </c>
      <c r="AM450" s="49" t="s">
        <v>18</v>
      </c>
      <c r="AN450" s="49" t="s">
        <v>19</v>
      </c>
      <c r="AO450" s="45"/>
      <c r="AP450" s="51"/>
    </row>
    <row r="451" spans="1:42" ht="21" customHeight="1" thickTop="1" thickBot="1" x14ac:dyDescent="0.35">
      <c r="A451" s="63"/>
      <c r="B451" s="78"/>
      <c r="C451" s="54" t="s">
        <v>20</v>
      </c>
      <c r="D451" s="48">
        <f>AVERAGE(D439:D448)</f>
        <v>142.286</v>
      </c>
      <c r="E451" s="47"/>
      <c r="F451" s="48">
        <f>_xlfn.STDEV.S(D439:D448) / AVERAGE(D439:D448) * 100%</f>
        <v>4.5274386654829343E-3</v>
      </c>
      <c r="G451" s="48">
        <f t="array" ref="G451">MIN((D439:D448 - MIN(D439:D448,L439:L448,T439:T448,AB439:AB448,AJ439:AJ448))/MIN(D439:D448,L439:L448,T439:T448,AB439:AB448,AJ439:AJ448)*100%)</f>
        <v>0</v>
      </c>
      <c r="H451" s="48">
        <f t="array" ref="H451">AVERAGE((D439:D448 - MIN(D439:D448,L439:L448,T439:T448,AB439:AB448,AJ439:AJ448))/MIN(D439:D448,L439:L448,T439:T448,AB439:AB448,AJ439:AJ448)*100%)</f>
        <v>3.4273624823694835E-3</v>
      </c>
      <c r="I451" s="45"/>
      <c r="J451" s="51"/>
      <c r="K451" s="54" t="s">
        <v>20</v>
      </c>
      <c r="L451" s="48">
        <f>AVERAGE(L439:L448)</f>
        <v>143.185</v>
      </c>
      <c r="M451" s="47"/>
      <c r="N451" s="48">
        <f>_xlfn.STDEV.S(L439:L448) / AVERAGE(L439:L448) * 100%</f>
        <v>4.7609826665748487E-3</v>
      </c>
      <c r="O451" s="48">
        <f t="array" ref="O451">MIN((L439:L448 - MIN(D439:D448,L439:L448,T439:T448,AB439:AB448,AJ439:AJ448))/MIN(D439:D448,L439:L448,T439:T448,AB439:AB448,AJ439:AJ448)*100%)</f>
        <v>4.9365303244000829E-4</v>
      </c>
      <c r="P451" s="48">
        <f t="array" ref="P451">AVERAGE((L439:L448 - MIN(D439:D448,L439:L448,T439:T448,AB439:AB448,AJ439:AJ448))/MIN(D439:D448,L439:L448,T439:T448,AB439:AB448,AJ439:AJ448)*100%)</f>
        <v>9.7672778561353167E-3</v>
      </c>
      <c r="Q451" s="44"/>
      <c r="R451" s="51"/>
      <c r="S451" s="54" t="s">
        <v>20</v>
      </c>
      <c r="T451" s="48">
        <f>AVERAGE(T439:T448)</f>
        <v>145.17299999999997</v>
      </c>
      <c r="U451" s="47"/>
      <c r="V451" s="48">
        <f>_xlfn.STDEV.S(T439:T448) / AVERAGE(T439:T448) * 100%</f>
        <v>8.831050361868726E-3</v>
      </c>
      <c r="W451" s="48">
        <f t="array" ref="W451">MIN((T439:T448 - MIN(D439:D448,L439:L448,T439:T448,AB439:AB448,AJ439:AJ448))/MIN(D439:D448,L439:L448,T439:T448,AB439:AB448,AJ439:AJ448)*100%)</f>
        <v>9.3794076163609581E-3</v>
      </c>
      <c r="X451" s="48">
        <f t="array" ref="X451">AVERAGE((T439:T448 - MIN(D439:D448,L439:L448,T439:T448,AB439:AB448,AJ439:AJ448))/MIN(D439:D448,L439:L448,T439:T448,AB439:AB448,AJ439:AJ448)*100%)</f>
        <v>2.3787023977432938E-2</v>
      </c>
      <c r="Y451" s="44"/>
      <c r="Z451" s="51"/>
      <c r="AA451" s="54" t="s">
        <v>20</v>
      </c>
      <c r="AB451" s="48">
        <f>AVERAGE(AB439:AB448)</f>
        <v>145.18800000000002</v>
      </c>
      <c r="AC451" s="47"/>
      <c r="AD451" s="48">
        <f>_xlfn.STDEV.S(AB439:AB448) / AVERAGE(AB439:AB448) * 100%</f>
        <v>8.4860293058128655E-3</v>
      </c>
      <c r="AE451" s="48">
        <f t="array" ref="AE451">MIN((AB439:AB448 - MIN(D439:D448,L439:L448,T439:T448,AB439:AB448,AJ439:AJ448))/MIN(D439:D448,L439:L448,T439:T448,AB439:AB448,AJ439:AJ448)*100%)</f>
        <v>1.4527503526093104E-2</v>
      </c>
      <c r="AF451" s="48">
        <f t="array" ref="AF451">AVERAGE((AB439:AB448 - MIN(D439:D448,L439:L448,T439:T448,AB439:AB448,AJ439:AJ448))/MIN(D439:D448,L439:L448,T439:T448,AB439:AB448,AJ439:AJ448)*100%)</f>
        <v>2.3892806770098685E-2</v>
      </c>
      <c r="AG451" s="44"/>
      <c r="AH451" s="51"/>
      <c r="AI451" s="54" t="s">
        <v>20</v>
      </c>
      <c r="AJ451" s="48">
        <f>AVERAGE(AJ439:AJ448)</f>
        <v>145.52100000000002</v>
      </c>
      <c r="AK451" s="47"/>
      <c r="AL451" s="48">
        <f>_xlfn.STDEV.S(AJ439:AJ448) / AVERAGE(AJ439:AJ448) * 100%</f>
        <v>6.5018476945611836E-3</v>
      </c>
      <c r="AM451" s="48">
        <f t="array" ref="AM451">MIN((AJ439:AJ448 - MIN(D439:D448,L439:L448,T439:T448,AB439:AB448,AJ439:AJ448))/MIN(D439:D448,L439:L448,T439:T448,AB439:AB448,AJ439:AJ448)*100%)</f>
        <v>1.4739069111424363E-2</v>
      </c>
      <c r="AN451" s="48">
        <f t="array" ref="AN451">AVERAGE((AJ439:AJ448 - MIN(D439:D448,L439:L448,T439:T448,AB439:AB448,AJ439:AJ448))/MIN(D439:D448,L439:L448,T439:T448,AB439:AB448,AJ439:AJ448)*100%)</f>
        <v>2.624118476727778E-2</v>
      </c>
      <c r="AO451" s="44"/>
      <c r="AP451" s="51"/>
    </row>
    <row r="452" spans="1:42" ht="21" customHeight="1" thickTop="1" thickBot="1" x14ac:dyDescent="0.35">
      <c r="A452" s="63"/>
      <c r="B452" s="79"/>
      <c r="C452" s="53"/>
      <c r="D452" s="44"/>
      <c r="E452" s="44"/>
      <c r="F452" s="44"/>
      <c r="G452" s="44"/>
      <c r="H452" s="44"/>
      <c r="I452" s="44"/>
      <c r="J452" s="51"/>
      <c r="K452" s="53"/>
      <c r="L452" s="44"/>
      <c r="M452" s="44"/>
      <c r="N452" s="44"/>
      <c r="O452" s="44"/>
      <c r="P452" s="44"/>
      <c r="Q452" s="44"/>
      <c r="R452" s="51"/>
      <c r="S452" s="53"/>
      <c r="T452" s="44"/>
      <c r="U452" s="44"/>
      <c r="V452" s="44"/>
      <c r="W452" s="44"/>
      <c r="X452" s="44"/>
      <c r="Y452" s="44"/>
      <c r="Z452" s="51"/>
      <c r="AA452" s="53"/>
      <c r="AB452" s="44"/>
      <c r="AC452" s="44"/>
      <c r="AD452" s="44"/>
      <c r="AE452" s="44"/>
      <c r="AF452" s="44"/>
      <c r="AG452" s="44"/>
      <c r="AH452" s="51"/>
      <c r="AI452" s="53"/>
      <c r="AJ452" s="44"/>
      <c r="AK452" s="44"/>
      <c r="AL452" s="44"/>
      <c r="AM452" s="44"/>
      <c r="AN452" s="44"/>
      <c r="AO452" s="44"/>
      <c r="AP452" s="51"/>
    </row>
    <row r="453" spans="1:42" ht="21" customHeight="1" thickTop="1" thickBot="1" x14ac:dyDescent="0.35">
      <c r="A453" s="63"/>
      <c r="B453" s="77" t="s">
        <v>56</v>
      </c>
      <c r="C453" s="59" t="s">
        <v>8</v>
      </c>
      <c r="D453" s="46" t="s">
        <v>9</v>
      </c>
      <c r="E453" s="46" t="s">
        <v>10</v>
      </c>
      <c r="F453" s="46" t="s">
        <v>11</v>
      </c>
      <c r="G453" s="46" t="s">
        <v>12</v>
      </c>
      <c r="H453" s="46" t="s">
        <v>13</v>
      </c>
      <c r="I453" s="46" t="s">
        <v>14</v>
      </c>
      <c r="J453" s="60" t="s">
        <v>15</v>
      </c>
      <c r="K453" s="59" t="s">
        <v>8</v>
      </c>
      <c r="L453" s="46" t="s">
        <v>9</v>
      </c>
      <c r="M453" s="46" t="s">
        <v>10</v>
      </c>
      <c r="N453" s="46" t="s">
        <v>11</v>
      </c>
      <c r="O453" s="46" t="s">
        <v>12</v>
      </c>
      <c r="P453" s="46" t="s">
        <v>13</v>
      </c>
      <c r="Q453" s="46" t="s">
        <v>14</v>
      </c>
      <c r="R453" s="60" t="s">
        <v>15</v>
      </c>
      <c r="S453" s="59" t="s">
        <v>8</v>
      </c>
      <c r="T453" s="46" t="s">
        <v>9</v>
      </c>
      <c r="U453" s="46" t="s">
        <v>10</v>
      </c>
      <c r="V453" s="46" t="s">
        <v>11</v>
      </c>
      <c r="W453" s="46" t="s">
        <v>12</v>
      </c>
      <c r="X453" s="46" t="s">
        <v>13</v>
      </c>
      <c r="Y453" s="46" t="s">
        <v>14</v>
      </c>
      <c r="Z453" s="60" t="s">
        <v>15</v>
      </c>
      <c r="AA453" s="59" t="s">
        <v>8</v>
      </c>
      <c r="AB453" s="46" t="s">
        <v>9</v>
      </c>
      <c r="AC453" s="46" t="s">
        <v>10</v>
      </c>
      <c r="AD453" s="46" t="s">
        <v>11</v>
      </c>
      <c r="AE453" s="46" t="s">
        <v>12</v>
      </c>
      <c r="AF453" s="46" t="s">
        <v>13</v>
      </c>
      <c r="AG453" s="46" t="s">
        <v>14</v>
      </c>
      <c r="AH453" s="60" t="s">
        <v>15</v>
      </c>
      <c r="AI453" s="59" t="s">
        <v>8</v>
      </c>
      <c r="AJ453" s="46" t="s">
        <v>9</v>
      </c>
      <c r="AK453" s="46" t="s">
        <v>10</v>
      </c>
      <c r="AL453" s="46" t="s">
        <v>11</v>
      </c>
      <c r="AM453" s="46" t="s">
        <v>12</v>
      </c>
      <c r="AN453" s="46" t="s">
        <v>13</v>
      </c>
      <c r="AO453" s="46" t="s">
        <v>14</v>
      </c>
      <c r="AP453" s="60" t="s">
        <v>15</v>
      </c>
    </row>
    <row r="454" spans="1:42" ht="21" customHeight="1" thickTop="1" thickBot="1" x14ac:dyDescent="0.35">
      <c r="A454" s="63"/>
      <c r="B454" s="78"/>
      <c r="C454" s="52">
        <v>1</v>
      </c>
      <c r="D454" s="44">
        <v>144.05000000000001</v>
      </c>
      <c r="E454" s="44"/>
      <c r="F454" s="44"/>
      <c r="G454" s="44"/>
      <c r="H454" s="44"/>
      <c r="I454" s="44"/>
      <c r="J454" s="51"/>
      <c r="K454" s="52">
        <v>1</v>
      </c>
      <c r="L454" s="44">
        <v>144.86000000000001</v>
      </c>
      <c r="M454" s="44"/>
      <c r="N454" s="44"/>
      <c r="O454" s="44"/>
      <c r="P454" s="44"/>
      <c r="Q454" s="44"/>
      <c r="R454" s="51"/>
      <c r="S454" s="52">
        <v>1</v>
      </c>
      <c r="T454" s="44">
        <v>146.75</v>
      </c>
      <c r="U454" s="44"/>
      <c r="V454" s="44"/>
      <c r="W454" s="44"/>
      <c r="X454" s="44"/>
      <c r="Y454" s="44"/>
      <c r="Z454" s="51"/>
      <c r="AA454" s="52">
        <v>1</v>
      </c>
      <c r="AB454" s="44">
        <v>143.63</v>
      </c>
      <c r="AC454" s="44"/>
      <c r="AD454" s="44"/>
      <c r="AE454" s="44"/>
      <c r="AF454" s="44"/>
      <c r="AG454" s="44"/>
      <c r="AH454" s="51"/>
      <c r="AI454" s="52">
        <v>1</v>
      </c>
      <c r="AJ454" s="44">
        <v>145.29</v>
      </c>
      <c r="AK454" s="44"/>
      <c r="AL454" s="44"/>
      <c r="AM454" s="44"/>
      <c r="AN454" s="44"/>
      <c r="AO454" s="44"/>
      <c r="AP454" s="51"/>
    </row>
    <row r="455" spans="1:42" ht="21" customHeight="1" thickTop="1" thickBot="1" x14ac:dyDescent="0.35">
      <c r="A455" s="63"/>
      <c r="B455" s="78"/>
      <c r="C455" s="53">
        <v>2</v>
      </c>
      <c r="D455" s="45">
        <v>145.49</v>
      </c>
      <c r="E455" s="45"/>
      <c r="F455" s="45"/>
      <c r="G455" s="45"/>
      <c r="H455" s="45"/>
      <c r="I455" s="45"/>
      <c r="J455" s="51"/>
      <c r="K455" s="53">
        <v>2</v>
      </c>
      <c r="L455" s="45">
        <v>145.19</v>
      </c>
      <c r="M455" s="45"/>
      <c r="N455" s="45"/>
      <c r="O455" s="45"/>
      <c r="P455" s="45"/>
      <c r="Q455" s="45"/>
      <c r="R455" s="51"/>
      <c r="S455" s="53">
        <v>2</v>
      </c>
      <c r="T455" s="45">
        <v>147.24</v>
      </c>
      <c r="U455" s="45"/>
      <c r="V455" s="45"/>
      <c r="W455" s="45"/>
      <c r="X455" s="45"/>
      <c r="Y455" s="45"/>
      <c r="Z455" s="51"/>
      <c r="AA455" s="53">
        <v>2</v>
      </c>
      <c r="AB455" s="45">
        <v>144.35</v>
      </c>
      <c r="AC455" s="45"/>
      <c r="AD455" s="45"/>
      <c r="AE455" s="45"/>
      <c r="AF455" s="45"/>
      <c r="AG455" s="45"/>
      <c r="AH455" s="51"/>
      <c r="AI455" s="53">
        <v>2</v>
      </c>
      <c r="AJ455" s="45">
        <v>145.56</v>
      </c>
      <c r="AK455" s="45"/>
      <c r="AL455" s="45"/>
      <c r="AM455" s="45"/>
      <c r="AN455" s="45"/>
      <c r="AO455" s="45"/>
      <c r="AP455" s="51"/>
    </row>
    <row r="456" spans="1:42" ht="21" customHeight="1" thickTop="1" thickBot="1" x14ac:dyDescent="0.35">
      <c r="A456" s="63"/>
      <c r="B456" s="78"/>
      <c r="C456" s="53">
        <v>3</v>
      </c>
      <c r="D456" s="45">
        <v>144.12</v>
      </c>
      <c r="E456" s="45"/>
      <c r="F456" s="45"/>
      <c r="G456" s="44"/>
      <c r="H456" s="44"/>
      <c r="I456" s="44"/>
      <c r="J456" s="51"/>
      <c r="K456" s="53">
        <v>3</v>
      </c>
      <c r="L456" s="45">
        <v>145.72999999999999</v>
      </c>
      <c r="M456" s="45"/>
      <c r="N456" s="45"/>
      <c r="O456" s="44"/>
      <c r="P456" s="44"/>
      <c r="Q456" s="44"/>
      <c r="R456" s="51"/>
      <c r="S456" s="53">
        <v>3</v>
      </c>
      <c r="T456" s="45">
        <v>147.29</v>
      </c>
      <c r="U456" s="45"/>
      <c r="V456" s="45"/>
      <c r="W456" s="44"/>
      <c r="X456" s="44"/>
      <c r="Y456" s="44"/>
      <c r="Z456" s="51"/>
      <c r="AA456" s="53">
        <v>3</v>
      </c>
      <c r="AB456" s="45">
        <v>144.13</v>
      </c>
      <c r="AC456" s="45"/>
      <c r="AD456" s="45"/>
      <c r="AE456" s="44"/>
      <c r="AF456" s="44"/>
      <c r="AG456" s="44"/>
      <c r="AH456" s="51"/>
      <c r="AI456" s="53">
        <v>3</v>
      </c>
      <c r="AJ456" s="45">
        <v>143.65</v>
      </c>
      <c r="AK456" s="45"/>
      <c r="AL456" s="45"/>
      <c r="AM456" s="44"/>
      <c r="AN456" s="44"/>
      <c r="AO456" s="44"/>
      <c r="AP456" s="51"/>
    </row>
    <row r="457" spans="1:42" ht="21" customHeight="1" thickTop="1" thickBot="1" x14ac:dyDescent="0.35">
      <c r="A457" s="63"/>
      <c r="B457" s="78"/>
      <c r="C457" s="53">
        <v>4</v>
      </c>
      <c r="D457" s="45">
        <v>145.21</v>
      </c>
      <c r="E457" s="45"/>
      <c r="F457" s="45"/>
      <c r="G457" s="45"/>
      <c r="H457" s="45"/>
      <c r="I457" s="45"/>
      <c r="J457" s="51"/>
      <c r="K457" s="53">
        <v>4</v>
      </c>
      <c r="L457" s="45">
        <v>145.04</v>
      </c>
      <c r="M457" s="45"/>
      <c r="N457" s="45"/>
      <c r="O457" s="45"/>
      <c r="P457" s="45"/>
      <c r="Q457" s="45"/>
      <c r="R457" s="51"/>
      <c r="S457" s="53">
        <v>4</v>
      </c>
      <c r="T457" s="45">
        <v>146.88999999999999</v>
      </c>
      <c r="U457" s="45"/>
      <c r="V457" s="45"/>
      <c r="W457" s="45"/>
      <c r="X457" s="45"/>
      <c r="Y457" s="45"/>
      <c r="Z457" s="51"/>
      <c r="AA457" s="53">
        <v>4</v>
      </c>
      <c r="AB457" s="45">
        <v>147.35</v>
      </c>
      <c r="AC457" s="45"/>
      <c r="AD457" s="45"/>
      <c r="AE457" s="45"/>
      <c r="AF457" s="45"/>
      <c r="AG457" s="45"/>
      <c r="AH457" s="51"/>
      <c r="AI457" s="53">
        <v>4</v>
      </c>
      <c r="AJ457" s="45">
        <v>144.44999999999999</v>
      </c>
      <c r="AK457" s="45"/>
      <c r="AL457" s="45"/>
      <c r="AM457" s="45"/>
      <c r="AN457" s="45"/>
      <c r="AO457" s="45"/>
      <c r="AP457" s="51"/>
    </row>
    <row r="458" spans="1:42" ht="21" customHeight="1" thickTop="1" thickBot="1" x14ac:dyDescent="0.35">
      <c r="A458" s="63"/>
      <c r="B458" s="78"/>
      <c r="C458" s="53">
        <v>5</v>
      </c>
      <c r="D458" s="45">
        <v>143.18</v>
      </c>
      <c r="E458" s="45"/>
      <c r="F458" s="45"/>
      <c r="G458" s="45"/>
      <c r="H458" s="45"/>
      <c r="I458" s="45"/>
      <c r="J458" s="51"/>
      <c r="K458" s="53">
        <v>5</v>
      </c>
      <c r="L458" s="45">
        <v>144.86000000000001</v>
      </c>
      <c r="M458" s="45"/>
      <c r="N458" s="45"/>
      <c r="O458" s="45"/>
      <c r="P458" s="45"/>
      <c r="Q458" s="45"/>
      <c r="R458" s="51"/>
      <c r="S458" s="53">
        <v>5</v>
      </c>
      <c r="T458" s="45">
        <v>146.29</v>
      </c>
      <c r="U458" s="45"/>
      <c r="V458" s="45"/>
      <c r="W458" s="45"/>
      <c r="X458" s="45"/>
      <c r="Y458" s="45"/>
      <c r="Z458" s="51"/>
      <c r="AA458" s="53">
        <v>5</v>
      </c>
      <c r="AB458" s="45">
        <v>146.30000000000001</v>
      </c>
      <c r="AC458" s="45"/>
      <c r="AD458" s="45"/>
      <c r="AE458" s="45"/>
      <c r="AF458" s="45"/>
      <c r="AG458" s="45"/>
      <c r="AH458" s="51"/>
      <c r="AI458" s="53">
        <v>5</v>
      </c>
      <c r="AJ458" s="45">
        <v>144.75</v>
      </c>
      <c r="AK458" s="45"/>
      <c r="AL458" s="45"/>
      <c r="AM458" s="45"/>
      <c r="AN458" s="45"/>
      <c r="AO458" s="45"/>
      <c r="AP458" s="51"/>
    </row>
    <row r="459" spans="1:42" ht="21" customHeight="1" thickTop="1" thickBot="1" x14ac:dyDescent="0.35">
      <c r="A459" s="63"/>
      <c r="B459" s="78"/>
      <c r="C459" s="53">
        <v>6</v>
      </c>
      <c r="D459" s="45">
        <v>145.13999999999999</v>
      </c>
      <c r="E459" s="45"/>
      <c r="F459" s="45"/>
      <c r="G459" s="45"/>
      <c r="H459" s="45"/>
      <c r="I459" s="45"/>
      <c r="J459" s="51"/>
      <c r="K459" s="53">
        <v>6</v>
      </c>
      <c r="L459" s="45">
        <v>144.05000000000001</v>
      </c>
      <c r="M459" s="45"/>
      <c r="N459" s="45"/>
      <c r="O459" s="45"/>
      <c r="P459" s="45"/>
      <c r="Q459" s="45"/>
      <c r="R459" s="51"/>
      <c r="S459" s="53">
        <v>6</v>
      </c>
      <c r="T459" s="45">
        <v>146.88999999999999</v>
      </c>
      <c r="U459" s="45"/>
      <c r="V459" s="45"/>
      <c r="W459" s="45"/>
      <c r="X459" s="45"/>
      <c r="Y459" s="45"/>
      <c r="Z459" s="51"/>
      <c r="AA459" s="53">
        <v>6</v>
      </c>
      <c r="AB459" s="45">
        <v>145.44999999999999</v>
      </c>
      <c r="AC459" s="45"/>
      <c r="AD459" s="45"/>
      <c r="AE459" s="45"/>
      <c r="AF459" s="45"/>
      <c r="AG459" s="45"/>
      <c r="AH459" s="51"/>
      <c r="AI459" s="53">
        <v>6</v>
      </c>
      <c r="AJ459" s="45">
        <v>145.38</v>
      </c>
      <c r="AK459" s="45"/>
      <c r="AL459" s="45"/>
      <c r="AM459" s="45"/>
      <c r="AN459" s="45"/>
      <c r="AO459" s="45"/>
      <c r="AP459" s="51"/>
    </row>
    <row r="460" spans="1:42" ht="21" customHeight="1" thickTop="1" thickBot="1" x14ac:dyDescent="0.35">
      <c r="A460" s="63"/>
      <c r="B460" s="78"/>
      <c r="C460" s="53">
        <v>7</v>
      </c>
      <c r="D460" s="45">
        <v>143.47</v>
      </c>
      <c r="E460" s="45"/>
      <c r="F460" s="45"/>
      <c r="G460" s="45"/>
      <c r="H460" s="45"/>
      <c r="I460" s="45"/>
      <c r="J460" s="51"/>
      <c r="K460" s="53">
        <v>7</v>
      </c>
      <c r="L460" s="45">
        <v>144.74</v>
      </c>
      <c r="M460" s="45"/>
      <c r="N460" s="45"/>
      <c r="O460" s="45"/>
      <c r="P460" s="45"/>
      <c r="Q460" s="45"/>
      <c r="R460" s="51"/>
      <c r="S460" s="53">
        <v>7</v>
      </c>
      <c r="T460" s="45">
        <v>148.26</v>
      </c>
      <c r="U460" s="45"/>
      <c r="V460" s="45"/>
      <c r="W460" s="45"/>
      <c r="X460" s="45"/>
      <c r="Y460" s="45"/>
      <c r="Z460" s="51"/>
      <c r="AA460" s="53">
        <v>7</v>
      </c>
      <c r="AB460" s="45">
        <v>146.88999999999999</v>
      </c>
      <c r="AC460" s="45"/>
      <c r="AD460" s="45"/>
      <c r="AE460" s="45"/>
      <c r="AF460" s="45"/>
      <c r="AG460" s="45"/>
      <c r="AH460" s="51"/>
      <c r="AI460" s="53">
        <v>7</v>
      </c>
      <c r="AJ460" s="45">
        <v>144.94999999999999</v>
      </c>
      <c r="AK460" s="45"/>
      <c r="AL460" s="45"/>
      <c r="AM460" s="45"/>
      <c r="AN460" s="45"/>
      <c r="AO460" s="45"/>
      <c r="AP460" s="51"/>
    </row>
    <row r="461" spans="1:42" ht="21" customHeight="1" thickTop="1" thickBot="1" x14ac:dyDescent="0.35">
      <c r="A461" s="63"/>
      <c r="B461" s="78"/>
      <c r="C461" s="53">
        <v>8</v>
      </c>
      <c r="D461" s="45">
        <v>143.91999999999999</v>
      </c>
      <c r="E461" s="45"/>
      <c r="F461" s="45"/>
      <c r="G461" s="45"/>
      <c r="H461" s="45"/>
      <c r="I461" s="45"/>
      <c r="J461" s="51"/>
      <c r="K461" s="53">
        <v>8</v>
      </c>
      <c r="L461" s="45">
        <v>144.4</v>
      </c>
      <c r="M461" s="45"/>
      <c r="N461" s="45"/>
      <c r="O461" s="45"/>
      <c r="P461" s="45"/>
      <c r="Q461" s="45"/>
      <c r="R461" s="51"/>
      <c r="S461" s="53">
        <v>8</v>
      </c>
      <c r="T461" s="45">
        <v>146.38999999999999</v>
      </c>
      <c r="U461" s="45"/>
      <c r="V461" s="45"/>
      <c r="W461" s="45"/>
      <c r="X461" s="45"/>
      <c r="Y461" s="45"/>
      <c r="Z461" s="51"/>
      <c r="AA461" s="53">
        <v>8</v>
      </c>
      <c r="AB461" s="45">
        <v>143.93</v>
      </c>
      <c r="AC461" s="45"/>
      <c r="AD461" s="45"/>
      <c r="AE461" s="45"/>
      <c r="AF461" s="45"/>
      <c r="AG461" s="45"/>
      <c r="AH461" s="51"/>
      <c r="AI461" s="53">
        <v>8</v>
      </c>
      <c r="AJ461" s="45">
        <v>143.88</v>
      </c>
      <c r="AK461" s="45"/>
      <c r="AL461" s="45"/>
      <c r="AM461" s="45"/>
      <c r="AN461" s="45"/>
      <c r="AO461" s="45"/>
      <c r="AP461" s="51"/>
    </row>
    <row r="462" spans="1:42" ht="21" customHeight="1" thickTop="1" thickBot="1" x14ac:dyDescent="0.35">
      <c r="A462" s="63"/>
      <c r="B462" s="78"/>
      <c r="C462" s="53">
        <v>9</v>
      </c>
      <c r="D462" s="45">
        <v>144.13</v>
      </c>
      <c r="E462" s="45"/>
      <c r="F462" s="45"/>
      <c r="G462" s="45"/>
      <c r="H462" s="45"/>
      <c r="I462" s="45"/>
      <c r="J462" s="51"/>
      <c r="K462" s="53">
        <v>9</v>
      </c>
      <c r="L462" s="45">
        <v>144.86000000000001</v>
      </c>
      <c r="M462" s="45"/>
      <c r="N462" s="45"/>
      <c r="O462" s="45"/>
      <c r="P462" s="45"/>
      <c r="Q462" s="45"/>
      <c r="R462" s="51"/>
      <c r="S462" s="53">
        <v>9</v>
      </c>
      <c r="T462" s="45">
        <v>148.62</v>
      </c>
      <c r="U462" s="45"/>
      <c r="V462" s="45"/>
      <c r="W462" s="45"/>
      <c r="X462" s="45"/>
      <c r="Y462" s="45"/>
      <c r="Z462" s="51"/>
      <c r="AA462" s="53">
        <v>9</v>
      </c>
      <c r="AB462" s="45">
        <v>144.71</v>
      </c>
      <c r="AC462" s="45"/>
      <c r="AD462" s="45"/>
      <c r="AE462" s="45"/>
      <c r="AF462" s="45"/>
      <c r="AG462" s="45"/>
      <c r="AH462" s="51"/>
      <c r="AI462" s="53">
        <v>9</v>
      </c>
      <c r="AJ462" s="45">
        <v>145.22</v>
      </c>
      <c r="AK462" s="45"/>
      <c r="AL462" s="45"/>
      <c r="AM462" s="45"/>
      <c r="AN462" s="45"/>
      <c r="AO462" s="45"/>
      <c r="AP462" s="51"/>
    </row>
    <row r="463" spans="1:42" ht="21" customHeight="1" thickTop="1" thickBot="1" x14ac:dyDescent="0.35">
      <c r="A463" s="63"/>
      <c r="B463" s="78"/>
      <c r="C463" s="53">
        <v>10</v>
      </c>
      <c r="D463" s="45">
        <v>144.86000000000001</v>
      </c>
      <c r="E463" s="45"/>
      <c r="F463" s="45"/>
      <c r="G463" s="45"/>
      <c r="H463" s="45"/>
      <c r="I463" s="45"/>
      <c r="J463" s="51"/>
      <c r="K463" s="53">
        <v>10</v>
      </c>
      <c r="L463" s="45">
        <v>144.27000000000001</v>
      </c>
      <c r="M463" s="45"/>
      <c r="N463" s="45"/>
      <c r="O463" s="45"/>
      <c r="P463" s="45"/>
      <c r="Q463" s="45"/>
      <c r="R463" s="51"/>
      <c r="S463" s="53">
        <v>10</v>
      </c>
      <c r="T463" s="45">
        <v>149.84</v>
      </c>
      <c r="U463" s="45"/>
      <c r="V463" s="45"/>
      <c r="W463" s="45"/>
      <c r="X463" s="45"/>
      <c r="Y463" s="45"/>
      <c r="Z463" s="51"/>
      <c r="AA463" s="53">
        <v>10</v>
      </c>
      <c r="AB463" s="45">
        <v>144.53</v>
      </c>
      <c r="AC463" s="45"/>
      <c r="AD463" s="45"/>
      <c r="AE463" s="45"/>
      <c r="AF463" s="45"/>
      <c r="AG463" s="45"/>
      <c r="AH463" s="51"/>
      <c r="AI463" s="53">
        <v>10</v>
      </c>
      <c r="AJ463" s="45">
        <v>145.22</v>
      </c>
      <c r="AK463" s="45"/>
      <c r="AL463" s="45"/>
      <c r="AM463" s="45"/>
      <c r="AN463" s="45"/>
      <c r="AO463" s="45"/>
      <c r="AP463" s="51"/>
    </row>
    <row r="464" spans="1:42" ht="21" customHeight="1" thickTop="1" thickBot="1" x14ac:dyDescent="0.35">
      <c r="A464" s="63"/>
      <c r="B464" s="78"/>
      <c r="C464" s="53"/>
      <c r="D464" s="45"/>
      <c r="E464" s="45"/>
      <c r="F464" s="45"/>
      <c r="G464" s="45"/>
      <c r="H464" s="45"/>
      <c r="I464" s="45"/>
      <c r="J464" s="51"/>
      <c r="K464" s="53"/>
      <c r="L464" s="45"/>
      <c r="M464" s="45"/>
      <c r="N464" s="45"/>
      <c r="O464" s="45"/>
      <c r="P464" s="45"/>
      <c r="Q464" s="45"/>
      <c r="R464" s="51"/>
      <c r="S464" s="53"/>
      <c r="T464" s="45"/>
      <c r="U464" s="45"/>
      <c r="V464" s="45"/>
      <c r="W464" s="45"/>
      <c r="X464" s="45"/>
      <c r="Y464" s="45"/>
      <c r="Z464" s="51"/>
      <c r="AA464" s="53"/>
      <c r="AB464" s="45"/>
      <c r="AC464" s="45"/>
      <c r="AD464" s="45"/>
      <c r="AE464" s="45"/>
      <c r="AF464" s="45"/>
      <c r="AG464" s="45"/>
      <c r="AH464" s="51"/>
      <c r="AI464" s="53"/>
      <c r="AJ464" s="45"/>
      <c r="AK464" s="45"/>
      <c r="AL464" s="45"/>
      <c r="AM464" s="45"/>
      <c r="AN464" s="45"/>
      <c r="AO464" s="45"/>
      <c r="AP464" s="51"/>
    </row>
    <row r="465" spans="1:42" ht="41" customHeight="1" thickTop="1" thickBot="1" x14ac:dyDescent="0.35">
      <c r="A465" s="63"/>
      <c r="B465" s="78"/>
      <c r="C465" s="54" t="s">
        <v>16</v>
      </c>
      <c r="D465" s="49">
        <f>MIN(D454:D463)</f>
        <v>143.18</v>
      </c>
      <c r="E465" s="45"/>
      <c r="F465" s="55" t="s">
        <v>17</v>
      </c>
      <c r="G465" s="49" t="s">
        <v>18</v>
      </c>
      <c r="H465" s="49" t="s">
        <v>19</v>
      </c>
      <c r="I465" s="45"/>
      <c r="J465" s="51"/>
      <c r="K465" s="54" t="s">
        <v>16</v>
      </c>
      <c r="L465" s="49">
        <f>MIN(L454:L463)</f>
        <v>144.05000000000001</v>
      </c>
      <c r="M465" s="45"/>
      <c r="N465" s="55" t="s">
        <v>17</v>
      </c>
      <c r="O465" s="49" t="s">
        <v>18</v>
      </c>
      <c r="P465" s="49" t="s">
        <v>19</v>
      </c>
      <c r="Q465" s="45"/>
      <c r="R465" s="51"/>
      <c r="S465" s="54" t="s">
        <v>16</v>
      </c>
      <c r="T465" s="49">
        <f>MIN(T454:T463)</f>
        <v>146.29</v>
      </c>
      <c r="U465" s="45"/>
      <c r="V465" s="55" t="s">
        <v>17</v>
      </c>
      <c r="W465" s="49" t="s">
        <v>18</v>
      </c>
      <c r="X465" s="49" t="s">
        <v>19</v>
      </c>
      <c r="Y465" s="45"/>
      <c r="Z465" s="51"/>
      <c r="AA465" s="54" t="s">
        <v>16</v>
      </c>
      <c r="AB465" s="49">
        <f>MIN(AB454:AB463)</f>
        <v>143.63</v>
      </c>
      <c r="AC465" s="45"/>
      <c r="AD465" s="55" t="s">
        <v>17</v>
      </c>
      <c r="AE465" s="49" t="s">
        <v>18</v>
      </c>
      <c r="AF465" s="49" t="s">
        <v>19</v>
      </c>
      <c r="AG465" s="45"/>
      <c r="AH465" s="51"/>
      <c r="AI465" s="54" t="s">
        <v>16</v>
      </c>
      <c r="AJ465" s="49">
        <f>MIN(AJ454:AJ463)</f>
        <v>143.65</v>
      </c>
      <c r="AK465" s="45"/>
      <c r="AL465" s="55" t="s">
        <v>17</v>
      </c>
      <c r="AM465" s="49" t="s">
        <v>18</v>
      </c>
      <c r="AN465" s="49" t="s">
        <v>19</v>
      </c>
      <c r="AO465" s="45"/>
      <c r="AP465" s="51"/>
    </row>
    <row r="466" spans="1:42" ht="21" customHeight="1" thickTop="1" thickBot="1" x14ac:dyDescent="0.35">
      <c r="A466" s="63"/>
      <c r="B466" s="78"/>
      <c r="C466" s="54" t="s">
        <v>20</v>
      </c>
      <c r="D466" s="48">
        <f>AVERAGE(D454:D463)</f>
        <v>144.35700000000003</v>
      </c>
      <c r="E466" s="47"/>
      <c r="F466" s="48">
        <f>_xlfn.STDEV.S(D454:D463) / AVERAGE(D454:D463) * 100%</f>
        <v>5.3868703751089623E-3</v>
      </c>
      <c r="G466" s="48">
        <f t="array" ref="G466">MIN((D454:D463 - MIN(D454:D463,L454:L463,T454:T463,AB454:AB463,AJ454:AJ463))/MIN(D454:D463,L454:L463,T454:T463,AB454:AB463,AJ454:AJ463)*100%)</f>
        <v>0</v>
      </c>
      <c r="H466" s="48">
        <f t="array" ref="H466">AVERAGE((D454:D463 - MIN(D454:D463,L454:L463,T454:T463,AB454:AB463,AJ454:AJ463))/MIN(D454:D463,L454:L463,T454:T463,AB454:AB463,AJ454:AJ463)*100%)</f>
        <v>8.2204218466265903E-3</v>
      </c>
      <c r="I466" s="45"/>
      <c r="J466" s="51"/>
      <c r="K466" s="54" t="s">
        <v>20</v>
      </c>
      <c r="L466" s="48">
        <f>AVERAGE(L454:L463)</f>
        <v>144.80000000000001</v>
      </c>
      <c r="M466" s="47"/>
      <c r="N466" s="48">
        <f>_xlfn.STDEV.S(L454:L463) / AVERAGE(L454:L463) * 100%</f>
        <v>3.3299103330558478E-3</v>
      </c>
      <c r="O466" s="48">
        <f t="array" ref="O466">MIN((L454:L463 - MIN(D454:D463,L454:L463,T454:T463,AB454:AB463,AJ454:AJ463))/MIN(D454:D463,L454:L463,T454:T463,AB454:AB463,AJ454:AJ463)*100%)</f>
        <v>6.0762676351446051E-3</v>
      </c>
      <c r="P466" s="48">
        <f t="array" ref="P466">AVERAGE((L454:L463 - MIN(D454:D463,L454:L463,T454:T463,AB454:AB463,AJ454:AJ463))/MIN(D454:D463,L454:L463,T454:T463,AB454:AB463,AJ454:AJ463)*100%)</f>
        <v>1.1314429389579541E-2</v>
      </c>
      <c r="Q466" s="44"/>
      <c r="R466" s="51"/>
      <c r="S466" s="54" t="s">
        <v>20</v>
      </c>
      <c r="T466" s="48">
        <f>AVERAGE(T454:T463)</f>
        <v>147.44599999999997</v>
      </c>
      <c r="U466" s="47"/>
      <c r="V466" s="48">
        <f>_xlfn.STDEV.S(T454:T463) / AVERAGE(T454:T463) * 100%</f>
        <v>7.6307207583705388E-3</v>
      </c>
      <c r="W466" s="48">
        <f t="array" ref="W466">MIN((T454:T463 - MIN(D454:D463,L454:L463,T454:T463,AB454:AB463,AJ454:AJ463))/MIN(D454:D463,L454:L463,T454:T463,AB454:AB463,AJ454:AJ463)*100%)</f>
        <v>2.1720910741723599E-2</v>
      </c>
      <c r="X466" s="48">
        <f t="array" ref="X466">AVERAGE((T454:T463 - MIN(D454:D463,L454:L463,T454:T463,AB454:AB463,AJ454:AJ463))/MIN(D454:D463,L454:L463,T454:T463,AB454:AB463,AJ454:AJ463)*100%)</f>
        <v>2.979466405922606E-2</v>
      </c>
      <c r="Y466" s="44"/>
      <c r="Z466" s="51"/>
      <c r="AA466" s="54" t="s">
        <v>20</v>
      </c>
      <c r="AB466" s="48">
        <f>AVERAGE(AB454:AB463)</f>
        <v>145.12700000000001</v>
      </c>
      <c r="AC466" s="47"/>
      <c r="AD466" s="48">
        <f>_xlfn.STDEV.S(AB454:AB463) / AVERAGE(AB454:AB463) * 100%</f>
        <v>8.9935276537628367E-3</v>
      </c>
      <c r="AE466" s="48">
        <f t="array" ref="AE466">MIN((AB454:AB463 - MIN(D454:D463,L454:L463,T454:T463,AB454:AB463,AJ454:AJ463))/MIN(D454:D463,L454:L463,T454:T463,AB454:AB463,AJ454:AJ463)*100%)</f>
        <v>3.1428970526609064E-3</v>
      </c>
      <c r="AF466" s="48">
        <f t="array" ref="AF466">AVERAGE((AB454:AB463 - MIN(D454:D463,L454:L463,T454:T463,AB454:AB463,AJ454:AJ463))/MIN(D454:D463,L454:L463,T454:T463,AB454:AB463,AJ454:AJ463)*100%)</f>
        <v>1.3598267914513138E-2</v>
      </c>
      <c r="AG466" s="44"/>
      <c r="AH466" s="51"/>
      <c r="AI466" s="54" t="s">
        <v>20</v>
      </c>
      <c r="AJ466" s="48">
        <f>AVERAGE(AJ454:AJ463)</f>
        <v>144.83499999999998</v>
      </c>
      <c r="AK466" s="47"/>
      <c r="AL466" s="48">
        <f>_xlfn.STDEV.S(AJ454:AJ463) / AVERAGE(AJ454:AJ463) * 100%</f>
        <v>4.4929081983257849E-3</v>
      </c>
      <c r="AM466" s="48">
        <f t="array" ref="AM466">MIN((AJ454:AJ463 - MIN(D454:D463,L454:L463,T454:T463,AB454:AB463,AJ454:AJ463))/MIN(D454:D463,L454:L463,T454:T463,AB454:AB463,AJ454:AJ463)*100%)</f>
        <v>3.2825813661125774E-3</v>
      </c>
      <c r="AN466" s="48">
        <f t="array" ref="AN466">AVERAGE((AJ454:AJ463 - MIN(D454:D463,L454:L463,T454:T463,AB454:AB463,AJ454:AJ463))/MIN(D454:D463,L454:L463,T454:T463,AB454:AB463,AJ454:AJ463)*100%)</f>
        <v>1.1558876938119777E-2</v>
      </c>
      <c r="AO466" s="44"/>
      <c r="AP466" s="51"/>
    </row>
    <row r="467" spans="1:42" ht="21" customHeight="1" thickTop="1" thickBot="1" x14ac:dyDescent="0.35">
      <c r="A467" s="63"/>
      <c r="B467" s="79"/>
      <c r="C467" s="53"/>
      <c r="D467" s="44"/>
      <c r="E467" s="44"/>
      <c r="F467" s="44"/>
      <c r="G467" s="44"/>
      <c r="H467" s="44"/>
      <c r="I467" s="44"/>
      <c r="J467" s="51"/>
      <c r="K467" s="53"/>
      <c r="L467" s="44"/>
      <c r="M467" s="44"/>
      <c r="N467" s="44"/>
      <c r="O467" s="44"/>
      <c r="P467" s="44"/>
      <c r="Q467" s="44"/>
      <c r="R467" s="51"/>
      <c r="S467" s="53"/>
      <c r="T467" s="44"/>
      <c r="U467" s="44"/>
      <c r="V467" s="44"/>
      <c r="W467" s="44"/>
      <c r="X467" s="44"/>
      <c r="Y467" s="44"/>
      <c r="Z467" s="51"/>
      <c r="AA467" s="53"/>
      <c r="AB467" s="44"/>
      <c r="AC467" s="44"/>
      <c r="AD467" s="44"/>
      <c r="AE467" s="44"/>
      <c r="AF467" s="44"/>
      <c r="AG467" s="44"/>
      <c r="AH467" s="51"/>
      <c r="AI467" s="53"/>
      <c r="AJ467" s="44"/>
      <c r="AK467" s="44"/>
      <c r="AL467" s="44"/>
      <c r="AM467" s="44"/>
      <c r="AN467" s="44"/>
      <c r="AO467" s="44"/>
      <c r="AP467" s="51"/>
    </row>
    <row r="468" spans="1:42" ht="21" customHeight="1" thickTop="1" thickBot="1" x14ac:dyDescent="0.35">
      <c r="A468" s="63"/>
      <c r="B468" s="77" t="s">
        <v>57</v>
      </c>
      <c r="C468" s="59" t="s">
        <v>8</v>
      </c>
      <c r="D468" s="46" t="s">
        <v>9</v>
      </c>
      <c r="E468" s="46" t="s">
        <v>10</v>
      </c>
      <c r="F468" s="46" t="s">
        <v>11</v>
      </c>
      <c r="G468" s="46" t="s">
        <v>12</v>
      </c>
      <c r="H468" s="46" t="s">
        <v>13</v>
      </c>
      <c r="I468" s="46" t="s">
        <v>14</v>
      </c>
      <c r="J468" s="60" t="s">
        <v>15</v>
      </c>
      <c r="K468" s="59" t="s">
        <v>8</v>
      </c>
      <c r="L468" s="46" t="s">
        <v>9</v>
      </c>
      <c r="M468" s="46" t="s">
        <v>10</v>
      </c>
      <c r="N468" s="46" t="s">
        <v>11</v>
      </c>
      <c r="O468" s="46" t="s">
        <v>12</v>
      </c>
      <c r="P468" s="46" t="s">
        <v>13</v>
      </c>
      <c r="Q468" s="46" t="s">
        <v>14</v>
      </c>
      <c r="R468" s="60" t="s">
        <v>15</v>
      </c>
      <c r="S468" s="59" t="s">
        <v>8</v>
      </c>
      <c r="T468" s="46" t="s">
        <v>9</v>
      </c>
      <c r="U468" s="46" t="s">
        <v>10</v>
      </c>
      <c r="V468" s="46" t="s">
        <v>11</v>
      </c>
      <c r="W468" s="46" t="s">
        <v>12</v>
      </c>
      <c r="X468" s="46" t="s">
        <v>13</v>
      </c>
      <c r="Y468" s="46" t="s">
        <v>14</v>
      </c>
      <c r="Z468" s="60" t="s">
        <v>15</v>
      </c>
      <c r="AA468" s="59" t="s">
        <v>8</v>
      </c>
      <c r="AB468" s="46" t="s">
        <v>9</v>
      </c>
      <c r="AC468" s="46" t="s">
        <v>10</v>
      </c>
      <c r="AD468" s="46" t="s">
        <v>11</v>
      </c>
      <c r="AE468" s="46" t="s">
        <v>12</v>
      </c>
      <c r="AF468" s="46" t="s">
        <v>13</v>
      </c>
      <c r="AG468" s="46" t="s">
        <v>14</v>
      </c>
      <c r="AH468" s="60" t="s">
        <v>15</v>
      </c>
      <c r="AI468" s="59" t="s">
        <v>8</v>
      </c>
      <c r="AJ468" s="46" t="s">
        <v>9</v>
      </c>
      <c r="AK468" s="46" t="s">
        <v>10</v>
      </c>
      <c r="AL468" s="46" t="s">
        <v>11</v>
      </c>
      <c r="AM468" s="46" t="s">
        <v>12</v>
      </c>
      <c r="AN468" s="46" t="s">
        <v>13</v>
      </c>
      <c r="AO468" s="46" t="s">
        <v>14</v>
      </c>
      <c r="AP468" s="60" t="s">
        <v>15</v>
      </c>
    </row>
    <row r="469" spans="1:42" ht="21" customHeight="1" thickTop="1" thickBot="1" x14ac:dyDescent="0.35">
      <c r="A469" s="63"/>
      <c r="B469" s="78"/>
      <c r="C469" s="52">
        <v>1</v>
      </c>
      <c r="D469" s="44">
        <v>159.28</v>
      </c>
      <c r="E469" s="44"/>
      <c r="F469" s="44"/>
      <c r="G469" s="44"/>
      <c r="H469" s="44"/>
      <c r="I469" s="44"/>
      <c r="J469" s="51"/>
      <c r="K469" s="52">
        <v>1</v>
      </c>
      <c r="L469" s="44">
        <v>159.54</v>
      </c>
      <c r="M469" s="44"/>
      <c r="N469" s="44"/>
      <c r="O469" s="44"/>
      <c r="P469" s="44"/>
      <c r="Q469" s="44"/>
      <c r="R469" s="51"/>
      <c r="S469" s="52">
        <v>1</v>
      </c>
      <c r="T469" s="44">
        <v>161</v>
      </c>
      <c r="U469" s="44"/>
      <c r="V469" s="44"/>
      <c r="W469" s="44"/>
      <c r="X469" s="44"/>
      <c r="Y469" s="44"/>
      <c r="Z469" s="51"/>
      <c r="AA469" s="52">
        <v>1</v>
      </c>
      <c r="AB469" s="44">
        <v>160.13999999999999</v>
      </c>
      <c r="AC469" s="44"/>
      <c r="AD469" s="44"/>
      <c r="AE469" s="44"/>
      <c r="AF469" s="44"/>
      <c r="AG469" s="44"/>
      <c r="AH469" s="51"/>
      <c r="AI469" s="52">
        <v>1</v>
      </c>
      <c r="AJ469" s="44">
        <v>159.63</v>
      </c>
      <c r="AK469" s="44"/>
      <c r="AL469" s="44"/>
      <c r="AM469" s="44"/>
      <c r="AN469" s="44"/>
      <c r="AO469" s="44"/>
      <c r="AP469" s="51"/>
    </row>
    <row r="470" spans="1:42" ht="21" customHeight="1" thickTop="1" thickBot="1" x14ac:dyDescent="0.35">
      <c r="A470" s="63"/>
      <c r="B470" s="78"/>
      <c r="C470" s="53">
        <v>2</v>
      </c>
      <c r="D470" s="45">
        <v>159.19999999999999</v>
      </c>
      <c r="E470" s="45"/>
      <c r="F470" s="45"/>
      <c r="G470" s="45"/>
      <c r="H470" s="45"/>
      <c r="I470" s="45"/>
      <c r="J470" s="51"/>
      <c r="K470" s="53">
        <v>2</v>
      </c>
      <c r="L470" s="45">
        <v>159.28</v>
      </c>
      <c r="M470" s="45"/>
      <c r="N470" s="45"/>
      <c r="O470" s="45"/>
      <c r="P470" s="45"/>
      <c r="Q470" s="45"/>
      <c r="R470" s="51"/>
      <c r="S470" s="53">
        <v>2</v>
      </c>
      <c r="T470" s="45">
        <v>158.27000000000001</v>
      </c>
      <c r="U470" s="45"/>
      <c r="V470" s="45"/>
      <c r="W470" s="45"/>
      <c r="X470" s="45"/>
      <c r="Y470" s="45"/>
      <c r="Z470" s="51"/>
      <c r="AA470" s="53">
        <v>2</v>
      </c>
      <c r="AB470" s="45">
        <v>157.21</v>
      </c>
      <c r="AC470" s="45"/>
      <c r="AD470" s="45"/>
      <c r="AE470" s="45"/>
      <c r="AF470" s="45"/>
      <c r="AG470" s="45"/>
      <c r="AH470" s="51"/>
      <c r="AI470" s="53">
        <v>2</v>
      </c>
      <c r="AJ470" s="45">
        <v>159.47999999999999</v>
      </c>
      <c r="AK470" s="45"/>
      <c r="AL470" s="45"/>
      <c r="AM470" s="45"/>
      <c r="AN470" s="45"/>
      <c r="AO470" s="45"/>
      <c r="AP470" s="51"/>
    </row>
    <row r="471" spans="1:42" ht="21" customHeight="1" thickTop="1" thickBot="1" x14ac:dyDescent="0.35">
      <c r="A471" s="63"/>
      <c r="B471" s="78"/>
      <c r="C471" s="53">
        <v>3</v>
      </c>
      <c r="D471" s="45">
        <v>157.47</v>
      </c>
      <c r="E471" s="45"/>
      <c r="F471" s="45"/>
      <c r="G471" s="44"/>
      <c r="H471" s="44"/>
      <c r="I471" s="44"/>
      <c r="J471" s="51"/>
      <c r="K471" s="53">
        <v>3</v>
      </c>
      <c r="L471" s="45">
        <v>159.13999999999999</v>
      </c>
      <c r="M471" s="45"/>
      <c r="N471" s="45"/>
      <c r="O471" s="44"/>
      <c r="P471" s="44"/>
      <c r="Q471" s="44"/>
      <c r="R471" s="51"/>
      <c r="S471" s="53">
        <v>3</v>
      </c>
      <c r="T471" s="45">
        <v>160.16</v>
      </c>
      <c r="U471" s="45"/>
      <c r="V471" s="45"/>
      <c r="W471" s="44"/>
      <c r="X471" s="44"/>
      <c r="Y471" s="44"/>
      <c r="Z471" s="51"/>
      <c r="AA471" s="53">
        <v>3</v>
      </c>
      <c r="AB471" s="45">
        <v>158.03</v>
      </c>
      <c r="AC471" s="45"/>
      <c r="AD471" s="45"/>
      <c r="AE471" s="44"/>
      <c r="AF471" s="44"/>
      <c r="AG471" s="44"/>
      <c r="AH471" s="51"/>
      <c r="AI471" s="53">
        <v>3</v>
      </c>
      <c r="AJ471" s="45">
        <v>159.53</v>
      </c>
      <c r="AK471" s="45"/>
      <c r="AL471" s="45"/>
      <c r="AM471" s="44"/>
      <c r="AN471" s="44"/>
      <c r="AO471" s="44"/>
      <c r="AP471" s="51"/>
    </row>
    <row r="472" spans="1:42" ht="21" customHeight="1" thickTop="1" thickBot="1" x14ac:dyDescent="0.35">
      <c r="A472" s="63"/>
      <c r="B472" s="78"/>
      <c r="C472" s="53">
        <v>4</v>
      </c>
      <c r="D472" s="45">
        <v>158</v>
      </c>
      <c r="E472" s="45"/>
      <c r="F472" s="45"/>
      <c r="G472" s="45"/>
      <c r="H472" s="45"/>
      <c r="I472" s="45"/>
      <c r="J472" s="51"/>
      <c r="K472" s="53">
        <v>4</v>
      </c>
      <c r="L472" s="45">
        <v>158.72</v>
      </c>
      <c r="M472" s="45"/>
      <c r="N472" s="45"/>
      <c r="O472" s="45"/>
      <c r="P472" s="45"/>
      <c r="Q472" s="45"/>
      <c r="R472" s="51"/>
      <c r="S472" s="53">
        <v>4</v>
      </c>
      <c r="T472" s="45">
        <v>157.78</v>
      </c>
      <c r="U472" s="45"/>
      <c r="V472" s="45"/>
      <c r="W472" s="45"/>
      <c r="X472" s="45"/>
      <c r="Y472" s="45"/>
      <c r="Z472" s="51"/>
      <c r="AA472" s="53">
        <v>4</v>
      </c>
      <c r="AB472" s="45">
        <v>157.24</v>
      </c>
      <c r="AC472" s="45"/>
      <c r="AD472" s="45"/>
      <c r="AE472" s="45"/>
      <c r="AF472" s="45"/>
      <c r="AG472" s="45"/>
      <c r="AH472" s="51"/>
      <c r="AI472" s="53">
        <v>4</v>
      </c>
      <c r="AJ472" s="45">
        <v>159.47999999999999</v>
      </c>
      <c r="AK472" s="45"/>
      <c r="AL472" s="45"/>
      <c r="AM472" s="45"/>
      <c r="AN472" s="45"/>
      <c r="AO472" s="45"/>
      <c r="AP472" s="51"/>
    </row>
    <row r="473" spans="1:42" ht="21" customHeight="1" thickTop="1" thickBot="1" x14ac:dyDescent="0.35">
      <c r="A473" s="63"/>
      <c r="B473" s="78"/>
      <c r="C473" s="53">
        <v>5</v>
      </c>
      <c r="D473" s="45">
        <v>159.28</v>
      </c>
      <c r="E473" s="45"/>
      <c r="F473" s="45"/>
      <c r="G473" s="45"/>
      <c r="H473" s="45"/>
      <c r="I473" s="45"/>
      <c r="J473" s="51"/>
      <c r="K473" s="53">
        <v>5</v>
      </c>
      <c r="L473" s="45">
        <v>159.1</v>
      </c>
      <c r="M473" s="45"/>
      <c r="N473" s="45"/>
      <c r="O473" s="45"/>
      <c r="P473" s="45"/>
      <c r="Q473" s="45"/>
      <c r="R473" s="51"/>
      <c r="S473" s="53">
        <v>5</v>
      </c>
      <c r="T473" s="45">
        <v>160.79</v>
      </c>
      <c r="U473" s="45"/>
      <c r="V473" s="45"/>
      <c r="W473" s="45"/>
      <c r="X473" s="45"/>
      <c r="Y473" s="45"/>
      <c r="Z473" s="51"/>
      <c r="AA473" s="53">
        <v>5</v>
      </c>
      <c r="AB473" s="45">
        <v>158.03</v>
      </c>
      <c r="AC473" s="45"/>
      <c r="AD473" s="45"/>
      <c r="AE473" s="45"/>
      <c r="AF473" s="45"/>
      <c r="AG473" s="45"/>
      <c r="AH473" s="51"/>
      <c r="AI473" s="53">
        <v>5</v>
      </c>
      <c r="AJ473" s="45">
        <v>158.08000000000001</v>
      </c>
      <c r="AK473" s="45"/>
      <c r="AL473" s="45"/>
      <c r="AM473" s="45"/>
      <c r="AN473" s="45"/>
      <c r="AO473" s="45"/>
      <c r="AP473" s="51"/>
    </row>
    <row r="474" spans="1:42" ht="21" customHeight="1" thickTop="1" thickBot="1" x14ac:dyDescent="0.35">
      <c r="A474" s="63"/>
      <c r="B474" s="78"/>
      <c r="C474" s="53">
        <v>6</v>
      </c>
      <c r="D474" s="45">
        <v>158.01</v>
      </c>
      <c r="E474" s="45"/>
      <c r="F474" s="45"/>
      <c r="G474" s="45"/>
      <c r="H474" s="45"/>
      <c r="I474" s="45"/>
      <c r="J474" s="51"/>
      <c r="K474" s="53">
        <v>6</v>
      </c>
      <c r="L474" s="45">
        <v>158.57</v>
      </c>
      <c r="M474" s="45"/>
      <c r="N474" s="45"/>
      <c r="O474" s="45"/>
      <c r="P474" s="45"/>
      <c r="Q474" s="45"/>
      <c r="R474" s="51"/>
      <c r="S474" s="53">
        <v>6</v>
      </c>
      <c r="T474" s="45">
        <v>160.53</v>
      </c>
      <c r="U474" s="45"/>
      <c r="V474" s="45"/>
      <c r="W474" s="45"/>
      <c r="X474" s="45"/>
      <c r="Y474" s="45"/>
      <c r="Z474" s="51"/>
      <c r="AA474" s="53">
        <v>6</v>
      </c>
      <c r="AB474" s="45">
        <v>158.13</v>
      </c>
      <c r="AC474" s="45"/>
      <c r="AD474" s="45"/>
      <c r="AE474" s="45"/>
      <c r="AF474" s="45"/>
      <c r="AG474" s="45"/>
      <c r="AH474" s="51"/>
      <c r="AI474" s="53">
        <v>6</v>
      </c>
      <c r="AJ474" s="45">
        <v>159.80000000000001</v>
      </c>
      <c r="AK474" s="45"/>
      <c r="AL474" s="45"/>
      <c r="AM474" s="45"/>
      <c r="AN474" s="45"/>
      <c r="AO474" s="45"/>
      <c r="AP474" s="51"/>
    </row>
    <row r="475" spans="1:42" ht="21" customHeight="1" thickTop="1" thickBot="1" x14ac:dyDescent="0.35">
      <c r="A475" s="63"/>
      <c r="B475" s="78"/>
      <c r="C475" s="53">
        <v>7</v>
      </c>
      <c r="D475" s="45">
        <v>156.78</v>
      </c>
      <c r="E475" s="45"/>
      <c r="F475" s="45"/>
      <c r="G475" s="45"/>
      <c r="H475" s="45"/>
      <c r="I475" s="45"/>
      <c r="J475" s="51"/>
      <c r="K475" s="53">
        <v>7</v>
      </c>
      <c r="L475" s="45">
        <v>159.28</v>
      </c>
      <c r="M475" s="45"/>
      <c r="N475" s="45"/>
      <c r="O475" s="45"/>
      <c r="P475" s="45"/>
      <c r="Q475" s="45"/>
      <c r="R475" s="51"/>
      <c r="S475" s="53">
        <v>7</v>
      </c>
      <c r="T475" s="45">
        <v>159.13999999999999</v>
      </c>
      <c r="U475" s="45"/>
      <c r="V475" s="45"/>
      <c r="W475" s="45"/>
      <c r="X475" s="45"/>
      <c r="Y475" s="45"/>
      <c r="Z475" s="51"/>
      <c r="AA475" s="53">
        <v>7</v>
      </c>
      <c r="AB475" s="45">
        <v>158.33000000000001</v>
      </c>
      <c r="AC475" s="45"/>
      <c r="AD475" s="45"/>
      <c r="AE475" s="45"/>
      <c r="AF475" s="45"/>
      <c r="AG475" s="45"/>
      <c r="AH475" s="51"/>
      <c r="AI475" s="53">
        <v>7</v>
      </c>
      <c r="AJ475" s="45">
        <v>158.37</v>
      </c>
      <c r="AK475" s="45"/>
      <c r="AL475" s="45"/>
      <c r="AM475" s="45"/>
      <c r="AN475" s="45"/>
      <c r="AO475" s="45"/>
      <c r="AP475" s="51"/>
    </row>
    <row r="476" spans="1:42" ht="21" customHeight="1" thickTop="1" thickBot="1" x14ac:dyDescent="0.35">
      <c r="A476" s="63"/>
      <c r="B476" s="78"/>
      <c r="C476" s="53">
        <v>8</v>
      </c>
      <c r="D476" s="45">
        <v>158.22</v>
      </c>
      <c r="E476" s="45"/>
      <c r="F476" s="45"/>
      <c r="G476" s="45"/>
      <c r="H476" s="45"/>
      <c r="I476" s="45"/>
      <c r="J476" s="51"/>
      <c r="K476" s="53">
        <v>8</v>
      </c>
      <c r="L476" s="45">
        <v>158.16999999999999</v>
      </c>
      <c r="M476" s="45"/>
      <c r="N476" s="45"/>
      <c r="O476" s="45"/>
      <c r="P476" s="45"/>
      <c r="Q476" s="45"/>
      <c r="R476" s="51"/>
      <c r="S476" s="53">
        <v>8</v>
      </c>
      <c r="T476" s="45">
        <v>160.62</v>
      </c>
      <c r="U476" s="45"/>
      <c r="V476" s="45"/>
      <c r="W476" s="45"/>
      <c r="X476" s="45"/>
      <c r="Y476" s="45"/>
      <c r="Z476" s="51"/>
      <c r="AA476" s="53">
        <v>8</v>
      </c>
      <c r="AB476" s="45">
        <v>160.04</v>
      </c>
      <c r="AC476" s="45"/>
      <c r="AD476" s="45"/>
      <c r="AE476" s="45"/>
      <c r="AF476" s="45"/>
      <c r="AG476" s="45"/>
      <c r="AH476" s="51"/>
      <c r="AI476" s="53">
        <v>8</v>
      </c>
      <c r="AJ476" s="45">
        <v>159.80000000000001</v>
      </c>
      <c r="AK476" s="45"/>
      <c r="AL476" s="45"/>
      <c r="AM476" s="45"/>
      <c r="AN476" s="45"/>
      <c r="AO476" s="45"/>
      <c r="AP476" s="51"/>
    </row>
    <row r="477" spans="1:42" ht="21" customHeight="1" thickTop="1" thickBot="1" x14ac:dyDescent="0.35">
      <c r="A477" s="63"/>
      <c r="B477" s="78"/>
      <c r="C477" s="53">
        <v>9</v>
      </c>
      <c r="D477" s="45">
        <v>157.36000000000001</v>
      </c>
      <c r="E477" s="45"/>
      <c r="F477" s="45"/>
      <c r="G477" s="45"/>
      <c r="H477" s="45"/>
      <c r="I477" s="45"/>
      <c r="J477" s="51"/>
      <c r="K477" s="53">
        <v>9</v>
      </c>
      <c r="L477" s="45">
        <v>159.28</v>
      </c>
      <c r="M477" s="45"/>
      <c r="N477" s="45"/>
      <c r="O477" s="45"/>
      <c r="P477" s="45"/>
      <c r="Q477" s="45"/>
      <c r="R477" s="51"/>
      <c r="S477" s="53">
        <v>9</v>
      </c>
      <c r="T477" s="45">
        <v>159.78</v>
      </c>
      <c r="U477" s="45"/>
      <c r="V477" s="45"/>
      <c r="W477" s="45"/>
      <c r="X477" s="45"/>
      <c r="Y477" s="45"/>
      <c r="Z477" s="51"/>
      <c r="AA477" s="53">
        <v>9</v>
      </c>
      <c r="AB477" s="45">
        <v>160.6</v>
      </c>
      <c r="AC477" s="45"/>
      <c r="AD477" s="45"/>
      <c r="AE477" s="45"/>
      <c r="AF477" s="45"/>
      <c r="AG477" s="45"/>
      <c r="AH477" s="51"/>
      <c r="AI477" s="53">
        <v>9</v>
      </c>
      <c r="AJ477" s="45">
        <v>158.81</v>
      </c>
      <c r="AK477" s="45"/>
      <c r="AL477" s="45"/>
      <c r="AM477" s="45"/>
      <c r="AN477" s="45"/>
      <c r="AO477" s="45"/>
      <c r="AP477" s="51"/>
    </row>
    <row r="478" spans="1:42" ht="21" customHeight="1" thickTop="1" thickBot="1" x14ac:dyDescent="0.35">
      <c r="A478" s="63"/>
      <c r="B478" s="78"/>
      <c r="C478" s="53">
        <v>10</v>
      </c>
      <c r="D478" s="45">
        <v>156.19</v>
      </c>
      <c r="E478" s="45"/>
      <c r="F478" s="45"/>
      <c r="G478" s="45"/>
      <c r="H478" s="45"/>
      <c r="I478" s="45"/>
      <c r="J478" s="51"/>
      <c r="K478" s="53">
        <v>10</v>
      </c>
      <c r="L478" s="45">
        <v>158.30000000000001</v>
      </c>
      <c r="M478" s="45"/>
      <c r="N478" s="45"/>
      <c r="O478" s="45"/>
      <c r="P478" s="45"/>
      <c r="Q478" s="45"/>
      <c r="R478" s="51"/>
      <c r="S478" s="53">
        <v>10</v>
      </c>
      <c r="T478" s="45">
        <v>157.87</v>
      </c>
      <c r="U478" s="45"/>
      <c r="V478" s="45"/>
      <c r="W478" s="45"/>
      <c r="X478" s="45"/>
      <c r="Y478" s="45"/>
      <c r="Z478" s="51"/>
      <c r="AA478" s="53">
        <v>10</v>
      </c>
      <c r="AB478" s="45">
        <v>158.57</v>
      </c>
      <c r="AC478" s="45"/>
      <c r="AD478" s="45"/>
      <c r="AE478" s="45"/>
      <c r="AF478" s="45"/>
      <c r="AG478" s="45"/>
      <c r="AH478" s="51"/>
      <c r="AI478" s="53">
        <v>10</v>
      </c>
      <c r="AJ478" s="45">
        <v>158.72999999999999</v>
      </c>
      <c r="AK478" s="45"/>
      <c r="AL478" s="45"/>
      <c r="AM478" s="45"/>
      <c r="AN478" s="45"/>
      <c r="AO478" s="45"/>
      <c r="AP478" s="51"/>
    </row>
    <row r="479" spans="1:42" ht="21" customHeight="1" thickTop="1" thickBot="1" x14ac:dyDescent="0.35">
      <c r="A479" s="63"/>
      <c r="B479" s="78"/>
      <c r="C479" s="53"/>
      <c r="D479" s="45"/>
      <c r="E479" s="45"/>
      <c r="F479" s="45"/>
      <c r="G479" s="45"/>
      <c r="H479" s="45"/>
      <c r="I479" s="45"/>
      <c r="J479" s="51"/>
      <c r="K479" s="53"/>
      <c r="L479" s="45"/>
      <c r="M479" s="45"/>
      <c r="N479" s="45"/>
      <c r="O479" s="45"/>
      <c r="P479" s="45"/>
      <c r="Q479" s="45"/>
      <c r="R479" s="51"/>
      <c r="S479" s="53"/>
      <c r="T479" s="45"/>
      <c r="U479" s="45"/>
      <c r="V479" s="45"/>
      <c r="W479" s="45"/>
      <c r="X479" s="45"/>
      <c r="Y479" s="45"/>
      <c r="Z479" s="51"/>
      <c r="AA479" s="53"/>
      <c r="AB479" s="45"/>
      <c r="AC479" s="45"/>
      <c r="AD479" s="45"/>
      <c r="AE479" s="45"/>
      <c r="AF479" s="45"/>
      <c r="AG479" s="45"/>
      <c r="AH479" s="51"/>
      <c r="AI479" s="53"/>
      <c r="AJ479" s="45"/>
      <c r="AK479" s="45"/>
      <c r="AL479" s="45"/>
      <c r="AM479" s="45"/>
      <c r="AN479" s="45"/>
      <c r="AO479" s="45"/>
      <c r="AP479" s="51"/>
    </row>
    <row r="480" spans="1:42" ht="41" customHeight="1" thickTop="1" thickBot="1" x14ac:dyDescent="0.35">
      <c r="A480" s="63"/>
      <c r="B480" s="78"/>
      <c r="C480" s="54" t="s">
        <v>16</v>
      </c>
      <c r="D480" s="49">
        <f>MIN(D469:D478)</f>
        <v>156.19</v>
      </c>
      <c r="E480" s="45"/>
      <c r="F480" s="55" t="s">
        <v>17</v>
      </c>
      <c r="G480" s="49" t="s">
        <v>18</v>
      </c>
      <c r="H480" s="49" t="s">
        <v>19</v>
      </c>
      <c r="I480" s="45"/>
      <c r="J480" s="51"/>
      <c r="K480" s="54" t="s">
        <v>16</v>
      </c>
      <c r="L480" s="49">
        <f>MIN(L469:L478)</f>
        <v>158.16999999999999</v>
      </c>
      <c r="M480" s="45"/>
      <c r="N480" s="55" t="s">
        <v>17</v>
      </c>
      <c r="O480" s="49" t="s">
        <v>18</v>
      </c>
      <c r="P480" s="49" t="s">
        <v>19</v>
      </c>
      <c r="Q480" s="45"/>
      <c r="R480" s="51"/>
      <c r="S480" s="54" t="s">
        <v>16</v>
      </c>
      <c r="T480" s="49">
        <f>MIN(T469:T478)</f>
        <v>157.78</v>
      </c>
      <c r="U480" s="45"/>
      <c r="V480" s="55" t="s">
        <v>17</v>
      </c>
      <c r="W480" s="49" t="s">
        <v>18</v>
      </c>
      <c r="X480" s="49" t="s">
        <v>19</v>
      </c>
      <c r="Y480" s="45"/>
      <c r="Z480" s="51"/>
      <c r="AA480" s="54" t="s">
        <v>16</v>
      </c>
      <c r="AB480" s="49">
        <f>MIN(AB469:AB478)</f>
        <v>157.21</v>
      </c>
      <c r="AC480" s="45"/>
      <c r="AD480" s="55" t="s">
        <v>17</v>
      </c>
      <c r="AE480" s="49" t="s">
        <v>18</v>
      </c>
      <c r="AF480" s="49" t="s">
        <v>19</v>
      </c>
      <c r="AG480" s="45"/>
      <c r="AH480" s="51"/>
      <c r="AI480" s="54" t="s">
        <v>16</v>
      </c>
      <c r="AJ480" s="49">
        <f>MIN(AJ469:AJ478)</f>
        <v>158.08000000000001</v>
      </c>
      <c r="AK480" s="45"/>
      <c r="AL480" s="55" t="s">
        <v>17</v>
      </c>
      <c r="AM480" s="49" t="s">
        <v>18</v>
      </c>
      <c r="AN480" s="49" t="s">
        <v>19</v>
      </c>
      <c r="AO480" s="45"/>
      <c r="AP480" s="51"/>
    </row>
    <row r="481" spans="1:42" ht="21" customHeight="1" thickTop="1" thickBot="1" x14ac:dyDescent="0.35">
      <c r="A481" s="63"/>
      <c r="B481" s="78"/>
      <c r="C481" s="54" t="s">
        <v>20</v>
      </c>
      <c r="D481" s="48">
        <f>AVERAGE(D469:D478)</f>
        <v>157.97899999999998</v>
      </c>
      <c r="E481" s="47"/>
      <c r="F481" s="48">
        <f>_xlfn.STDEV.S(D469:D478) / AVERAGE(D469:D478) * 100%</f>
        <v>6.7439988699600894E-3</v>
      </c>
      <c r="G481" s="48">
        <f t="array" ref="G481">MIN((D469:D478 - MIN(D469:D478,L469:L478,T469:T478,AB469:AB478,AJ469:AJ478))/MIN(D469:D478,L469:L478,T469:T478,AB469:AB478,AJ469:AJ478)*100%)</f>
        <v>0</v>
      </c>
      <c r="H481" s="48">
        <f t="array" ref="H481">AVERAGE((D469:D478 - MIN(D469:D478,L469:L478,T469:T478,AB469:AB478,AJ469:AJ478))/MIN(D469:D478,L469:L478,T469:T478,AB469:AB478,AJ469:AJ478)*100%)</f>
        <v>1.1453998335360788E-2</v>
      </c>
      <c r="I481" s="45"/>
      <c r="J481" s="51"/>
      <c r="K481" s="54" t="s">
        <v>20</v>
      </c>
      <c r="L481" s="48">
        <f>AVERAGE(L469:L478)</f>
        <v>158.93799999999999</v>
      </c>
      <c r="M481" s="47"/>
      <c r="N481" s="48">
        <f>_xlfn.STDEV.S(L469:L478) / AVERAGE(L469:L478) * 100%</f>
        <v>2.9362752387534934E-3</v>
      </c>
      <c r="O481" s="48">
        <f t="array" ref="O481">MIN((L469:L478 - MIN(D469:D478,L469:L478,T469:T478,AB469:AB478,AJ469:AJ478))/MIN(D469:D478,L469:L478,T469:T478,AB469:AB478,AJ469:AJ478)*100%)</f>
        <v>1.267686791728017E-2</v>
      </c>
      <c r="P481" s="48">
        <f t="array" ref="P481">AVERAGE((L469:L478 - MIN(D469:D478,L469:L478,T469:T478,AB469:AB478,AJ469:AJ478))/MIN(D469:D478,L469:L478,T469:T478,AB469:AB478,AJ469:AJ478)*100%)</f>
        <v>1.759395607913438E-2</v>
      </c>
      <c r="Q481" s="44"/>
      <c r="R481" s="51"/>
      <c r="S481" s="54" t="s">
        <v>20</v>
      </c>
      <c r="T481" s="48">
        <f>AVERAGE(T469:T478)</f>
        <v>159.59399999999999</v>
      </c>
      <c r="U481" s="47"/>
      <c r="V481" s="48">
        <f>_xlfn.STDEV.S(T469:T478) / AVERAGE(T469:T478) * 100%</f>
        <v>7.7905851871955924E-3</v>
      </c>
      <c r="W481" s="48">
        <f t="array" ref="W481">MIN((T469:T478 - MIN(D469:D478,L469:L478,T469:T478,AB469:AB478,AJ469:AJ478))/MIN(D469:D478,L469:L478,T469:T478,AB469:AB478,AJ469:AJ478)*100%)</f>
        <v>1.0179909085088696E-2</v>
      </c>
      <c r="X481" s="48">
        <f t="array" ref="X481">AVERAGE((T469:T478 - MIN(D469:D478,L469:L478,T469:T478,AB469:AB478,AJ469:AJ478))/MIN(D469:D478,L469:L478,T469:T478,AB469:AB478,AJ469:AJ478)*100%)</f>
        <v>2.1793968884051489E-2</v>
      </c>
      <c r="Y481" s="44"/>
      <c r="Z481" s="51"/>
      <c r="AA481" s="54" t="s">
        <v>20</v>
      </c>
      <c r="AB481" s="48">
        <f>AVERAGE(AB469:AB478)</f>
        <v>158.63199999999998</v>
      </c>
      <c r="AC481" s="47"/>
      <c r="AD481" s="48">
        <f>_xlfn.STDEV.S(AB469:AB478) / AVERAGE(AB469:AB478) * 100%</f>
        <v>7.6231599090888971E-3</v>
      </c>
      <c r="AE481" s="48">
        <f t="array" ref="AE481">MIN((AB469:AB478 - MIN(D469:D478,L469:L478,T469:T478,AB469:AB478,AJ469:AJ478))/MIN(D469:D478,L469:L478,T469:T478,AB469:AB478,AJ469:AJ478)*100%)</f>
        <v>6.5305077149626113E-3</v>
      </c>
      <c r="AF481" s="48">
        <f t="array" ref="AF481">AVERAGE((AB469:AB478 - MIN(D469:D478,L469:L478,T469:T478,AB469:AB478,AJ469:AJ478))/MIN(D469:D478,L469:L478,T469:T478,AB469:AB478,AJ469:AJ478)*100%)</f>
        <v>1.5634803764645634E-2</v>
      </c>
      <c r="AG481" s="44"/>
      <c r="AH481" s="51"/>
      <c r="AI481" s="54" t="s">
        <v>20</v>
      </c>
      <c r="AJ481" s="48">
        <f>AVERAGE(AJ469:AJ478)</f>
        <v>159.17099999999999</v>
      </c>
      <c r="AK481" s="47"/>
      <c r="AL481" s="48">
        <f>_xlfn.STDEV.S(AJ469:AJ478) / AVERAGE(AJ469:AJ478) * 100%</f>
        <v>3.9058016100572031E-3</v>
      </c>
      <c r="AM481" s="48">
        <f t="array" ref="AM481">MIN((AJ469:AJ478 - MIN(D469:D478,L469:L478,T469:T478,AB469:AB478,AJ469:AJ478))/MIN(D469:D478,L469:L478,T469:T478,AB469:AB478,AJ469:AJ478)*100%)</f>
        <v>1.2100646648313047E-2</v>
      </c>
      <c r="AN481" s="48">
        <f t="array" ref="AN481">AVERAGE((AJ469:AJ478 - MIN(D469:D478,L469:L478,T469:T478,AB469:AB478,AJ469:AJ478))/MIN(D469:D478,L469:L478,T469:T478,AB469:AB478,AJ469:AJ478)*100%)</f>
        <v>1.9085728919905263E-2</v>
      </c>
      <c r="AO481" s="44"/>
      <c r="AP481" s="51"/>
    </row>
    <row r="482" spans="1:42" ht="21" customHeight="1" thickTop="1" thickBot="1" x14ac:dyDescent="0.35">
      <c r="A482" s="64"/>
      <c r="B482" s="79"/>
      <c r="C482" s="56"/>
      <c r="D482" s="57"/>
      <c r="E482" s="57"/>
      <c r="F482" s="57"/>
      <c r="G482" s="57"/>
      <c r="H482" s="57"/>
      <c r="I482" s="57"/>
      <c r="J482" s="58"/>
      <c r="K482" s="56"/>
      <c r="L482" s="57"/>
      <c r="M482" s="57"/>
      <c r="N482" s="57"/>
      <c r="O482" s="57"/>
      <c r="P482" s="57"/>
      <c r="Q482" s="57"/>
      <c r="R482" s="58"/>
      <c r="S482" s="56"/>
      <c r="T482" s="57"/>
      <c r="U482" s="57"/>
      <c r="V482" s="57"/>
      <c r="W482" s="57"/>
      <c r="X482" s="57"/>
      <c r="Y482" s="57"/>
      <c r="Z482" s="58"/>
      <c r="AA482" s="56"/>
      <c r="AB482" s="57"/>
      <c r="AC482" s="57"/>
      <c r="AD482" s="57"/>
      <c r="AE482" s="57"/>
      <c r="AF482" s="57"/>
      <c r="AG482" s="57"/>
      <c r="AH482" s="58"/>
      <c r="AI482" s="56"/>
      <c r="AJ482" s="57"/>
      <c r="AK482" s="57"/>
      <c r="AL482" s="57"/>
      <c r="AM482" s="57"/>
      <c r="AN482" s="57"/>
      <c r="AO482" s="57"/>
      <c r="AP482" s="58"/>
    </row>
    <row r="483" spans="1:42" ht="21" customHeight="1" thickTop="1" thickBot="1" x14ac:dyDescent="0.35">
      <c r="A483" s="62">
        <v>5</v>
      </c>
      <c r="B483" s="77" t="s">
        <v>58</v>
      </c>
      <c r="C483" s="59" t="s">
        <v>8</v>
      </c>
      <c r="D483" s="46" t="s">
        <v>9</v>
      </c>
      <c r="E483" s="46" t="s">
        <v>10</v>
      </c>
      <c r="F483" s="46" t="s">
        <v>11</v>
      </c>
      <c r="G483" s="46" t="s">
        <v>12</v>
      </c>
      <c r="H483" s="46" t="s">
        <v>13</v>
      </c>
      <c r="I483" s="46" t="s">
        <v>14</v>
      </c>
      <c r="J483" s="60" t="s">
        <v>15</v>
      </c>
      <c r="K483" s="59" t="s">
        <v>8</v>
      </c>
      <c r="L483" s="46" t="s">
        <v>9</v>
      </c>
      <c r="M483" s="46" t="s">
        <v>10</v>
      </c>
      <c r="N483" s="46" t="s">
        <v>11</v>
      </c>
      <c r="O483" s="46" t="s">
        <v>12</v>
      </c>
      <c r="P483" s="46" t="s">
        <v>13</v>
      </c>
      <c r="Q483" s="46" t="s">
        <v>14</v>
      </c>
      <c r="R483" s="60" t="s">
        <v>15</v>
      </c>
      <c r="S483" s="59" t="s">
        <v>8</v>
      </c>
      <c r="T483" s="46" t="s">
        <v>9</v>
      </c>
      <c r="U483" s="46" t="s">
        <v>10</v>
      </c>
      <c r="V483" s="46" t="s">
        <v>11</v>
      </c>
      <c r="W483" s="46" t="s">
        <v>12</v>
      </c>
      <c r="X483" s="46" t="s">
        <v>13</v>
      </c>
      <c r="Y483" s="46" t="s">
        <v>14</v>
      </c>
      <c r="Z483" s="60" t="s">
        <v>15</v>
      </c>
      <c r="AA483" s="59" t="s">
        <v>8</v>
      </c>
      <c r="AB483" s="46" t="s">
        <v>9</v>
      </c>
      <c r="AC483" s="46" t="s">
        <v>10</v>
      </c>
      <c r="AD483" s="46" t="s">
        <v>11</v>
      </c>
      <c r="AE483" s="46" t="s">
        <v>12</v>
      </c>
      <c r="AF483" s="46" t="s">
        <v>13</v>
      </c>
      <c r="AG483" s="46" t="s">
        <v>14</v>
      </c>
      <c r="AH483" s="60" t="s">
        <v>15</v>
      </c>
      <c r="AI483" s="59" t="s">
        <v>8</v>
      </c>
      <c r="AJ483" s="46" t="s">
        <v>9</v>
      </c>
      <c r="AK483" s="46" t="s">
        <v>10</v>
      </c>
      <c r="AL483" s="46" t="s">
        <v>11</v>
      </c>
      <c r="AM483" s="46" t="s">
        <v>12</v>
      </c>
      <c r="AN483" s="46" t="s">
        <v>13</v>
      </c>
      <c r="AO483" s="46" t="s">
        <v>14</v>
      </c>
      <c r="AP483" s="60" t="s">
        <v>15</v>
      </c>
    </row>
    <row r="484" spans="1:42" ht="21" customHeight="1" thickTop="1" thickBot="1" x14ac:dyDescent="0.35">
      <c r="A484" s="63"/>
      <c r="B484" s="78"/>
      <c r="C484" s="52">
        <v>1</v>
      </c>
      <c r="D484" s="44">
        <v>72.47</v>
      </c>
      <c r="E484" s="44"/>
      <c r="F484" s="44"/>
      <c r="G484" s="44"/>
      <c r="H484" s="44"/>
      <c r="I484" s="44"/>
      <c r="J484" s="51"/>
      <c r="K484" s="52">
        <v>1</v>
      </c>
      <c r="L484" s="44">
        <v>71.86999999999999</v>
      </c>
      <c r="M484" s="44"/>
      <c r="N484" s="44"/>
      <c r="O484" s="44"/>
      <c r="P484" s="44"/>
      <c r="Q484" s="44"/>
      <c r="R484" s="51"/>
      <c r="S484" s="52">
        <v>1</v>
      </c>
      <c r="T484" s="44">
        <v>74.47999999999999</v>
      </c>
      <c r="U484" s="44"/>
      <c r="V484" s="44"/>
      <c r="W484" s="44"/>
      <c r="X484" s="44"/>
      <c r="Y484" s="44"/>
      <c r="Z484" s="51"/>
      <c r="AA484" s="52">
        <v>1</v>
      </c>
      <c r="AB484" s="44">
        <v>73</v>
      </c>
      <c r="AC484" s="44"/>
      <c r="AD484" s="44"/>
      <c r="AE484" s="44"/>
      <c r="AF484" s="44"/>
      <c r="AG484" s="44"/>
      <c r="AH484" s="51"/>
      <c r="AI484" s="52">
        <v>1</v>
      </c>
      <c r="AJ484" s="44">
        <v>73.36999999999999</v>
      </c>
      <c r="AK484" s="44"/>
      <c r="AL484" s="44"/>
      <c r="AM484" s="44"/>
      <c r="AN484" s="44"/>
      <c r="AO484" s="44"/>
      <c r="AP484" s="51"/>
    </row>
    <row r="485" spans="1:42" ht="21" customHeight="1" thickTop="1" thickBot="1" x14ac:dyDescent="0.35">
      <c r="A485" s="63"/>
      <c r="B485" s="78"/>
      <c r="C485" s="53">
        <v>2</v>
      </c>
      <c r="D485" s="45">
        <v>72.39</v>
      </c>
      <c r="E485" s="45"/>
      <c r="F485" s="45"/>
      <c r="G485" s="45"/>
      <c r="H485" s="45"/>
      <c r="I485" s="45"/>
      <c r="J485" s="51"/>
      <c r="K485" s="53">
        <v>2</v>
      </c>
      <c r="L485" s="45">
        <v>73.02</v>
      </c>
      <c r="M485" s="45"/>
      <c r="N485" s="45"/>
      <c r="O485" s="45"/>
      <c r="P485" s="45"/>
      <c r="Q485" s="45"/>
      <c r="R485" s="51"/>
      <c r="S485" s="53">
        <v>2</v>
      </c>
      <c r="T485" s="45">
        <v>76.260000000000005</v>
      </c>
      <c r="U485" s="45"/>
      <c r="V485" s="45"/>
      <c r="W485" s="45"/>
      <c r="X485" s="45"/>
      <c r="Y485" s="45"/>
      <c r="Z485" s="51"/>
      <c r="AA485" s="53">
        <v>2</v>
      </c>
      <c r="AB485" s="45">
        <v>74.239999999999995</v>
      </c>
      <c r="AC485" s="45"/>
      <c r="AD485" s="45"/>
      <c r="AE485" s="45"/>
      <c r="AF485" s="45"/>
      <c r="AG485" s="45"/>
      <c r="AH485" s="51"/>
      <c r="AI485" s="53">
        <v>2</v>
      </c>
      <c r="AJ485" s="45">
        <v>72.42</v>
      </c>
      <c r="AK485" s="45"/>
      <c r="AL485" s="45"/>
      <c r="AM485" s="45"/>
      <c r="AN485" s="45"/>
      <c r="AO485" s="45"/>
      <c r="AP485" s="51"/>
    </row>
    <row r="486" spans="1:42" ht="21" customHeight="1" thickTop="1" thickBot="1" x14ac:dyDescent="0.35">
      <c r="A486" s="63"/>
      <c r="B486" s="78"/>
      <c r="C486" s="53">
        <v>3</v>
      </c>
      <c r="D486" s="45">
        <v>73</v>
      </c>
      <c r="E486" s="45"/>
      <c r="F486" s="45"/>
      <c r="G486" s="44"/>
      <c r="H486" s="44"/>
      <c r="I486" s="44"/>
      <c r="J486" s="51"/>
      <c r="K486" s="53">
        <v>3</v>
      </c>
      <c r="L486" s="45">
        <v>73</v>
      </c>
      <c r="M486" s="45"/>
      <c r="N486" s="45"/>
      <c r="O486" s="44"/>
      <c r="P486" s="44"/>
      <c r="Q486" s="44"/>
      <c r="R486" s="51"/>
      <c r="S486" s="53">
        <v>3</v>
      </c>
      <c r="T486" s="45">
        <v>73.91</v>
      </c>
      <c r="U486" s="45"/>
      <c r="V486" s="45"/>
      <c r="W486" s="44"/>
      <c r="X486" s="44"/>
      <c r="Y486" s="44"/>
      <c r="Z486" s="51"/>
      <c r="AA486" s="53">
        <v>3</v>
      </c>
      <c r="AB486" s="45">
        <v>72.92</v>
      </c>
      <c r="AC486" s="45"/>
      <c r="AD486" s="45"/>
      <c r="AE486" s="44"/>
      <c r="AF486" s="44"/>
      <c r="AG486" s="44"/>
      <c r="AH486" s="51"/>
      <c r="AI486" s="53">
        <v>3</v>
      </c>
      <c r="AJ486" s="45">
        <v>73.160000000000011</v>
      </c>
      <c r="AK486" s="45"/>
      <c r="AL486" s="45"/>
      <c r="AM486" s="44"/>
      <c r="AN486" s="44"/>
      <c r="AO486" s="44"/>
      <c r="AP486" s="51"/>
    </row>
    <row r="487" spans="1:42" ht="21" customHeight="1" thickTop="1" thickBot="1" x14ac:dyDescent="0.35">
      <c r="A487" s="63"/>
      <c r="B487" s="78"/>
      <c r="C487" s="53">
        <v>4</v>
      </c>
      <c r="D487" s="45">
        <v>72.39</v>
      </c>
      <c r="E487" s="45"/>
      <c r="F487" s="45"/>
      <c r="G487" s="45"/>
      <c r="H487" s="45"/>
      <c r="I487" s="45"/>
      <c r="J487" s="51"/>
      <c r="K487" s="53">
        <v>4</v>
      </c>
      <c r="L487" s="45">
        <v>72.17</v>
      </c>
      <c r="M487" s="45"/>
      <c r="N487" s="45"/>
      <c r="O487" s="45"/>
      <c r="P487" s="45"/>
      <c r="Q487" s="45"/>
      <c r="R487" s="51"/>
      <c r="S487" s="53">
        <v>4</v>
      </c>
      <c r="T487" s="45">
        <v>72.47</v>
      </c>
      <c r="U487" s="45"/>
      <c r="V487" s="45"/>
      <c r="W487" s="45"/>
      <c r="X487" s="45"/>
      <c r="Y487" s="45"/>
      <c r="Z487" s="51"/>
      <c r="AA487" s="53">
        <v>4</v>
      </c>
      <c r="AB487" s="45">
        <v>73</v>
      </c>
      <c r="AC487" s="45"/>
      <c r="AD487" s="45"/>
      <c r="AE487" s="45"/>
      <c r="AF487" s="45"/>
      <c r="AG487" s="45"/>
      <c r="AH487" s="51"/>
      <c r="AI487" s="53">
        <v>4</v>
      </c>
      <c r="AJ487" s="45">
        <v>72.47</v>
      </c>
      <c r="AK487" s="45"/>
      <c r="AL487" s="45"/>
      <c r="AM487" s="45"/>
      <c r="AN487" s="45"/>
      <c r="AO487" s="45"/>
      <c r="AP487" s="51"/>
    </row>
    <row r="488" spans="1:42" ht="21" customHeight="1" thickTop="1" thickBot="1" x14ac:dyDescent="0.35">
      <c r="A488" s="63"/>
      <c r="B488" s="78"/>
      <c r="C488" s="53">
        <v>5</v>
      </c>
      <c r="D488" s="45">
        <v>73</v>
      </c>
      <c r="E488" s="45"/>
      <c r="F488" s="45"/>
      <c r="G488" s="45"/>
      <c r="H488" s="45"/>
      <c r="I488" s="45"/>
      <c r="J488" s="51"/>
      <c r="K488" s="53">
        <v>5</v>
      </c>
      <c r="L488" s="45">
        <v>72.429999999999993</v>
      </c>
      <c r="M488" s="45"/>
      <c r="N488" s="45"/>
      <c r="O488" s="45"/>
      <c r="P488" s="45"/>
      <c r="Q488" s="45"/>
      <c r="R488" s="51"/>
      <c r="S488" s="53">
        <v>5</v>
      </c>
      <c r="T488" s="45">
        <v>75.2</v>
      </c>
      <c r="U488" s="45"/>
      <c r="V488" s="45"/>
      <c r="W488" s="45"/>
      <c r="X488" s="45"/>
      <c r="Y488" s="45"/>
      <c r="Z488" s="51"/>
      <c r="AA488" s="53">
        <v>5</v>
      </c>
      <c r="AB488" s="45">
        <v>74.179999999999993</v>
      </c>
      <c r="AC488" s="45"/>
      <c r="AD488" s="45"/>
      <c r="AE488" s="45"/>
      <c r="AF488" s="45"/>
      <c r="AG488" s="45"/>
      <c r="AH488" s="51"/>
      <c r="AI488" s="53">
        <v>5</v>
      </c>
      <c r="AJ488" s="45">
        <v>71.86999999999999</v>
      </c>
      <c r="AK488" s="45"/>
      <c r="AL488" s="45"/>
      <c r="AM488" s="45"/>
      <c r="AN488" s="45"/>
      <c r="AO488" s="45"/>
      <c r="AP488" s="51"/>
    </row>
    <row r="489" spans="1:42" ht="21" customHeight="1" thickTop="1" thickBot="1" x14ac:dyDescent="0.35">
      <c r="A489" s="63"/>
      <c r="B489" s="78"/>
      <c r="C489" s="53">
        <v>6</v>
      </c>
      <c r="D489" s="45">
        <v>71.87</v>
      </c>
      <c r="E489" s="45"/>
      <c r="F489" s="45"/>
      <c r="G489" s="45"/>
      <c r="H489" s="45"/>
      <c r="I489" s="45"/>
      <c r="J489" s="51"/>
      <c r="K489" s="53">
        <v>6</v>
      </c>
      <c r="L489" s="45">
        <v>72.47</v>
      </c>
      <c r="M489" s="45"/>
      <c r="N489" s="45"/>
      <c r="O489" s="45"/>
      <c r="P489" s="45"/>
      <c r="Q489" s="45"/>
      <c r="R489" s="51"/>
      <c r="S489" s="53">
        <v>6</v>
      </c>
      <c r="T489" s="45">
        <v>74.47</v>
      </c>
      <c r="U489" s="45"/>
      <c r="V489" s="45"/>
      <c r="W489" s="45"/>
      <c r="X489" s="45"/>
      <c r="Y489" s="45"/>
      <c r="Z489" s="51"/>
      <c r="AA489" s="53">
        <v>6</v>
      </c>
      <c r="AB489" s="45">
        <v>72.47</v>
      </c>
      <c r="AC489" s="45"/>
      <c r="AD489" s="45"/>
      <c r="AE489" s="45"/>
      <c r="AF489" s="45"/>
      <c r="AG489" s="45"/>
      <c r="AH489" s="51"/>
      <c r="AI489" s="53">
        <v>6</v>
      </c>
      <c r="AJ489" s="45">
        <v>72.259999999999991</v>
      </c>
      <c r="AK489" s="45"/>
      <c r="AL489" s="45"/>
      <c r="AM489" s="45"/>
      <c r="AN489" s="45"/>
      <c r="AO489" s="45"/>
      <c r="AP489" s="51"/>
    </row>
    <row r="490" spans="1:42" ht="21" customHeight="1" thickTop="1" thickBot="1" x14ac:dyDescent="0.35">
      <c r="A490" s="63"/>
      <c r="B490" s="78"/>
      <c r="C490" s="53">
        <v>7</v>
      </c>
      <c r="D490" s="45">
        <v>71.61999999999999</v>
      </c>
      <c r="E490" s="45"/>
      <c r="F490" s="45"/>
      <c r="G490" s="45"/>
      <c r="H490" s="45"/>
      <c r="I490" s="45"/>
      <c r="J490" s="51"/>
      <c r="K490" s="53">
        <v>7</v>
      </c>
      <c r="L490" s="45">
        <v>72.31</v>
      </c>
      <c r="M490" s="45"/>
      <c r="N490" s="45"/>
      <c r="O490" s="45"/>
      <c r="P490" s="45"/>
      <c r="Q490" s="45"/>
      <c r="R490" s="51"/>
      <c r="S490" s="53">
        <v>7</v>
      </c>
      <c r="T490" s="45">
        <v>76.349999999999994</v>
      </c>
      <c r="U490" s="45"/>
      <c r="V490" s="45"/>
      <c r="W490" s="45"/>
      <c r="X490" s="45"/>
      <c r="Y490" s="45"/>
      <c r="Z490" s="51"/>
      <c r="AA490" s="53">
        <v>7</v>
      </c>
      <c r="AB490" s="45">
        <v>74.39</v>
      </c>
      <c r="AC490" s="45"/>
      <c r="AD490" s="45"/>
      <c r="AE490" s="45"/>
      <c r="AF490" s="45"/>
      <c r="AG490" s="45"/>
      <c r="AH490" s="51"/>
      <c r="AI490" s="53">
        <v>7</v>
      </c>
      <c r="AJ490" s="45">
        <v>71.86999999999999</v>
      </c>
      <c r="AK490" s="45"/>
      <c r="AL490" s="45"/>
      <c r="AM490" s="45"/>
      <c r="AN490" s="45"/>
      <c r="AO490" s="45"/>
      <c r="AP490" s="51"/>
    </row>
    <row r="491" spans="1:42" ht="21" customHeight="1" thickTop="1" thickBot="1" x14ac:dyDescent="0.35">
      <c r="A491" s="63"/>
      <c r="B491" s="78"/>
      <c r="C491" s="53">
        <v>8</v>
      </c>
      <c r="D491" s="45">
        <v>72.3</v>
      </c>
      <c r="E491" s="45"/>
      <c r="F491" s="45"/>
      <c r="G491" s="45"/>
      <c r="H491" s="45"/>
      <c r="I491" s="45"/>
      <c r="J491" s="51"/>
      <c r="K491" s="53">
        <v>8</v>
      </c>
      <c r="L491" s="45">
        <v>72.52</v>
      </c>
      <c r="M491" s="45"/>
      <c r="N491" s="45"/>
      <c r="O491" s="45"/>
      <c r="P491" s="45"/>
      <c r="Q491" s="45"/>
      <c r="R491" s="51"/>
      <c r="S491" s="53">
        <v>8</v>
      </c>
      <c r="T491" s="45">
        <v>74.100000000000009</v>
      </c>
      <c r="U491" s="45"/>
      <c r="V491" s="45"/>
      <c r="W491" s="45"/>
      <c r="X491" s="45"/>
      <c r="Y491" s="45"/>
      <c r="Z491" s="51"/>
      <c r="AA491" s="53">
        <v>8</v>
      </c>
      <c r="AB491" s="45">
        <v>76.12</v>
      </c>
      <c r="AC491" s="45"/>
      <c r="AD491" s="45"/>
      <c r="AE491" s="45"/>
      <c r="AF491" s="45"/>
      <c r="AG491" s="45"/>
      <c r="AH491" s="51"/>
      <c r="AI491" s="53">
        <v>8</v>
      </c>
      <c r="AJ491" s="45">
        <v>72.31</v>
      </c>
      <c r="AK491" s="45"/>
      <c r="AL491" s="45"/>
      <c r="AM491" s="45"/>
      <c r="AN491" s="45"/>
      <c r="AO491" s="45"/>
      <c r="AP491" s="51"/>
    </row>
    <row r="492" spans="1:42" ht="21" customHeight="1" thickTop="1" thickBot="1" x14ac:dyDescent="0.35">
      <c r="A492" s="63"/>
      <c r="B492" s="78"/>
      <c r="C492" s="53">
        <v>9</v>
      </c>
      <c r="D492" s="45">
        <v>71.61999999999999</v>
      </c>
      <c r="E492" s="45"/>
      <c r="F492" s="45"/>
      <c r="G492" s="45"/>
      <c r="H492" s="45"/>
      <c r="I492" s="45"/>
      <c r="J492" s="51"/>
      <c r="K492" s="53">
        <v>9</v>
      </c>
      <c r="L492" s="45">
        <v>73.599999999999994</v>
      </c>
      <c r="M492" s="45"/>
      <c r="N492" s="45"/>
      <c r="O492" s="45"/>
      <c r="P492" s="45"/>
      <c r="Q492" s="45"/>
      <c r="R492" s="51"/>
      <c r="S492" s="53">
        <v>9</v>
      </c>
      <c r="T492" s="45">
        <v>75.25</v>
      </c>
      <c r="U492" s="45"/>
      <c r="V492" s="45"/>
      <c r="W492" s="45"/>
      <c r="X492" s="45"/>
      <c r="Y492" s="45"/>
      <c r="Z492" s="51"/>
      <c r="AA492" s="53">
        <v>9</v>
      </c>
      <c r="AB492" s="45">
        <v>73</v>
      </c>
      <c r="AC492" s="45"/>
      <c r="AD492" s="45"/>
      <c r="AE492" s="45"/>
      <c r="AF492" s="45"/>
      <c r="AG492" s="45"/>
      <c r="AH492" s="51"/>
      <c r="AI492" s="53">
        <v>9</v>
      </c>
      <c r="AJ492" s="45">
        <v>73.89</v>
      </c>
      <c r="AK492" s="45"/>
      <c r="AL492" s="45"/>
      <c r="AM492" s="45"/>
      <c r="AN492" s="45"/>
      <c r="AO492" s="45"/>
      <c r="AP492" s="51"/>
    </row>
    <row r="493" spans="1:42" ht="21" customHeight="1" thickTop="1" thickBot="1" x14ac:dyDescent="0.35">
      <c r="A493" s="63"/>
      <c r="B493" s="78"/>
      <c r="C493" s="53">
        <v>10</v>
      </c>
      <c r="D493" s="45">
        <v>72.17</v>
      </c>
      <c r="E493" s="45"/>
      <c r="F493" s="45"/>
      <c r="G493" s="45"/>
      <c r="H493" s="45"/>
      <c r="I493" s="45"/>
      <c r="J493" s="51"/>
      <c r="K493" s="53">
        <v>10</v>
      </c>
      <c r="L493" s="45">
        <v>73</v>
      </c>
      <c r="M493" s="45"/>
      <c r="N493" s="45"/>
      <c r="O493" s="45"/>
      <c r="P493" s="45"/>
      <c r="Q493" s="45"/>
      <c r="R493" s="51"/>
      <c r="S493" s="53">
        <v>10</v>
      </c>
      <c r="T493" s="45">
        <v>74.17</v>
      </c>
      <c r="U493" s="45"/>
      <c r="V493" s="45"/>
      <c r="W493" s="45"/>
      <c r="X493" s="45"/>
      <c r="Y493" s="45"/>
      <c r="Z493" s="51"/>
      <c r="AA493" s="53">
        <v>10</v>
      </c>
      <c r="AB493" s="45">
        <v>74.099999999999994</v>
      </c>
      <c r="AC493" s="45"/>
      <c r="AD493" s="45"/>
      <c r="AE493" s="45"/>
      <c r="AF493" s="45"/>
      <c r="AG493" s="45"/>
      <c r="AH493" s="51"/>
      <c r="AI493" s="53">
        <v>10</v>
      </c>
      <c r="AJ493" s="45">
        <v>73.16</v>
      </c>
      <c r="AK493" s="45"/>
      <c r="AL493" s="45"/>
      <c r="AM493" s="45"/>
      <c r="AN493" s="45"/>
      <c r="AO493" s="45"/>
      <c r="AP493" s="51"/>
    </row>
    <row r="494" spans="1:42" ht="21" customHeight="1" thickTop="1" thickBot="1" x14ac:dyDescent="0.35">
      <c r="A494" s="63"/>
      <c r="B494" s="78"/>
      <c r="C494" s="53"/>
      <c r="D494" s="45"/>
      <c r="E494" s="45"/>
      <c r="F494" s="45"/>
      <c r="G494" s="45"/>
      <c r="H494" s="45"/>
      <c r="I494" s="45"/>
      <c r="J494" s="51"/>
      <c r="K494" s="53"/>
      <c r="L494" s="45"/>
      <c r="M494" s="45"/>
      <c r="N494" s="45"/>
      <c r="O494" s="45"/>
      <c r="P494" s="45"/>
      <c r="Q494" s="45"/>
      <c r="R494" s="51"/>
      <c r="S494" s="53"/>
      <c r="T494" s="45"/>
      <c r="U494" s="45"/>
      <c r="V494" s="45"/>
      <c r="W494" s="45"/>
      <c r="X494" s="45"/>
      <c r="Y494" s="45"/>
      <c r="Z494" s="51"/>
      <c r="AA494" s="53"/>
      <c r="AB494" s="45"/>
      <c r="AC494" s="45"/>
      <c r="AD494" s="45"/>
      <c r="AE494" s="45"/>
      <c r="AF494" s="45"/>
      <c r="AG494" s="45"/>
      <c r="AH494" s="51"/>
      <c r="AI494" s="53"/>
      <c r="AJ494" s="45"/>
      <c r="AK494" s="45"/>
      <c r="AL494" s="45"/>
      <c r="AM494" s="45"/>
      <c r="AN494" s="45"/>
      <c r="AO494" s="45"/>
      <c r="AP494" s="51"/>
    </row>
    <row r="495" spans="1:42" ht="41" customHeight="1" thickTop="1" thickBot="1" x14ac:dyDescent="0.35">
      <c r="A495" s="63"/>
      <c r="B495" s="78"/>
      <c r="C495" s="54" t="s">
        <v>16</v>
      </c>
      <c r="D495" s="49">
        <f>MIN(D484:D493)</f>
        <v>71.61999999999999</v>
      </c>
      <c r="E495" s="45"/>
      <c r="F495" s="55" t="s">
        <v>17</v>
      </c>
      <c r="G495" s="49" t="s">
        <v>18</v>
      </c>
      <c r="H495" s="49" t="s">
        <v>19</v>
      </c>
      <c r="I495" s="45"/>
      <c r="J495" s="51"/>
      <c r="K495" s="54" t="s">
        <v>16</v>
      </c>
      <c r="L495" s="49">
        <f>MIN(L484:L493)</f>
        <v>71.86999999999999</v>
      </c>
      <c r="M495" s="45"/>
      <c r="N495" s="55" t="s">
        <v>17</v>
      </c>
      <c r="O495" s="49" t="s">
        <v>18</v>
      </c>
      <c r="P495" s="49" t="s">
        <v>19</v>
      </c>
      <c r="Q495" s="45"/>
      <c r="R495" s="51"/>
      <c r="S495" s="54" t="s">
        <v>16</v>
      </c>
      <c r="T495" s="49">
        <f>MIN(T484:T493)</f>
        <v>72.47</v>
      </c>
      <c r="U495" s="45"/>
      <c r="V495" s="55" t="s">
        <v>17</v>
      </c>
      <c r="W495" s="49" t="s">
        <v>18</v>
      </c>
      <c r="X495" s="49" t="s">
        <v>19</v>
      </c>
      <c r="Y495" s="45"/>
      <c r="Z495" s="51"/>
      <c r="AA495" s="54" t="s">
        <v>16</v>
      </c>
      <c r="AB495" s="49">
        <f>MIN(AB484:AB493)</f>
        <v>72.47</v>
      </c>
      <c r="AC495" s="45"/>
      <c r="AD495" s="55" t="s">
        <v>17</v>
      </c>
      <c r="AE495" s="49" t="s">
        <v>18</v>
      </c>
      <c r="AF495" s="49" t="s">
        <v>19</v>
      </c>
      <c r="AG495" s="45"/>
      <c r="AH495" s="51"/>
      <c r="AI495" s="54" t="s">
        <v>16</v>
      </c>
      <c r="AJ495" s="49">
        <f>MIN(AJ484:AJ493)</f>
        <v>71.86999999999999</v>
      </c>
      <c r="AK495" s="45"/>
      <c r="AL495" s="55" t="s">
        <v>17</v>
      </c>
      <c r="AM495" s="49" t="s">
        <v>18</v>
      </c>
      <c r="AN495" s="49" t="s">
        <v>19</v>
      </c>
      <c r="AO495" s="45"/>
      <c r="AP495" s="51"/>
    </row>
    <row r="496" spans="1:42" ht="21" customHeight="1" thickTop="1" thickBot="1" x14ac:dyDescent="0.35">
      <c r="A496" s="63"/>
      <c r="B496" s="78"/>
      <c r="C496" s="54" t="s">
        <v>20</v>
      </c>
      <c r="D496" s="48">
        <f>AVERAGE(D484:D493)</f>
        <v>72.282999999999987</v>
      </c>
      <c r="E496" s="47"/>
      <c r="F496" s="48">
        <f>_xlfn.STDEV.S(D484:D493) / AVERAGE(D484:D493) * 100%</f>
        <v>6.7599204380211601E-3</v>
      </c>
      <c r="G496" s="48">
        <f t="array" ref="G496">MIN((D484:D493 - MIN(D484:D493,L484:L493,T484:T493,AB484:AB493,AJ484:AJ493))/MIN(D484:D493,L484:L493,T484:T493,AB484:AB493,AJ484:AJ493)*100%)</f>
        <v>0</v>
      </c>
      <c r="H496" s="48">
        <f t="array" ref="H496">AVERAGE((D484:D493 - MIN(D484:D493,L484:L493,T484:T493,AB484:AB493,AJ484:AJ493))/MIN(D484:D493,L484:L493,T484:T493,AB484:AB493,AJ484:AJ493)*100%)</f>
        <v>9.257190728846806E-3</v>
      </c>
      <c r="I496" s="45"/>
      <c r="J496" s="51"/>
      <c r="K496" s="54" t="s">
        <v>20</v>
      </c>
      <c r="L496" s="48">
        <f>AVERAGE(L484:L493)</f>
        <v>72.63900000000001</v>
      </c>
      <c r="M496" s="47"/>
      <c r="N496" s="48">
        <f>_xlfn.STDEV.S(L484:L493) / AVERAGE(L484:L493) * 100%</f>
        <v>7.0126037296135693E-3</v>
      </c>
      <c r="O496" s="48">
        <f t="array" ref="O496">MIN((L484:L493 - MIN(D484:D493,L484:L493,T484:T493,AB484:AB493,AJ484:AJ493))/MIN(D484:D493,L484:L493,T484:T493,AB484:AB493,AJ484:AJ493)*100%)</f>
        <v>3.4906450712091598E-3</v>
      </c>
      <c r="P496" s="48">
        <f t="array" ref="P496">AVERAGE((L484:L493 - MIN(D484:D493,L484:L493,T484:T493,AB484:AB493,AJ484:AJ493))/MIN(D484:D493,L484:L493,T484:T493,AB484:AB493,AJ484:AJ493)*100%)</f>
        <v>1.4227869310248631E-2</v>
      </c>
      <c r="Q496" s="44"/>
      <c r="R496" s="51"/>
      <c r="S496" s="54" t="s">
        <v>20</v>
      </c>
      <c r="T496" s="48">
        <f>AVERAGE(T484:T493)</f>
        <v>74.665999999999997</v>
      </c>
      <c r="U496" s="47"/>
      <c r="V496" s="48">
        <f>_xlfn.STDEV.S(T484:T493) / AVERAGE(T484:T493) * 100%</f>
        <v>1.548821179331825E-2</v>
      </c>
      <c r="W496" s="48">
        <f t="array" ref="W496">MIN((T484:T493 - MIN(D484:D493,L484:L493,T484:T493,AB484:AB493,AJ484:AJ493))/MIN(D484:D493,L484:L493,T484:T493,AB484:AB493,AJ484:AJ493)*100%)</f>
        <v>1.1868193242111262E-2</v>
      </c>
      <c r="X496" s="48">
        <f t="array" ref="X496">AVERAGE((T484:T493 - MIN(D484:D493,L484:L493,T484:T493,AB484:AB493,AJ484:AJ493))/MIN(D484:D493,L484:L493,T484:T493,AB484:AB493,AJ484:AJ493)*100%)</f>
        <v>4.2530019547612527E-2</v>
      </c>
      <c r="Y496" s="44"/>
      <c r="Z496" s="51"/>
      <c r="AA496" s="54" t="s">
        <v>20</v>
      </c>
      <c r="AB496" s="48">
        <f>AVERAGE(AB484:AB493)</f>
        <v>73.742000000000004</v>
      </c>
      <c r="AC496" s="47"/>
      <c r="AD496" s="48">
        <f>_xlfn.STDEV.S(AB484:AB493) / AVERAGE(AB484:AB493) * 100%</f>
        <v>1.4708692909670917E-2</v>
      </c>
      <c r="AE496" s="48">
        <f t="array" ref="AE496">MIN((AB484:AB493 - MIN(D484:D493,L484:L493,T484:T493,AB484:AB493,AJ484:AJ493))/MIN(D484:D493,L484:L493,T484:T493,AB484:AB493,AJ484:AJ493)*100%)</f>
        <v>1.1868193242111262E-2</v>
      </c>
      <c r="AF496" s="48">
        <f t="array" ref="AF496">AVERAGE((AB484:AB493 - MIN(D484:D493,L484:L493,T484:T493,AB484:AB493,AJ484:AJ493))/MIN(D484:D493,L484:L493,T484:T493,AB484:AB493,AJ484:AJ493)*100%)</f>
        <v>2.9628595364423471E-2</v>
      </c>
      <c r="AG496" s="44"/>
      <c r="AH496" s="51"/>
      <c r="AI496" s="54" t="s">
        <v>20</v>
      </c>
      <c r="AJ496" s="48">
        <f>AVERAGE(AJ484:AJ493)</f>
        <v>72.677999999999997</v>
      </c>
      <c r="AK496" s="47"/>
      <c r="AL496" s="48">
        <f>_xlfn.STDEV.S(AJ484:AJ493) / AVERAGE(AJ484:AJ493) * 100%</f>
        <v>9.329952160464566E-3</v>
      </c>
      <c r="AM496" s="48">
        <f t="array" ref="AM496">MIN((AJ484:AJ493 - MIN(D484:D493,L484:L493,T484:T493,AB484:AB493,AJ484:AJ493))/MIN(D484:D493,L484:L493,T484:T493,AB484:AB493,AJ484:AJ493)*100%)</f>
        <v>3.4906450712091598E-3</v>
      </c>
      <c r="AN496" s="48">
        <f t="array" ref="AN496">AVERAGE((AJ484:AJ493 - MIN(D484:D493,L484:L493,T484:T493,AB484:AB493,AJ484:AJ493))/MIN(D484:D493,L484:L493,T484:T493,AB484:AB493,AJ484:AJ493)*100%)</f>
        <v>1.4772409941357261E-2</v>
      </c>
      <c r="AO496" s="44"/>
      <c r="AP496" s="51"/>
    </row>
    <row r="497" spans="1:42" ht="21" customHeight="1" thickTop="1" thickBot="1" x14ac:dyDescent="0.35">
      <c r="A497" s="63"/>
      <c r="B497" s="79"/>
      <c r="C497" s="53"/>
      <c r="D497" s="44"/>
      <c r="E497" s="44"/>
      <c r="F497" s="44"/>
      <c r="G497" s="44"/>
      <c r="H497" s="44"/>
      <c r="I497" s="44"/>
      <c r="J497" s="51"/>
      <c r="K497" s="53"/>
      <c r="L497" s="44"/>
      <c r="M497" s="44"/>
      <c r="N497" s="44"/>
      <c r="O497" s="44"/>
      <c r="P497" s="44"/>
      <c r="Q497" s="44"/>
      <c r="R497" s="51"/>
      <c r="S497" s="53"/>
      <c r="T497" s="44"/>
      <c r="U497" s="44"/>
      <c r="V497" s="44"/>
      <c r="W497" s="44"/>
      <c r="X497" s="44"/>
      <c r="Y497" s="44"/>
      <c r="Z497" s="51"/>
      <c r="AA497" s="53"/>
      <c r="AB497" s="44"/>
      <c r="AC497" s="44"/>
      <c r="AD497" s="44"/>
      <c r="AE497" s="44"/>
      <c r="AF497" s="44"/>
      <c r="AG497" s="44"/>
      <c r="AH497" s="51"/>
      <c r="AI497" s="53"/>
      <c r="AJ497" s="44"/>
      <c r="AK497" s="44"/>
      <c r="AL497" s="44"/>
      <c r="AM497" s="44"/>
      <c r="AN497" s="44"/>
      <c r="AO497" s="44"/>
      <c r="AP497" s="51"/>
    </row>
    <row r="498" spans="1:42" ht="21" customHeight="1" thickTop="1" thickBot="1" x14ac:dyDescent="0.35">
      <c r="A498" s="63"/>
      <c r="B498" s="77" t="s">
        <v>59</v>
      </c>
      <c r="C498" s="59" t="s">
        <v>8</v>
      </c>
      <c r="D498" s="46" t="s">
        <v>9</v>
      </c>
      <c r="E498" s="46" t="s">
        <v>10</v>
      </c>
      <c r="F498" s="46" t="s">
        <v>11</v>
      </c>
      <c r="G498" s="46" t="s">
        <v>12</v>
      </c>
      <c r="H498" s="46" t="s">
        <v>13</v>
      </c>
      <c r="I498" s="46" t="s">
        <v>14</v>
      </c>
      <c r="J498" s="60" t="s">
        <v>15</v>
      </c>
      <c r="K498" s="59" t="s">
        <v>8</v>
      </c>
      <c r="L498" s="46" t="s">
        <v>9</v>
      </c>
      <c r="M498" s="46" t="s">
        <v>10</v>
      </c>
      <c r="N498" s="46" t="s">
        <v>11</v>
      </c>
      <c r="O498" s="46" t="s">
        <v>12</v>
      </c>
      <c r="P498" s="46" t="s">
        <v>13</v>
      </c>
      <c r="Q498" s="46" t="s">
        <v>14</v>
      </c>
      <c r="R498" s="60" t="s">
        <v>15</v>
      </c>
      <c r="S498" s="59" t="s">
        <v>8</v>
      </c>
      <c r="T498" s="46" t="s">
        <v>9</v>
      </c>
      <c r="U498" s="46" t="s">
        <v>10</v>
      </c>
      <c r="V498" s="46" t="s">
        <v>11</v>
      </c>
      <c r="W498" s="46" t="s">
        <v>12</v>
      </c>
      <c r="X498" s="46" t="s">
        <v>13</v>
      </c>
      <c r="Y498" s="46" t="s">
        <v>14</v>
      </c>
      <c r="Z498" s="60" t="s">
        <v>15</v>
      </c>
      <c r="AA498" s="59" t="s">
        <v>8</v>
      </c>
      <c r="AB498" s="46" t="s">
        <v>9</v>
      </c>
      <c r="AC498" s="46" t="s">
        <v>10</v>
      </c>
      <c r="AD498" s="46" t="s">
        <v>11</v>
      </c>
      <c r="AE498" s="46" t="s">
        <v>12</v>
      </c>
      <c r="AF498" s="46" t="s">
        <v>13</v>
      </c>
      <c r="AG498" s="46" t="s">
        <v>14</v>
      </c>
      <c r="AH498" s="60" t="s">
        <v>15</v>
      </c>
      <c r="AI498" s="59" t="s">
        <v>8</v>
      </c>
      <c r="AJ498" s="46" t="s">
        <v>9</v>
      </c>
      <c r="AK498" s="46" t="s">
        <v>10</v>
      </c>
      <c r="AL498" s="46" t="s">
        <v>11</v>
      </c>
      <c r="AM498" s="46" t="s">
        <v>12</v>
      </c>
      <c r="AN498" s="46" t="s">
        <v>13</v>
      </c>
      <c r="AO498" s="46" t="s">
        <v>14</v>
      </c>
      <c r="AP498" s="60" t="s">
        <v>15</v>
      </c>
    </row>
    <row r="499" spans="1:42" ht="21" customHeight="1" thickTop="1" thickBot="1" x14ac:dyDescent="0.35">
      <c r="A499" s="63"/>
      <c r="B499" s="78"/>
      <c r="C499" s="52">
        <v>1</v>
      </c>
      <c r="D499" s="44">
        <v>88.34</v>
      </c>
      <c r="E499" s="44"/>
      <c r="F499" s="44"/>
      <c r="G499" s="44"/>
      <c r="H499" s="44"/>
      <c r="I499" s="44"/>
      <c r="J499" s="51"/>
      <c r="K499" s="52">
        <v>1</v>
      </c>
      <c r="L499" s="44">
        <v>90.330000000000013</v>
      </c>
      <c r="M499" s="44"/>
      <c r="N499" s="44"/>
      <c r="O499" s="44"/>
      <c r="P499" s="44"/>
      <c r="Q499" s="44"/>
      <c r="R499" s="51"/>
      <c r="S499" s="52">
        <v>1</v>
      </c>
      <c r="T499" s="44">
        <v>91.2</v>
      </c>
      <c r="U499" s="44"/>
      <c r="V499" s="44"/>
      <c r="W499" s="44"/>
      <c r="X499" s="44"/>
      <c r="Y499" s="44"/>
      <c r="Z499" s="51"/>
      <c r="AA499" s="52">
        <v>1</v>
      </c>
      <c r="AB499" s="44">
        <v>89.04</v>
      </c>
      <c r="AC499" s="44"/>
      <c r="AD499" s="44"/>
      <c r="AE499" s="44"/>
      <c r="AF499" s="44"/>
      <c r="AG499" s="44"/>
      <c r="AH499" s="51"/>
      <c r="AI499" s="52">
        <v>1</v>
      </c>
      <c r="AJ499" s="44">
        <v>89.94</v>
      </c>
      <c r="AK499" s="44"/>
      <c r="AL499" s="44"/>
      <c r="AM499" s="44"/>
      <c r="AN499" s="44"/>
      <c r="AO499" s="44"/>
      <c r="AP499" s="51"/>
    </row>
    <row r="500" spans="1:42" ht="21" customHeight="1" thickTop="1" thickBot="1" x14ac:dyDescent="0.35">
      <c r="A500" s="63"/>
      <c r="B500" s="78"/>
      <c r="C500" s="53">
        <v>2</v>
      </c>
      <c r="D500" s="45">
        <v>89.09</v>
      </c>
      <c r="E500" s="45"/>
      <c r="F500" s="45"/>
      <c r="G500" s="45"/>
      <c r="H500" s="45"/>
      <c r="I500" s="45"/>
      <c r="J500" s="51"/>
      <c r="K500" s="53">
        <v>2</v>
      </c>
      <c r="L500" s="45">
        <v>88.06</v>
      </c>
      <c r="M500" s="45"/>
      <c r="N500" s="45"/>
      <c r="O500" s="45"/>
      <c r="P500" s="45"/>
      <c r="Q500" s="45"/>
      <c r="R500" s="51"/>
      <c r="S500" s="53">
        <v>2</v>
      </c>
      <c r="T500" s="45">
        <v>91.22</v>
      </c>
      <c r="U500" s="45"/>
      <c r="V500" s="45"/>
      <c r="W500" s="45"/>
      <c r="X500" s="45"/>
      <c r="Y500" s="45"/>
      <c r="Z500" s="51"/>
      <c r="AA500" s="53">
        <v>2</v>
      </c>
      <c r="AB500" s="45">
        <v>90.73</v>
      </c>
      <c r="AC500" s="45"/>
      <c r="AD500" s="45"/>
      <c r="AE500" s="45"/>
      <c r="AF500" s="45"/>
      <c r="AG500" s="45"/>
      <c r="AH500" s="51"/>
      <c r="AI500" s="53">
        <v>2</v>
      </c>
      <c r="AJ500" s="45">
        <v>91.2</v>
      </c>
      <c r="AK500" s="45"/>
      <c r="AL500" s="45"/>
      <c r="AM500" s="45"/>
      <c r="AN500" s="45"/>
      <c r="AO500" s="45"/>
      <c r="AP500" s="51"/>
    </row>
    <row r="501" spans="1:42" ht="21" customHeight="1" thickTop="1" thickBot="1" x14ac:dyDescent="0.35">
      <c r="A501" s="63"/>
      <c r="B501" s="78"/>
      <c r="C501" s="53">
        <v>3</v>
      </c>
      <c r="D501" s="45">
        <v>87.39</v>
      </c>
      <c r="E501" s="45"/>
      <c r="F501" s="45"/>
      <c r="G501" s="44"/>
      <c r="H501" s="44"/>
      <c r="I501" s="44"/>
      <c r="J501" s="51"/>
      <c r="K501" s="53">
        <v>3</v>
      </c>
      <c r="L501" s="45">
        <v>89.09</v>
      </c>
      <c r="M501" s="45"/>
      <c r="N501" s="45"/>
      <c r="O501" s="44"/>
      <c r="P501" s="44"/>
      <c r="Q501" s="44"/>
      <c r="R501" s="51"/>
      <c r="S501" s="53">
        <v>3</v>
      </c>
      <c r="T501" s="45">
        <v>91.21</v>
      </c>
      <c r="U501" s="45"/>
      <c r="V501" s="45"/>
      <c r="W501" s="44"/>
      <c r="X501" s="44"/>
      <c r="Y501" s="44"/>
      <c r="Z501" s="51"/>
      <c r="AA501" s="53">
        <v>3</v>
      </c>
      <c r="AB501" s="45">
        <v>89.22</v>
      </c>
      <c r="AC501" s="45"/>
      <c r="AD501" s="45"/>
      <c r="AE501" s="44"/>
      <c r="AF501" s="44"/>
      <c r="AG501" s="44"/>
      <c r="AH501" s="51"/>
      <c r="AI501" s="53">
        <v>3</v>
      </c>
      <c r="AJ501" s="45">
        <v>90.330000000000013</v>
      </c>
      <c r="AK501" s="45"/>
      <c r="AL501" s="45"/>
      <c r="AM501" s="44"/>
      <c r="AN501" s="44"/>
      <c r="AO501" s="44"/>
      <c r="AP501" s="51"/>
    </row>
    <row r="502" spans="1:42" ht="21" customHeight="1" thickTop="1" thickBot="1" x14ac:dyDescent="0.35">
      <c r="A502" s="63"/>
      <c r="B502" s="78"/>
      <c r="C502" s="53">
        <v>4</v>
      </c>
      <c r="D502" s="45">
        <v>89.09</v>
      </c>
      <c r="E502" s="45"/>
      <c r="F502" s="45"/>
      <c r="G502" s="45"/>
      <c r="H502" s="45"/>
      <c r="I502" s="45"/>
      <c r="J502" s="51"/>
      <c r="K502" s="53">
        <v>4</v>
      </c>
      <c r="L502" s="45">
        <v>88.8</v>
      </c>
      <c r="M502" s="45"/>
      <c r="N502" s="45"/>
      <c r="O502" s="45"/>
      <c r="P502" s="45"/>
      <c r="Q502" s="45"/>
      <c r="R502" s="51"/>
      <c r="S502" s="53">
        <v>4</v>
      </c>
      <c r="T502" s="45">
        <v>91.52000000000001</v>
      </c>
      <c r="U502" s="45"/>
      <c r="V502" s="45"/>
      <c r="W502" s="45"/>
      <c r="X502" s="45"/>
      <c r="Y502" s="45"/>
      <c r="Z502" s="51"/>
      <c r="AA502" s="53">
        <v>4</v>
      </c>
      <c r="AB502" s="45">
        <v>89.09</v>
      </c>
      <c r="AC502" s="45"/>
      <c r="AD502" s="45"/>
      <c r="AE502" s="45"/>
      <c r="AF502" s="45"/>
      <c r="AG502" s="45"/>
      <c r="AH502" s="51"/>
      <c r="AI502" s="53">
        <v>4</v>
      </c>
      <c r="AJ502" s="45">
        <v>91.320000000000007</v>
      </c>
      <c r="AK502" s="45"/>
      <c r="AL502" s="45"/>
      <c r="AM502" s="45"/>
      <c r="AN502" s="45"/>
      <c r="AO502" s="45"/>
      <c r="AP502" s="51"/>
    </row>
    <row r="503" spans="1:42" ht="21" customHeight="1" thickTop="1" thickBot="1" x14ac:dyDescent="0.35">
      <c r="A503" s="63"/>
      <c r="B503" s="78"/>
      <c r="C503" s="53">
        <v>5</v>
      </c>
      <c r="D503" s="45">
        <v>89.56</v>
      </c>
      <c r="E503" s="45"/>
      <c r="F503" s="45"/>
      <c r="G503" s="45"/>
      <c r="H503" s="45"/>
      <c r="I503" s="45"/>
      <c r="J503" s="51"/>
      <c r="K503" s="53">
        <v>5</v>
      </c>
      <c r="L503" s="45">
        <v>90.440000000000012</v>
      </c>
      <c r="M503" s="45"/>
      <c r="N503" s="45"/>
      <c r="O503" s="45"/>
      <c r="P503" s="45"/>
      <c r="Q503" s="45"/>
      <c r="R503" s="51"/>
      <c r="S503" s="53">
        <v>5</v>
      </c>
      <c r="T503" s="45">
        <v>94.48</v>
      </c>
      <c r="U503" s="45"/>
      <c r="V503" s="45"/>
      <c r="W503" s="45"/>
      <c r="X503" s="45"/>
      <c r="Y503" s="45"/>
      <c r="Z503" s="51"/>
      <c r="AA503" s="53">
        <v>5</v>
      </c>
      <c r="AB503" s="45">
        <v>89.04</v>
      </c>
      <c r="AC503" s="45"/>
      <c r="AD503" s="45"/>
      <c r="AE503" s="45"/>
      <c r="AF503" s="45"/>
      <c r="AG503" s="45"/>
      <c r="AH503" s="51"/>
      <c r="AI503" s="53">
        <v>5</v>
      </c>
      <c r="AJ503" s="45">
        <v>90.330000000000013</v>
      </c>
      <c r="AK503" s="45"/>
      <c r="AL503" s="45"/>
      <c r="AM503" s="45"/>
      <c r="AN503" s="45"/>
      <c r="AO503" s="45"/>
      <c r="AP503" s="51"/>
    </row>
    <row r="504" spans="1:42" ht="21" customHeight="1" thickTop="1" thickBot="1" x14ac:dyDescent="0.35">
      <c r="A504" s="63"/>
      <c r="B504" s="78"/>
      <c r="C504" s="53">
        <v>6</v>
      </c>
      <c r="D504" s="45">
        <v>88.360000000000014</v>
      </c>
      <c r="E504" s="45"/>
      <c r="F504" s="45"/>
      <c r="G504" s="45"/>
      <c r="H504" s="45"/>
      <c r="I504" s="45"/>
      <c r="J504" s="51"/>
      <c r="K504" s="53">
        <v>6</v>
      </c>
      <c r="L504" s="45">
        <v>89.09</v>
      </c>
      <c r="M504" s="45"/>
      <c r="N504" s="45"/>
      <c r="O504" s="45"/>
      <c r="P504" s="45"/>
      <c r="Q504" s="45"/>
      <c r="R504" s="51"/>
      <c r="S504" s="53">
        <v>6</v>
      </c>
      <c r="T504" s="45">
        <v>90.58</v>
      </c>
      <c r="U504" s="45"/>
      <c r="V504" s="45"/>
      <c r="W504" s="45"/>
      <c r="X504" s="45"/>
      <c r="Y504" s="45"/>
      <c r="Z504" s="51"/>
      <c r="AA504" s="53">
        <v>6</v>
      </c>
      <c r="AB504" s="45">
        <v>91.2</v>
      </c>
      <c r="AC504" s="45"/>
      <c r="AD504" s="45"/>
      <c r="AE504" s="45"/>
      <c r="AF504" s="45"/>
      <c r="AG504" s="45"/>
      <c r="AH504" s="51"/>
      <c r="AI504" s="53">
        <v>6</v>
      </c>
      <c r="AJ504" s="45">
        <v>90.800000000000011</v>
      </c>
      <c r="AK504" s="45"/>
      <c r="AL504" s="45"/>
      <c r="AM504" s="45"/>
      <c r="AN504" s="45"/>
      <c r="AO504" s="45"/>
      <c r="AP504" s="51"/>
    </row>
    <row r="505" spans="1:42" ht="21" customHeight="1" thickTop="1" thickBot="1" x14ac:dyDescent="0.35">
      <c r="A505" s="63"/>
      <c r="B505" s="78"/>
      <c r="C505" s="53">
        <v>7</v>
      </c>
      <c r="D505" s="45">
        <v>88.360000000000014</v>
      </c>
      <c r="E505" s="45"/>
      <c r="F505" s="45"/>
      <c r="G505" s="45"/>
      <c r="H505" s="45"/>
      <c r="I505" s="45"/>
      <c r="J505" s="51"/>
      <c r="K505" s="53">
        <v>7</v>
      </c>
      <c r="L505" s="45">
        <v>89.04</v>
      </c>
      <c r="M505" s="45"/>
      <c r="N505" s="45"/>
      <c r="O505" s="45"/>
      <c r="P505" s="45"/>
      <c r="Q505" s="45"/>
      <c r="R505" s="51"/>
      <c r="S505" s="53">
        <v>7</v>
      </c>
      <c r="T505" s="45">
        <v>92.95</v>
      </c>
      <c r="U505" s="45"/>
      <c r="V505" s="45"/>
      <c r="W505" s="45"/>
      <c r="X505" s="45"/>
      <c r="Y505" s="45"/>
      <c r="Z505" s="51"/>
      <c r="AA505" s="53">
        <v>7</v>
      </c>
      <c r="AB505" s="45">
        <v>90.44</v>
      </c>
      <c r="AC505" s="45"/>
      <c r="AD505" s="45"/>
      <c r="AE505" s="45"/>
      <c r="AF505" s="45"/>
      <c r="AG505" s="45"/>
      <c r="AH505" s="51"/>
      <c r="AI505" s="53">
        <v>7</v>
      </c>
      <c r="AJ505" s="45">
        <v>90.43</v>
      </c>
      <c r="AK505" s="45"/>
      <c r="AL505" s="45"/>
      <c r="AM505" s="45"/>
      <c r="AN505" s="45"/>
      <c r="AO505" s="45"/>
      <c r="AP505" s="51"/>
    </row>
    <row r="506" spans="1:42" ht="21" customHeight="1" thickTop="1" thickBot="1" x14ac:dyDescent="0.35">
      <c r="A506" s="63"/>
      <c r="B506" s="78"/>
      <c r="C506" s="53">
        <v>8</v>
      </c>
      <c r="D506" s="45">
        <v>88.34</v>
      </c>
      <c r="E506" s="45"/>
      <c r="F506" s="45"/>
      <c r="G506" s="45"/>
      <c r="H506" s="45"/>
      <c r="I506" s="45"/>
      <c r="J506" s="51"/>
      <c r="K506" s="53">
        <v>8</v>
      </c>
      <c r="L506" s="45">
        <v>88.360000000000014</v>
      </c>
      <c r="M506" s="45"/>
      <c r="N506" s="45"/>
      <c r="O506" s="45"/>
      <c r="P506" s="45"/>
      <c r="Q506" s="45"/>
      <c r="R506" s="51"/>
      <c r="S506" s="53">
        <v>8</v>
      </c>
      <c r="T506" s="45">
        <v>91.2</v>
      </c>
      <c r="U506" s="45"/>
      <c r="V506" s="45"/>
      <c r="W506" s="45"/>
      <c r="X506" s="45"/>
      <c r="Y506" s="45"/>
      <c r="Z506" s="51"/>
      <c r="AA506" s="53">
        <v>8</v>
      </c>
      <c r="AB506" s="45">
        <v>90.710000000000008</v>
      </c>
      <c r="AC506" s="45"/>
      <c r="AD506" s="45"/>
      <c r="AE506" s="45"/>
      <c r="AF506" s="45"/>
      <c r="AG506" s="45"/>
      <c r="AH506" s="51"/>
      <c r="AI506" s="53">
        <v>8</v>
      </c>
      <c r="AJ506" s="45">
        <v>90.440000000000012</v>
      </c>
      <c r="AK506" s="45"/>
      <c r="AL506" s="45"/>
      <c r="AM506" s="45"/>
      <c r="AN506" s="45"/>
      <c r="AO506" s="45"/>
      <c r="AP506" s="51"/>
    </row>
    <row r="507" spans="1:42" ht="21" customHeight="1" thickTop="1" thickBot="1" x14ac:dyDescent="0.35">
      <c r="A507" s="63"/>
      <c r="B507" s="78"/>
      <c r="C507" s="53">
        <v>9</v>
      </c>
      <c r="D507" s="45">
        <v>89.73</v>
      </c>
      <c r="E507" s="45"/>
      <c r="F507" s="45"/>
      <c r="G507" s="45"/>
      <c r="H507" s="45"/>
      <c r="I507" s="45"/>
      <c r="J507" s="51"/>
      <c r="K507" s="53">
        <v>9</v>
      </c>
      <c r="L507" s="45">
        <v>88.7</v>
      </c>
      <c r="M507" s="45"/>
      <c r="N507" s="45"/>
      <c r="O507" s="45"/>
      <c r="P507" s="45"/>
      <c r="Q507" s="45"/>
      <c r="R507" s="51"/>
      <c r="S507" s="53">
        <v>9</v>
      </c>
      <c r="T507" s="45">
        <v>92.29</v>
      </c>
      <c r="U507" s="45"/>
      <c r="V507" s="45"/>
      <c r="W507" s="45"/>
      <c r="X507" s="45"/>
      <c r="Y507" s="45"/>
      <c r="Z507" s="51"/>
      <c r="AA507" s="53">
        <v>9</v>
      </c>
      <c r="AB507" s="45">
        <v>90.94</v>
      </c>
      <c r="AC507" s="45"/>
      <c r="AD507" s="45"/>
      <c r="AE507" s="45"/>
      <c r="AF507" s="45"/>
      <c r="AG507" s="45"/>
      <c r="AH507" s="51"/>
      <c r="AI507" s="53">
        <v>9</v>
      </c>
      <c r="AJ507" s="45">
        <v>89.929999999999993</v>
      </c>
      <c r="AK507" s="45"/>
      <c r="AL507" s="45"/>
      <c r="AM507" s="45"/>
      <c r="AN507" s="45"/>
      <c r="AO507" s="45"/>
      <c r="AP507" s="51"/>
    </row>
    <row r="508" spans="1:42" ht="21" customHeight="1" thickTop="1" thickBot="1" x14ac:dyDescent="0.35">
      <c r="A508" s="63"/>
      <c r="B508" s="78"/>
      <c r="C508" s="53">
        <v>10</v>
      </c>
      <c r="D508" s="45">
        <v>87.610000000000014</v>
      </c>
      <c r="E508" s="45"/>
      <c r="F508" s="45"/>
      <c r="G508" s="45"/>
      <c r="H508" s="45"/>
      <c r="I508" s="45"/>
      <c r="J508" s="51"/>
      <c r="K508" s="53">
        <v>10</v>
      </c>
      <c r="L508" s="45">
        <v>88.8</v>
      </c>
      <c r="M508" s="45"/>
      <c r="N508" s="45"/>
      <c r="O508" s="45"/>
      <c r="P508" s="45"/>
      <c r="Q508" s="45"/>
      <c r="R508" s="51"/>
      <c r="S508" s="53">
        <v>10</v>
      </c>
      <c r="T508" s="45">
        <v>90.37</v>
      </c>
      <c r="U508" s="45"/>
      <c r="V508" s="45"/>
      <c r="W508" s="45"/>
      <c r="X508" s="45"/>
      <c r="Y508" s="45"/>
      <c r="Z508" s="51"/>
      <c r="AA508" s="53">
        <v>10</v>
      </c>
      <c r="AB508" s="45">
        <v>89.97</v>
      </c>
      <c r="AC508" s="45"/>
      <c r="AD508" s="45"/>
      <c r="AE508" s="45"/>
      <c r="AF508" s="45"/>
      <c r="AG508" s="45"/>
      <c r="AH508" s="51"/>
      <c r="AI508" s="53">
        <v>10</v>
      </c>
      <c r="AJ508" s="45">
        <v>90.73</v>
      </c>
      <c r="AK508" s="45"/>
      <c r="AL508" s="45"/>
      <c r="AM508" s="45"/>
      <c r="AN508" s="45"/>
      <c r="AO508" s="45"/>
      <c r="AP508" s="51"/>
    </row>
    <row r="509" spans="1:42" ht="21" customHeight="1" thickTop="1" thickBot="1" x14ac:dyDescent="0.35">
      <c r="A509" s="63"/>
      <c r="B509" s="78"/>
      <c r="C509" s="53"/>
      <c r="D509" s="45"/>
      <c r="E509" s="45"/>
      <c r="F509" s="45"/>
      <c r="G509" s="45"/>
      <c r="H509" s="45"/>
      <c r="I509" s="45"/>
      <c r="J509" s="51"/>
      <c r="K509" s="53"/>
      <c r="L509" s="45"/>
      <c r="M509" s="45"/>
      <c r="N509" s="45"/>
      <c r="O509" s="45"/>
      <c r="P509" s="45"/>
      <c r="Q509" s="45"/>
      <c r="R509" s="51"/>
      <c r="S509" s="53"/>
      <c r="T509" s="45"/>
      <c r="U509" s="45"/>
      <c r="V509" s="45"/>
      <c r="W509" s="45"/>
      <c r="X509" s="45"/>
      <c r="Y509" s="45"/>
      <c r="Z509" s="51"/>
      <c r="AA509" s="53"/>
      <c r="AB509" s="45"/>
      <c r="AC509" s="45"/>
      <c r="AD509" s="45"/>
      <c r="AE509" s="45"/>
      <c r="AF509" s="45"/>
      <c r="AG509" s="45"/>
      <c r="AH509" s="51"/>
      <c r="AI509" s="53"/>
      <c r="AJ509" s="45"/>
      <c r="AK509" s="45"/>
      <c r="AL509" s="45"/>
      <c r="AM509" s="45"/>
      <c r="AN509" s="45"/>
      <c r="AO509" s="45"/>
      <c r="AP509" s="51"/>
    </row>
    <row r="510" spans="1:42" ht="41" customHeight="1" thickTop="1" thickBot="1" x14ac:dyDescent="0.35">
      <c r="A510" s="63"/>
      <c r="B510" s="78"/>
      <c r="C510" s="54" t="s">
        <v>16</v>
      </c>
      <c r="D510" s="49">
        <f>MIN(D499:D508)</f>
        <v>87.39</v>
      </c>
      <c r="E510" s="45"/>
      <c r="F510" s="55" t="s">
        <v>17</v>
      </c>
      <c r="G510" s="49" t="s">
        <v>18</v>
      </c>
      <c r="H510" s="49" t="s">
        <v>19</v>
      </c>
      <c r="I510" s="45"/>
      <c r="J510" s="51"/>
      <c r="K510" s="54" t="s">
        <v>16</v>
      </c>
      <c r="L510" s="49">
        <f>MIN(L499:L508)</f>
        <v>88.06</v>
      </c>
      <c r="M510" s="45"/>
      <c r="N510" s="55" t="s">
        <v>17</v>
      </c>
      <c r="O510" s="49" t="s">
        <v>18</v>
      </c>
      <c r="P510" s="49" t="s">
        <v>19</v>
      </c>
      <c r="Q510" s="45"/>
      <c r="R510" s="51"/>
      <c r="S510" s="54" t="s">
        <v>16</v>
      </c>
      <c r="T510" s="49">
        <f>MIN(T499:T508)</f>
        <v>90.37</v>
      </c>
      <c r="U510" s="45"/>
      <c r="V510" s="55" t="s">
        <v>17</v>
      </c>
      <c r="W510" s="49" t="s">
        <v>18</v>
      </c>
      <c r="X510" s="49" t="s">
        <v>19</v>
      </c>
      <c r="Y510" s="45"/>
      <c r="Z510" s="51"/>
      <c r="AA510" s="54" t="s">
        <v>16</v>
      </c>
      <c r="AB510" s="49">
        <f>MIN(AB499:AB508)</f>
        <v>89.04</v>
      </c>
      <c r="AC510" s="45"/>
      <c r="AD510" s="55" t="s">
        <v>17</v>
      </c>
      <c r="AE510" s="49" t="s">
        <v>18</v>
      </c>
      <c r="AF510" s="49" t="s">
        <v>19</v>
      </c>
      <c r="AG510" s="45"/>
      <c r="AH510" s="51"/>
      <c r="AI510" s="54" t="s">
        <v>16</v>
      </c>
      <c r="AJ510" s="49">
        <f>MIN(AJ499:AJ508)</f>
        <v>89.929999999999993</v>
      </c>
      <c r="AK510" s="45"/>
      <c r="AL510" s="55" t="s">
        <v>17</v>
      </c>
      <c r="AM510" s="49" t="s">
        <v>18</v>
      </c>
      <c r="AN510" s="49" t="s">
        <v>19</v>
      </c>
      <c r="AO510" s="45"/>
      <c r="AP510" s="51"/>
    </row>
    <row r="511" spans="1:42" ht="21" customHeight="1" thickTop="1" thickBot="1" x14ac:dyDescent="0.35">
      <c r="A511" s="63"/>
      <c r="B511" s="78"/>
      <c r="C511" s="54" t="s">
        <v>20</v>
      </c>
      <c r="D511" s="48">
        <f>AVERAGE(D499:D508)</f>
        <v>88.587000000000003</v>
      </c>
      <c r="E511" s="47"/>
      <c r="F511" s="48">
        <f>_xlfn.STDEV.S(D499:D508) / AVERAGE(D499:D508) * 100%</f>
        <v>8.7208935937119793E-3</v>
      </c>
      <c r="G511" s="48">
        <f t="array" ref="G511">MIN((D499:D508 - MIN(D499:D508,L499:L508,T499:T508,AB499:AB508,AJ499:AJ508))/MIN(D499:D508,L499:L508,T499:T508,AB499:AB508,AJ499:AJ508)*100%)</f>
        <v>0</v>
      </c>
      <c r="H511" s="48">
        <f t="array" ref="H511">AVERAGE((D499:D508 - MIN(D499:D508,L499:L508,T499:T508,AB499:AB508,AJ499:AJ508))/MIN(D499:D508,L499:L508,T499:T508,AB499:AB508,AJ499:AJ508)*100%)</f>
        <v>1.3697219361483071E-2</v>
      </c>
      <c r="I511" s="45"/>
      <c r="J511" s="51"/>
      <c r="K511" s="54" t="s">
        <v>20</v>
      </c>
      <c r="L511" s="48">
        <f>AVERAGE(L499:L508)</f>
        <v>89.070999999999998</v>
      </c>
      <c r="M511" s="47"/>
      <c r="N511" s="48">
        <f>_xlfn.STDEV.S(L499:L508) / AVERAGE(L499:L508) * 100%</f>
        <v>8.5935975068437403E-3</v>
      </c>
      <c r="O511" s="48">
        <f t="array" ref="O511">MIN((L499:L508 - MIN(D499:D508,L499:L508,T499:T508,AB499:AB508,AJ499:AJ508))/MIN(D499:D508,L499:L508,T499:T508,AB499:AB508,AJ499:AJ508)*100%)</f>
        <v>7.6667810962352863E-3</v>
      </c>
      <c r="P511" s="48">
        <f t="array" ref="P511">AVERAGE((L499:L508 - MIN(D499:D508,L499:L508,T499:T508,AB499:AB508,AJ499:AJ508))/MIN(D499:D508,L499:L508,T499:T508,AB499:AB508,AJ499:AJ508)*100%)</f>
        <v>1.9235610481748534E-2</v>
      </c>
      <c r="Q511" s="44"/>
      <c r="R511" s="51"/>
      <c r="S511" s="54" t="s">
        <v>20</v>
      </c>
      <c r="T511" s="48">
        <f>AVERAGE(T499:T508)</f>
        <v>91.702000000000012</v>
      </c>
      <c r="U511" s="47"/>
      <c r="V511" s="48">
        <f>_xlfn.STDEV.S(T499:T508) / AVERAGE(T499:T508) * 100%</f>
        <v>1.3437154112169234E-2</v>
      </c>
      <c r="W511" s="48">
        <f t="array" ref="W511">MIN((T499:T508 - MIN(D499:D508,L499:L508,T499:T508,AB499:AB508,AJ499:AJ508))/MIN(D499:D508,L499:L508,T499:T508,AB499:AB508,AJ499:AJ508)*100%)</f>
        <v>3.4100011442956907E-2</v>
      </c>
      <c r="X511" s="48">
        <f t="array" ref="X511">AVERAGE((T499:T508 - MIN(D499:D508,L499:L508,T499:T508,AB499:AB508,AJ499:AJ508))/MIN(D499:D508,L499:L508,T499:T508,AB499:AB508,AJ499:AJ508)*100%)</f>
        <v>4.9342029980547E-2</v>
      </c>
      <c r="Y511" s="44"/>
      <c r="Z511" s="51"/>
      <c r="AA511" s="54" t="s">
        <v>20</v>
      </c>
      <c r="AB511" s="48">
        <f>AVERAGE(AB499:AB508)</f>
        <v>90.038000000000011</v>
      </c>
      <c r="AC511" s="47"/>
      <c r="AD511" s="48">
        <f>_xlfn.STDEV.S(AB499:AB508) / AVERAGE(AB499:AB508) * 100%</f>
        <v>9.6684433094651207E-3</v>
      </c>
      <c r="AE511" s="48">
        <f t="array" ref="AE511">MIN((AB499:AB508 - MIN(D499:D508,L499:L508,T499:T508,AB499:AB508,AJ499:AJ508))/MIN(D499:D508,L499:L508,T499:T508,AB499:AB508,AJ499:AJ508)*100%)</f>
        <v>1.8880878819086917E-2</v>
      </c>
      <c r="AF511" s="48">
        <f t="array" ref="AF511">AVERAGE((AB499:AB508 - MIN(D499:D508,L499:L508,T499:T508,AB499:AB508,AJ499:AJ508))/MIN(D499:D508,L499:L508,T499:T508,AB499:AB508,AJ499:AJ508)*100%)</f>
        <v>3.0300949765419406E-2</v>
      </c>
      <c r="AG511" s="44"/>
      <c r="AH511" s="51"/>
      <c r="AI511" s="54" t="s">
        <v>20</v>
      </c>
      <c r="AJ511" s="48">
        <f>AVERAGE(AJ499:AJ508)</f>
        <v>90.545000000000016</v>
      </c>
      <c r="AK511" s="47"/>
      <c r="AL511" s="48">
        <f>_xlfn.STDEV.S(AJ499:AJ508) / AVERAGE(AJ499:AJ508) * 100%</f>
        <v>5.1930731712566793E-3</v>
      </c>
      <c r="AM511" s="48">
        <f t="array" ref="AM511">MIN((AJ499:AJ508 - MIN(D499:D508,L499:L508,T499:T508,AB499:AB508,AJ499:AJ508))/MIN(D499:D508,L499:L508,T499:T508,AB499:AB508,AJ499:AJ508)*100%)</f>
        <v>2.9065110424533608E-2</v>
      </c>
      <c r="AN511" s="48">
        <f t="array" ref="AN511">AVERAGE((AJ499:AJ508 - MIN(D499:D508,L499:L508,T499:T508,AB499:AB508,AJ499:AJ508))/MIN(D499:D508,L499:L508,T499:T508,AB499:AB508,AJ499:AJ508)*100%)</f>
        <v>3.6102528893466129E-2</v>
      </c>
      <c r="AO511" s="44"/>
      <c r="AP511" s="51"/>
    </row>
    <row r="512" spans="1:42" ht="21" customHeight="1" thickTop="1" thickBot="1" x14ac:dyDescent="0.35">
      <c r="A512" s="63"/>
      <c r="B512" s="79"/>
      <c r="C512" s="53"/>
      <c r="D512" s="44"/>
      <c r="E512" s="44"/>
      <c r="F512" s="44"/>
      <c r="G512" s="44"/>
      <c r="H512" s="44"/>
      <c r="I512" s="44"/>
      <c r="J512" s="51"/>
      <c r="K512" s="53"/>
      <c r="L512" s="44"/>
      <c r="M512" s="44"/>
      <c r="N512" s="44"/>
      <c r="O512" s="44"/>
      <c r="P512" s="44"/>
      <c r="Q512" s="44"/>
      <c r="R512" s="51"/>
      <c r="S512" s="53"/>
      <c r="T512" s="44"/>
      <c r="U512" s="44"/>
      <c r="V512" s="44"/>
      <c r="W512" s="44"/>
      <c r="X512" s="44"/>
      <c r="Y512" s="44"/>
      <c r="Z512" s="51"/>
      <c r="AA512" s="53"/>
      <c r="AB512" s="44"/>
      <c r="AC512" s="44"/>
      <c r="AD512" s="44"/>
      <c r="AE512" s="44"/>
      <c r="AF512" s="44"/>
      <c r="AG512" s="44"/>
      <c r="AH512" s="51"/>
      <c r="AI512" s="53"/>
      <c r="AJ512" s="44"/>
      <c r="AK512" s="44"/>
      <c r="AL512" s="44"/>
      <c r="AM512" s="44"/>
      <c r="AN512" s="44"/>
      <c r="AO512" s="44"/>
      <c r="AP512" s="51"/>
    </row>
    <row r="513" spans="1:42" ht="21" customHeight="1" thickTop="1" thickBot="1" x14ac:dyDescent="0.35">
      <c r="A513" s="63"/>
      <c r="B513" s="77" t="s">
        <v>60</v>
      </c>
      <c r="C513" s="59" t="s">
        <v>8</v>
      </c>
      <c r="D513" s="46" t="s">
        <v>9</v>
      </c>
      <c r="E513" s="46" t="s">
        <v>10</v>
      </c>
      <c r="F513" s="46" t="s">
        <v>11</v>
      </c>
      <c r="G513" s="46" t="s">
        <v>12</v>
      </c>
      <c r="H513" s="46" t="s">
        <v>13</v>
      </c>
      <c r="I513" s="46" t="s">
        <v>14</v>
      </c>
      <c r="J513" s="60" t="s">
        <v>15</v>
      </c>
      <c r="K513" s="59" t="s">
        <v>8</v>
      </c>
      <c r="L513" s="46" t="s">
        <v>9</v>
      </c>
      <c r="M513" s="46" t="s">
        <v>10</v>
      </c>
      <c r="N513" s="46" t="s">
        <v>11</v>
      </c>
      <c r="O513" s="46" t="s">
        <v>12</v>
      </c>
      <c r="P513" s="46" t="s">
        <v>13</v>
      </c>
      <c r="Q513" s="46" t="s">
        <v>14</v>
      </c>
      <c r="R513" s="60" t="s">
        <v>15</v>
      </c>
      <c r="S513" s="59" t="s">
        <v>8</v>
      </c>
      <c r="T513" s="46" t="s">
        <v>9</v>
      </c>
      <c r="U513" s="46" t="s">
        <v>10</v>
      </c>
      <c r="V513" s="46" t="s">
        <v>11</v>
      </c>
      <c r="W513" s="46" t="s">
        <v>12</v>
      </c>
      <c r="X513" s="46" t="s">
        <v>13</v>
      </c>
      <c r="Y513" s="46" t="s">
        <v>14</v>
      </c>
      <c r="Z513" s="60" t="s">
        <v>15</v>
      </c>
      <c r="AA513" s="59" t="s">
        <v>8</v>
      </c>
      <c r="AB513" s="46" t="s">
        <v>9</v>
      </c>
      <c r="AC513" s="46" t="s">
        <v>10</v>
      </c>
      <c r="AD513" s="46" t="s">
        <v>11</v>
      </c>
      <c r="AE513" s="46" t="s">
        <v>12</v>
      </c>
      <c r="AF513" s="46" t="s">
        <v>13</v>
      </c>
      <c r="AG513" s="46" t="s">
        <v>14</v>
      </c>
      <c r="AH513" s="60" t="s">
        <v>15</v>
      </c>
      <c r="AI513" s="59" t="s">
        <v>8</v>
      </c>
      <c r="AJ513" s="46" t="s">
        <v>9</v>
      </c>
      <c r="AK513" s="46" t="s">
        <v>10</v>
      </c>
      <c r="AL513" s="46" t="s">
        <v>11</v>
      </c>
      <c r="AM513" s="46" t="s">
        <v>12</v>
      </c>
      <c r="AN513" s="46" t="s">
        <v>13</v>
      </c>
      <c r="AO513" s="46" t="s">
        <v>14</v>
      </c>
      <c r="AP513" s="60" t="s">
        <v>15</v>
      </c>
    </row>
    <row r="514" spans="1:42" ht="21" customHeight="1" thickTop="1" thickBot="1" x14ac:dyDescent="0.35">
      <c r="A514" s="63"/>
      <c r="B514" s="78"/>
      <c r="C514" s="52">
        <v>1</v>
      </c>
      <c r="D514" s="44">
        <v>94.03</v>
      </c>
      <c r="E514" s="44"/>
      <c r="F514" s="44"/>
      <c r="G514" s="44"/>
      <c r="H514" s="44"/>
      <c r="I514" s="44"/>
      <c r="J514" s="51"/>
      <c r="K514" s="52">
        <v>1</v>
      </c>
      <c r="L514" s="44">
        <v>94.410000000000011</v>
      </c>
      <c r="M514" s="44"/>
      <c r="N514" s="44"/>
      <c r="O514" s="44"/>
      <c r="P514" s="44"/>
      <c r="Q514" s="44"/>
      <c r="R514" s="51"/>
      <c r="S514" s="52">
        <v>1</v>
      </c>
      <c r="T514" s="44">
        <v>98.160000000000011</v>
      </c>
      <c r="U514" s="44"/>
      <c r="V514" s="44"/>
      <c r="W514" s="44"/>
      <c r="X514" s="44"/>
      <c r="Y514" s="44"/>
      <c r="Z514" s="51"/>
      <c r="AA514" s="52">
        <v>1</v>
      </c>
      <c r="AB514" s="44">
        <v>95.77</v>
      </c>
      <c r="AC514" s="44"/>
      <c r="AD514" s="44"/>
      <c r="AE514" s="44"/>
      <c r="AF514" s="44"/>
      <c r="AG514" s="44"/>
      <c r="AH514" s="51"/>
      <c r="AI514" s="52">
        <v>1</v>
      </c>
      <c r="AJ514" s="44">
        <v>96.86</v>
      </c>
      <c r="AK514" s="44"/>
      <c r="AL514" s="44"/>
      <c r="AM514" s="44"/>
      <c r="AN514" s="44"/>
      <c r="AO514" s="44"/>
      <c r="AP514" s="51"/>
    </row>
    <row r="515" spans="1:42" ht="21" customHeight="1" thickTop="1" thickBot="1" x14ac:dyDescent="0.35">
      <c r="A515" s="63"/>
      <c r="B515" s="78"/>
      <c r="C515" s="53">
        <v>2</v>
      </c>
      <c r="D515" s="45">
        <v>94.67</v>
      </c>
      <c r="E515" s="45"/>
      <c r="F515" s="45"/>
      <c r="G515" s="45"/>
      <c r="H515" s="45"/>
      <c r="I515" s="45"/>
      <c r="J515" s="51"/>
      <c r="K515" s="53">
        <v>2</v>
      </c>
      <c r="L515" s="45">
        <v>95.75</v>
      </c>
      <c r="M515" s="45"/>
      <c r="N515" s="45"/>
      <c r="O515" s="45"/>
      <c r="P515" s="45"/>
      <c r="Q515" s="45"/>
      <c r="R515" s="51"/>
      <c r="S515" s="53">
        <v>2</v>
      </c>
      <c r="T515" s="45">
        <v>96.39</v>
      </c>
      <c r="U515" s="45"/>
      <c r="V515" s="45"/>
      <c r="W515" s="45"/>
      <c r="X515" s="45"/>
      <c r="Y515" s="45"/>
      <c r="Z515" s="51"/>
      <c r="AA515" s="53">
        <v>2</v>
      </c>
      <c r="AB515" s="45">
        <v>96.38</v>
      </c>
      <c r="AC515" s="45"/>
      <c r="AD515" s="45"/>
      <c r="AE515" s="45"/>
      <c r="AF515" s="45"/>
      <c r="AG515" s="45"/>
      <c r="AH515" s="51"/>
      <c r="AI515" s="53">
        <v>2</v>
      </c>
      <c r="AJ515" s="45">
        <v>95.53</v>
      </c>
      <c r="AK515" s="45"/>
      <c r="AL515" s="45"/>
      <c r="AM515" s="45"/>
      <c r="AN515" s="45"/>
      <c r="AO515" s="45"/>
      <c r="AP515" s="51"/>
    </row>
    <row r="516" spans="1:42" ht="21" customHeight="1" thickTop="1" thickBot="1" x14ac:dyDescent="0.35">
      <c r="A516" s="63"/>
      <c r="B516" s="78"/>
      <c r="C516" s="53">
        <v>3</v>
      </c>
      <c r="D516" s="45">
        <v>94.31</v>
      </c>
      <c r="E516" s="45"/>
      <c r="F516" s="45"/>
      <c r="G516" s="44"/>
      <c r="H516" s="44"/>
      <c r="I516" s="44"/>
      <c r="J516" s="51"/>
      <c r="K516" s="53">
        <v>3</v>
      </c>
      <c r="L516" s="45">
        <v>96.44</v>
      </c>
      <c r="M516" s="45"/>
      <c r="N516" s="45"/>
      <c r="O516" s="44"/>
      <c r="P516" s="44"/>
      <c r="Q516" s="44"/>
      <c r="R516" s="51"/>
      <c r="S516" s="53">
        <v>3</v>
      </c>
      <c r="T516" s="45">
        <v>95.75</v>
      </c>
      <c r="U516" s="45"/>
      <c r="V516" s="45"/>
      <c r="W516" s="44"/>
      <c r="X516" s="44"/>
      <c r="Y516" s="44"/>
      <c r="Z516" s="51"/>
      <c r="AA516" s="53">
        <v>3</v>
      </c>
      <c r="AB516" s="45">
        <v>96.39</v>
      </c>
      <c r="AC516" s="45"/>
      <c r="AD516" s="45"/>
      <c r="AE516" s="44"/>
      <c r="AF516" s="44"/>
      <c r="AG516" s="44"/>
      <c r="AH516" s="51"/>
      <c r="AI516" s="53">
        <v>3</v>
      </c>
      <c r="AJ516" s="45">
        <v>96.39</v>
      </c>
      <c r="AK516" s="45"/>
      <c r="AL516" s="45"/>
      <c r="AM516" s="44"/>
      <c r="AN516" s="44"/>
      <c r="AO516" s="44"/>
      <c r="AP516" s="51"/>
    </row>
    <row r="517" spans="1:42" ht="21" customHeight="1" thickTop="1" thickBot="1" x14ac:dyDescent="0.35">
      <c r="A517" s="63"/>
      <c r="B517" s="78"/>
      <c r="C517" s="53">
        <v>4</v>
      </c>
      <c r="D517" s="45">
        <v>94.410000000000011</v>
      </c>
      <c r="E517" s="45"/>
      <c r="F517" s="45"/>
      <c r="G517" s="45"/>
      <c r="H517" s="45"/>
      <c r="I517" s="45"/>
      <c r="J517" s="51"/>
      <c r="K517" s="53">
        <v>4</v>
      </c>
      <c r="L517" s="45">
        <v>94.410000000000011</v>
      </c>
      <c r="M517" s="45"/>
      <c r="N517" s="45"/>
      <c r="O517" s="45"/>
      <c r="P517" s="45"/>
      <c r="Q517" s="45"/>
      <c r="R517" s="51"/>
      <c r="S517" s="53">
        <v>4</v>
      </c>
      <c r="T517" s="45">
        <v>96.56</v>
      </c>
      <c r="U517" s="45"/>
      <c r="V517" s="45"/>
      <c r="W517" s="45"/>
      <c r="X517" s="45"/>
      <c r="Y517" s="45"/>
      <c r="Z517" s="51"/>
      <c r="AA517" s="53">
        <v>4</v>
      </c>
      <c r="AB517" s="45">
        <v>95.83</v>
      </c>
      <c r="AC517" s="45"/>
      <c r="AD517" s="45"/>
      <c r="AE517" s="45"/>
      <c r="AF517" s="45"/>
      <c r="AG517" s="45"/>
      <c r="AH517" s="51"/>
      <c r="AI517" s="53">
        <v>4</v>
      </c>
      <c r="AJ517" s="45">
        <v>96.240000000000009</v>
      </c>
      <c r="AK517" s="45"/>
      <c r="AL517" s="45"/>
      <c r="AM517" s="45"/>
      <c r="AN517" s="45"/>
      <c r="AO517" s="45"/>
      <c r="AP517" s="51"/>
    </row>
    <row r="518" spans="1:42" ht="21" customHeight="1" thickTop="1" thickBot="1" x14ac:dyDescent="0.35">
      <c r="A518" s="63"/>
      <c r="B518" s="78"/>
      <c r="C518" s="53">
        <v>5</v>
      </c>
      <c r="D518" s="45">
        <v>94.03</v>
      </c>
      <c r="E518" s="45"/>
      <c r="F518" s="45"/>
      <c r="G518" s="45"/>
      <c r="H518" s="45"/>
      <c r="I518" s="45"/>
      <c r="J518" s="51"/>
      <c r="K518" s="53">
        <v>5</v>
      </c>
      <c r="L518" s="45">
        <v>94.410000000000011</v>
      </c>
      <c r="M518" s="45"/>
      <c r="N518" s="45"/>
      <c r="O518" s="45"/>
      <c r="P518" s="45"/>
      <c r="Q518" s="45"/>
      <c r="R518" s="51"/>
      <c r="S518" s="53">
        <v>5</v>
      </c>
      <c r="T518" s="45">
        <v>95.64</v>
      </c>
      <c r="U518" s="45"/>
      <c r="V518" s="45"/>
      <c r="W518" s="45"/>
      <c r="X518" s="45"/>
      <c r="Y518" s="45"/>
      <c r="Z518" s="51"/>
      <c r="AA518" s="53">
        <v>5</v>
      </c>
      <c r="AB518" s="45">
        <v>95.83</v>
      </c>
      <c r="AC518" s="45"/>
      <c r="AD518" s="45"/>
      <c r="AE518" s="45"/>
      <c r="AF518" s="45"/>
      <c r="AG518" s="45"/>
      <c r="AH518" s="51"/>
      <c r="AI518" s="53">
        <v>5</v>
      </c>
      <c r="AJ518" s="45">
        <v>96.240000000000009</v>
      </c>
      <c r="AK518" s="45"/>
      <c r="AL518" s="45"/>
      <c r="AM518" s="45"/>
      <c r="AN518" s="45"/>
      <c r="AO518" s="45"/>
      <c r="AP518" s="51"/>
    </row>
    <row r="519" spans="1:42" ht="21" customHeight="1" thickTop="1" thickBot="1" x14ac:dyDescent="0.35">
      <c r="A519" s="63"/>
      <c r="B519" s="78"/>
      <c r="C519" s="53">
        <v>6</v>
      </c>
      <c r="D519" s="45">
        <v>94.660000000000011</v>
      </c>
      <c r="E519" s="45"/>
      <c r="F519" s="45"/>
      <c r="G519" s="45"/>
      <c r="H519" s="45"/>
      <c r="I519" s="45"/>
      <c r="J519" s="51"/>
      <c r="K519" s="53">
        <v>6</v>
      </c>
      <c r="L519" s="45">
        <v>95.22</v>
      </c>
      <c r="M519" s="45"/>
      <c r="N519" s="45"/>
      <c r="O519" s="45"/>
      <c r="P519" s="45"/>
      <c r="Q519" s="45"/>
      <c r="R519" s="51"/>
      <c r="S519" s="53">
        <v>6</v>
      </c>
      <c r="T519" s="45">
        <v>96.52</v>
      </c>
      <c r="U519" s="45"/>
      <c r="V519" s="45"/>
      <c r="W519" s="45"/>
      <c r="X519" s="45"/>
      <c r="Y519" s="45"/>
      <c r="Z519" s="51"/>
      <c r="AA519" s="53">
        <v>6</v>
      </c>
      <c r="AB519" s="45">
        <v>96.23</v>
      </c>
      <c r="AC519" s="45"/>
      <c r="AD519" s="45"/>
      <c r="AE519" s="45"/>
      <c r="AF519" s="45"/>
      <c r="AG519" s="45"/>
      <c r="AH519" s="51"/>
      <c r="AI519" s="53">
        <v>6</v>
      </c>
      <c r="AJ519" s="45">
        <v>95.61</v>
      </c>
      <c r="AK519" s="45"/>
      <c r="AL519" s="45"/>
      <c r="AM519" s="45"/>
      <c r="AN519" s="45"/>
      <c r="AO519" s="45"/>
      <c r="AP519" s="51"/>
    </row>
    <row r="520" spans="1:42" ht="21" customHeight="1" thickTop="1" thickBot="1" x14ac:dyDescent="0.35">
      <c r="A520" s="63"/>
      <c r="B520" s="78"/>
      <c r="C520" s="53">
        <v>7</v>
      </c>
      <c r="D520" s="45">
        <v>95.23</v>
      </c>
      <c r="E520" s="45"/>
      <c r="F520" s="45"/>
      <c r="G520" s="45"/>
      <c r="H520" s="45"/>
      <c r="I520" s="45"/>
      <c r="J520" s="51"/>
      <c r="K520" s="53">
        <v>7</v>
      </c>
      <c r="L520" s="45">
        <v>94.410000000000011</v>
      </c>
      <c r="M520" s="45"/>
      <c r="N520" s="45"/>
      <c r="O520" s="45"/>
      <c r="P520" s="45"/>
      <c r="Q520" s="45"/>
      <c r="R520" s="51"/>
      <c r="S520" s="53">
        <v>7</v>
      </c>
      <c r="T520" s="45">
        <v>97.9</v>
      </c>
      <c r="U520" s="45"/>
      <c r="V520" s="45"/>
      <c r="W520" s="45"/>
      <c r="X520" s="45"/>
      <c r="Y520" s="45"/>
      <c r="Z520" s="51"/>
      <c r="AA520" s="53">
        <v>7</v>
      </c>
      <c r="AB520" s="45">
        <v>96.67</v>
      </c>
      <c r="AC520" s="45"/>
      <c r="AD520" s="45"/>
      <c r="AE520" s="45"/>
      <c r="AF520" s="45"/>
      <c r="AG520" s="45"/>
      <c r="AH520" s="51"/>
      <c r="AI520" s="53">
        <v>7</v>
      </c>
      <c r="AJ520" s="45">
        <v>96.01</v>
      </c>
      <c r="AK520" s="45"/>
      <c r="AL520" s="45"/>
      <c r="AM520" s="45"/>
      <c r="AN520" s="45"/>
      <c r="AO520" s="45"/>
      <c r="AP520" s="51"/>
    </row>
    <row r="521" spans="1:42" ht="21" customHeight="1" thickTop="1" thickBot="1" x14ac:dyDescent="0.35">
      <c r="A521" s="63"/>
      <c r="B521" s="78"/>
      <c r="C521" s="53">
        <v>8</v>
      </c>
      <c r="D521" s="45">
        <v>94.410000000000011</v>
      </c>
      <c r="E521" s="45"/>
      <c r="F521" s="45"/>
      <c r="G521" s="45"/>
      <c r="H521" s="45"/>
      <c r="I521" s="45"/>
      <c r="J521" s="51"/>
      <c r="K521" s="53">
        <v>8</v>
      </c>
      <c r="L521" s="45">
        <v>96.39</v>
      </c>
      <c r="M521" s="45"/>
      <c r="N521" s="45"/>
      <c r="O521" s="45"/>
      <c r="P521" s="45"/>
      <c r="Q521" s="45"/>
      <c r="R521" s="51"/>
      <c r="S521" s="53">
        <v>8</v>
      </c>
      <c r="T521" s="45">
        <v>95.24</v>
      </c>
      <c r="U521" s="45"/>
      <c r="V521" s="45"/>
      <c r="W521" s="45"/>
      <c r="X521" s="45"/>
      <c r="Y521" s="45"/>
      <c r="Z521" s="51"/>
      <c r="AA521" s="53">
        <v>8</v>
      </c>
      <c r="AB521" s="45">
        <v>96.69</v>
      </c>
      <c r="AC521" s="45"/>
      <c r="AD521" s="45"/>
      <c r="AE521" s="45"/>
      <c r="AF521" s="45"/>
      <c r="AG521" s="45"/>
      <c r="AH521" s="51"/>
      <c r="AI521" s="53">
        <v>8</v>
      </c>
      <c r="AJ521" s="45">
        <v>96</v>
      </c>
      <c r="AK521" s="45"/>
      <c r="AL521" s="45"/>
      <c r="AM521" s="45"/>
      <c r="AN521" s="45"/>
      <c r="AO521" s="45"/>
      <c r="AP521" s="51"/>
    </row>
    <row r="522" spans="1:42" ht="21" customHeight="1" thickTop="1" thickBot="1" x14ac:dyDescent="0.35">
      <c r="A522" s="63"/>
      <c r="B522" s="78"/>
      <c r="C522" s="53">
        <v>9</v>
      </c>
      <c r="D522" s="45">
        <v>95.04</v>
      </c>
      <c r="E522" s="45"/>
      <c r="F522" s="45"/>
      <c r="G522" s="45"/>
      <c r="H522" s="45"/>
      <c r="I522" s="45"/>
      <c r="J522" s="51"/>
      <c r="K522" s="53">
        <v>9</v>
      </c>
      <c r="L522" s="45">
        <v>94.41</v>
      </c>
      <c r="M522" s="45"/>
      <c r="N522" s="45"/>
      <c r="O522" s="45"/>
      <c r="P522" s="45"/>
      <c r="Q522" s="45"/>
      <c r="R522" s="51"/>
      <c r="S522" s="53">
        <v>9</v>
      </c>
      <c r="T522" s="45">
        <v>96.61</v>
      </c>
      <c r="U522" s="45"/>
      <c r="V522" s="45"/>
      <c r="W522" s="45"/>
      <c r="X522" s="45"/>
      <c r="Y522" s="45"/>
      <c r="Z522" s="51"/>
      <c r="AA522" s="53">
        <v>9</v>
      </c>
      <c r="AB522" s="45">
        <v>95.78</v>
      </c>
      <c r="AC522" s="45"/>
      <c r="AD522" s="45"/>
      <c r="AE522" s="45"/>
      <c r="AF522" s="45"/>
      <c r="AG522" s="45"/>
      <c r="AH522" s="51"/>
      <c r="AI522" s="53">
        <v>9</v>
      </c>
      <c r="AJ522" s="45">
        <v>96.240000000000009</v>
      </c>
      <c r="AK522" s="45"/>
      <c r="AL522" s="45"/>
      <c r="AM522" s="45"/>
      <c r="AN522" s="45"/>
      <c r="AO522" s="45"/>
      <c r="AP522" s="51"/>
    </row>
    <row r="523" spans="1:42" ht="21" customHeight="1" thickTop="1" thickBot="1" x14ac:dyDescent="0.35">
      <c r="A523" s="63"/>
      <c r="B523" s="78"/>
      <c r="C523" s="53">
        <v>10</v>
      </c>
      <c r="D523" s="45">
        <v>95.18</v>
      </c>
      <c r="E523" s="45"/>
      <c r="F523" s="45"/>
      <c r="G523" s="45"/>
      <c r="H523" s="45"/>
      <c r="I523" s="45"/>
      <c r="J523" s="51"/>
      <c r="K523" s="53">
        <v>10</v>
      </c>
      <c r="L523" s="45">
        <v>95.61</v>
      </c>
      <c r="M523" s="45"/>
      <c r="N523" s="45"/>
      <c r="O523" s="45"/>
      <c r="P523" s="45"/>
      <c r="Q523" s="45"/>
      <c r="R523" s="51"/>
      <c r="S523" s="53">
        <v>10</v>
      </c>
      <c r="T523" s="45">
        <v>95.58</v>
      </c>
      <c r="U523" s="45"/>
      <c r="V523" s="45"/>
      <c r="W523" s="45"/>
      <c r="X523" s="45"/>
      <c r="Y523" s="45"/>
      <c r="Z523" s="51"/>
      <c r="AA523" s="53">
        <v>10</v>
      </c>
      <c r="AB523" s="45">
        <v>96.39</v>
      </c>
      <c r="AC523" s="45"/>
      <c r="AD523" s="45"/>
      <c r="AE523" s="45"/>
      <c r="AF523" s="45"/>
      <c r="AG523" s="45"/>
      <c r="AH523" s="51"/>
      <c r="AI523" s="53">
        <v>10</v>
      </c>
      <c r="AJ523" s="45">
        <v>95.86</v>
      </c>
      <c r="AK523" s="45"/>
      <c r="AL523" s="45"/>
      <c r="AM523" s="45"/>
      <c r="AN523" s="45"/>
      <c r="AO523" s="45"/>
      <c r="AP523" s="51"/>
    </row>
    <row r="524" spans="1:42" ht="21" customHeight="1" thickTop="1" thickBot="1" x14ac:dyDescent="0.35">
      <c r="A524" s="63"/>
      <c r="B524" s="78"/>
      <c r="C524" s="53"/>
      <c r="D524" s="45"/>
      <c r="E524" s="45"/>
      <c r="F524" s="45"/>
      <c r="G524" s="45"/>
      <c r="H524" s="45"/>
      <c r="I524" s="45"/>
      <c r="J524" s="51"/>
      <c r="K524" s="53"/>
      <c r="L524" s="45"/>
      <c r="M524" s="45"/>
      <c r="N524" s="45"/>
      <c r="O524" s="45"/>
      <c r="P524" s="45"/>
      <c r="Q524" s="45"/>
      <c r="R524" s="51"/>
      <c r="S524" s="53"/>
      <c r="T524" s="45"/>
      <c r="U524" s="45"/>
      <c r="V524" s="45"/>
      <c r="W524" s="45"/>
      <c r="X524" s="45"/>
      <c r="Y524" s="45"/>
      <c r="Z524" s="51"/>
      <c r="AA524" s="53"/>
      <c r="AB524" s="45"/>
      <c r="AC524" s="45"/>
      <c r="AD524" s="45"/>
      <c r="AE524" s="45"/>
      <c r="AF524" s="45"/>
      <c r="AG524" s="45"/>
      <c r="AH524" s="51"/>
      <c r="AI524" s="53"/>
      <c r="AJ524" s="45"/>
      <c r="AK524" s="45"/>
      <c r="AL524" s="45"/>
      <c r="AM524" s="45"/>
      <c r="AN524" s="45"/>
      <c r="AO524" s="45"/>
      <c r="AP524" s="51"/>
    </row>
    <row r="525" spans="1:42" ht="41" customHeight="1" thickTop="1" thickBot="1" x14ac:dyDescent="0.35">
      <c r="A525" s="63"/>
      <c r="B525" s="78"/>
      <c r="C525" s="54" t="s">
        <v>16</v>
      </c>
      <c r="D525" s="49">
        <f>MIN(D514:D523)</f>
        <v>94.03</v>
      </c>
      <c r="E525" s="45"/>
      <c r="F525" s="55" t="s">
        <v>17</v>
      </c>
      <c r="G525" s="49" t="s">
        <v>18</v>
      </c>
      <c r="H525" s="49" t="s">
        <v>19</v>
      </c>
      <c r="I525" s="45"/>
      <c r="J525" s="51"/>
      <c r="K525" s="54" t="s">
        <v>16</v>
      </c>
      <c r="L525" s="49">
        <f>MIN(L514:L523)</f>
        <v>94.41</v>
      </c>
      <c r="M525" s="45"/>
      <c r="N525" s="55" t="s">
        <v>17</v>
      </c>
      <c r="O525" s="49" t="s">
        <v>18</v>
      </c>
      <c r="P525" s="49" t="s">
        <v>19</v>
      </c>
      <c r="Q525" s="45"/>
      <c r="R525" s="51"/>
      <c r="S525" s="54" t="s">
        <v>16</v>
      </c>
      <c r="T525" s="49">
        <f>MIN(T514:T523)</f>
        <v>95.24</v>
      </c>
      <c r="U525" s="45"/>
      <c r="V525" s="55" t="s">
        <v>17</v>
      </c>
      <c r="W525" s="49" t="s">
        <v>18</v>
      </c>
      <c r="X525" s="49" t="s">
        <v>19</v>
      </c>
      <c r="Y525" s="45"/>
      <c r="Z525" s="51"/>
      <c r="AA525" s="54" t="s">
        <v>16</v>
      </c>
      <c r="AB525" s="49">
        <f>MIN(AB514:AB523)</f>
        <v>95.77</v>
      </c>
      <c r="AC525" s="45"/>
      <c r="AD525" s="55" t="s">
        <v>17</v>
      </c>
      <c r="AE525" s="49" t="s">
        <v>18</v>
      </c>
      <c r="AF525" s="49" t="s">
        <v>19</v>
      </c>
      <c r="AG525" s="45"/>
      <c r="AH525" s="51"/>
      <c r="AI525" s="54" t="s">
        <v>16</v>
      </c>
      <c r="AJ525" s="49">
        <f>MIN(AJ514:AJ523)</f>
        <v>95.53</v>
      </c>
      <c r="AK525" s="45"/>
      <c r="AL525" s="55" t="s">
        <v>17</v>
      </c>
      <c r="AM525" s="49" t="s">
        <v>18</v>
      </c>
      <c r="AN525" s="49" t="s">
        <v>19</v>
      </c>
      <c r="AO525" s="45"/>
      <c r="AP525" s="51"/>
    </row>
    <row r="526" spans="1:42" ht="21" customHeight="1" thickTop="1" thickBot="1" x14ac:dyDescent="0.35">
      <c r="A526" s="63"/>
      <c r="B526" s="78"/>
      <c r="C526" s="54" t="s">
        <v>20</v>
      </c>
      <c r="D526" s="48">
        <f>AVERAGE(D514:D523)</f>
        <v>94.597000000000008</v>
      </c>
      <c r="E526" s="47"/>
      <c r="F526" s="48">
        <f>_xlfn.STDEV.S(D514:D523) / AVERAGE(D514:D523) * 100%</f>
        <v>4.6499887125307695E-3</v>
      </c>
      <c r="G526" s="48">
        <f t="array" ref="G526">MIN((D514:D523 - MIN(D514:D523,L514:L523,T514:T523,AB514:AB523,AJ514:AJ523))/MIN(D514:D523,L514:L523,T514:T523,AB514:AB523,AJ514:AJ523)*100%)</f>
        <v>0</v>
      </c>
      <c r="H526" s="48">
        <f t="array" ref="H526">AVERAGE((D514:D523 - MIN(D514:D523,L514:L523,T514:T523,AB514:AB523,AJ514:AJ523))/MIN(D514:D523,L514:L523,T514:T523,AB514:AB523,AJ514:AJ523)*100%)</f>
        <v>6.0299904285866677E-3</v>
      </c>
      <c r="I526" s="45"/>
      <c r="J526" s="51"/>
      <c r="K526" s="54" t="s">
        <v>20</v>
      </c>
      <c r="L526" s="48">
        <f>AVERAGE(L514:L523)</f>
        <v>95.146000000000001</v>
      </c>
      <c r="M526" s="47"/>
      <c r="N526" s="48">
        <f>_xlfn.STDEV.S(L514:L523) / AVERAGE(L514:L523) * 100%</f>
        <v>8.9429351429666896E-3</v>
      </c>
      <c r="O526" s="48">
        <f t="array" ref="O526">MIN((L514:L523 - MIN(D514:D523,L514:L523,T514:T523,AB514:AB523,AJ514:AJ523))/MIN(D514:D523,L514:L523,T514:T523,AB514:AB523,AJ514:AJ523)*100%)</f>
        <v>4.0412634265659412E-3</v>
      </c>
      <c r="P526" s="48">
        <f t="array" ref="P526">AVERAGE((L514:L523 - MIN(D514:D523,L514:L523,T514:T523,AB514:AB523,AJ514:AJ523))/MIN(D514:D523,L514:L523,T514:T523,AB514:AB523,AJ514:AJ523)*100%)</f>
        <v>1.1868552589599091E-2</v>
      </c>
      <c r="Q526" s="44"/>
      <c r="R526" s="51"/>
      <c r="S526" s="54" t="s">
        <v>20</v>
      </c>
      <c r="T526" s="48">
        <f>AVERAGE(T514:T523)</f>
        <v>96.435000000000002</v>
      </c>
      <c r="U526" s="47"/>
      <c r="V526" s="48">
        <f>_xlfn.STDEV.S(T514:T523) / AVERAGE(T514:T523) * 100%</f>
        <v>1.0040487822297557E-2</v>
      </c>
      <c r="W526" s="48">
        <f t="array" ref="W526">MIN((T514:T523 - MIN(D514:D523,L514:L523,T514:T523,AB514:AB523,AJ514:AJ523))/MIN(D514:D523,L514:L523,T514:T523,AB514:AB523,AJ514:AJ523)*100%)</f>
        <v>1.2868233542486373E-2</v>
      </c>
      <c r="X526" s="48">
        <f t="array" ref="X526">AVERAGE((T514:T523 - MIN(D514:D523,L514:L523,T514:T523,AB514:AB523,AJ514:AJ523))/MIN(D514:D523,L514:L523,T514:T523,AB514:AB523,AJ514:AJ523)*100%)</f>
        <v>2.5576943528661061E-2</v>
      </c>
      <c r="Y526" s="44"/>
      <c r="Z526" s="51"/>
      <c r="AA526" s="54" t="s">
        <v>20</v>
      </c>
      <c r="AB526" s="48">
        <f>AVERAGE(AB514:AB523)</f>
        <v>96.195999999999998</v>
      </c>
      <c r="AC526" s="47"/>
      <c r="AD526" s="48">
        <f>_xlfn.STDEV.S(AB514:AB523) / AVERAGE(AB514:AB523) * 100%</f>
        <v>3.7981557965592427E-3</v>
      </c>
      <c r="AE526" s="48">
        <f t="array" ref="AE526">MIN((AB514:AB523 - MIN(D514:D523,L514:L523,T514:T523,AB514:AB523,AJ514:AJ523))/MIN(D514:D523,L514:L523,T514:T523,AB514:AB523,AJ514:AJ523)*100%)</f>
        <v>1.8504732532170529E-2</v>
      </c>
      <c r="AF526" s="48">
        <f t="array" ref="AF526">AVERAGE((AB514:AB523 - MIN(D514:D523,L514:L523,T514:T523,AB514:AB523,AJ514:AJ523))/MIN(D514:D523,L514:L523,T514:T523,AB514:AB523,AJ514:AJ523)*100%)</f>
        <v>2.303520153142612E-2</v>
      </c>
      <c r="AG526" s="44"/>
      <c r="AH526" s="51"/>
      <c r="AI526" s="54" t="s">
        <v>20</v>
      </c>
      <c r="AJ526" s="48">
        <f>AVERAGE(AJ514:AJ523)</f>
        <v>96.097999999999999</v>
      </c>
      <c r="AK526" s="47"/>
      <c r="AL526" s="48">
        <f>_xlfn.STDEV.S(AJ514:AJ523) / AVERAGE(AJ514:AJ523) * 100%</f>
        <v>4.0468674993564937E-3</v>
      </c>
      <c r="AM526" s="48">
        <f t="array" ref="AM526">MIN((AJ514:AJ523 - MIN(D514:D523,L514:L523,T514:T523,AB514:AB523,AJ514:AJ523))/MIN(D514:D523,L514:L523,T514:T523,AB514:AB523,AJ514:AJ523)*100%)</f>
        <v>1.5952355631181539E-2</v>
      </c>
      <c r="AN526" s="48">
        <f t="array" ref="AN526">AVERAGE((AJ514:AJ523 - MIN(D514:D523,L514:L523,T514:T523,AB514:AB523,AJ514:AJ523))/MIN(D514:D523,L514:L523,T514:T523,AB514:AB523,AJ514:AJ523)*100%)</f>
        <v>2.1992980963522302E-2</v>
      </c>
      <c r="AO526" s="44"/>
      <c r="AP526" s="51"/>
    </row>
    <row r="527" spans="1:42" ht="21" customHeight="1" thickTop="1" thickBot="1" x14ac:dyDescent="0.35">
      <c r="A527" s="63"/>
      <c r="B527" s="79"/>
      <c r="C527" s="53"/>
      <c r="D527" s="44"/>
      <c r="E527" s="44"/>
      <c r="F527" s="44"/>
      <c r="G527" s="44"/>
      <c r="H527" s="44"/>
      <c r="I527" s="44"/>
      <c r="J527" s="51"/>
      <c r="K527" s="53"/>
      <c r="L527" s="44"/>
      <c r="M527" s="44"/>
      <c r="N527" s="44"/>
      <c r="O527" s="44"/>
      <c r="P527" s="44"/>
      <c r="Q527" s="44"/>
      <c r="R527" s="51"/>
      <c r="S527" s="53"/>
      <c r="T527" s="44"/>
      <c r="U527" s="44"/>
      <c r="V527" s="44"/>
      <c r="W527" s="44"/>
      <c r="X527" s="44"/>
      <c r="Y527" s="44"/>
      <c r="Z527" s="51"/>
      <c r="AA527" s="53"/>
      <c r="AB527" s="44"/>
      <c r="AC527" s="44"/>
      <c r="AD527" s="44"/>
      <c r="AE527" s="44"/>
      <c r="AF527" s="44"/>
      <c r="AG527" s="44"/>
      <c r="AH527" s="51"/>
      <c r="AI527" s="53"/>
      <c r="AJ527" s="44"/>
      <c r="AK527" s="44"/>
      <c r="AL527" s="44"/>
      <c r="AM527" s="44"/>
      <c r="AN527" s="44"/>
      <c r="AO527" s="44"/>
      <c r="AP527" s="51"/>
    </row>
    <row r="528" spans="1:42" ht="21" customHeight="1" thickTop="1" thickBot="1" x14ac:dyDescent="0.35">
      <c r="A528" s="63"/>
      <c r="B528" s="77" t="s">
        <v>61</v>
      </c>
      <c r="C528" s="59" t="s">
        <v>8</v>
      </c>
      <c r="D528" s="46" t="s">
        <v>9</v>
      </c>
      <c r="E528" s="46" t="s">
        <v>10</v>
      </c>
      <c r="F528" s="46" t="s">
        <v>11</v>
      </c>
      <c r="G528" s="46" t="s">
        <v>12</v>
      </c>
      <c r="H528" s="46" t="s">
        <v>13</v>
      </c>
      <c r="I528" s="46" t="s">
        <v>14</v>
      </c>
      <c r="J528" s="60" t="s">
        <v>15</v>
      </c>
      <c r="K528" s="59" t="s">
        <v>8</v>
      </c>
      <c r="L528" s="46" t="s">
        <v>9</v>
      </c>
      <c r="M528" s="46" t="s">
        <v>10</v>
      </c>
      <c r="N528" s="46" t="s">
        <v>11</v>
      </c>
      <c r="O528" s="46" t="s">
        <v>12</v>
      </c>
      <c r="P528" s="46" t="s">
        <v>13</v>
      </c>
      <c r="Q528" s="46" t="s">
        <v>14</v>
      </c>
      <c r="R528" s="60" t="s">
        <v>15</v>
      </c>
      <c r="S528" s="59" t="s">
        <v>8</v>
      </c>
      <c r="T528" s="46" t="s">
        <v>9</v>
      </c>
      <c r="U528" s="46" t="s">
        <v>10</v>
      </c>
      <c r="V528" s="46" t="s">
        <v>11</v>
      </c>
      <c r="W528" s="46" t="s">
        <v>12</v>
      </c>
      <c r="X528" s="46" t="s">
        <v>13</v>
      </c>
      <c r="Y528" s="46" t="s">
        <v>14</v>
      </c>
      <c r="Z528" s="60" t="s">
        <v>15</v>
      </c>
      <c r="AA528" s="59" t="s">
        <v>8</v>
      </c>
      <c r="AB528" s="46" t="s">
        <v>9</v>
      </c>
      <c r="AC528" s="46" t="s">
        <v>10</v>
      </c>
      <c r="AD528" s="46" t="s">
        <v>11</v>
      </c>
      <c r="AE528" s="46" t="s">
        <v>12</v>
      </c>
      <c r="AF528" s="46" t="s">
        <v>13</v>
      </c>
      <c r="AG528" s="46" t="s">
        <v>14</v>
      </c>
      <c r="AH528" s="60" t="s">
        <v>15</v>
      </c>
      <c r="AI528" s="59" t="s">
        <v>8</v>
      </c>
      <c r="AJ528" s="46" t="s">
        <v>9</v>
      </c>
      <c r="AK528" s="46" t="s">
        <v>10</v>
      </c>
      <c r="AL528" s="46" t="s">
        <v>11</v>
      </c>
      <c r="AM528" s="46" t="s">
        <v>12</v>
      </c>
      <c r="AN528" s="46" t="s">
        <v>13</v>
      </c>
      <c r="AO528" s="46" t="s">
        <v>14</v>
      </c>
      <c r="AP528" s="60" t="s">
        <v>15</v>
      </c>
    </row>
    <row r="529" spans="1:42" ht="21" customHeight="1" thickTop="1" thickBot="1" x14ac:dyDescent="0.35">
      <c r="A529" s="63"/>
      <c r="B529" s="78"/>
      <c r="C529" s="52">
        <v>1</v>
      </c>
      <c r="D529" s="44">
        <v>121.33</v>
      </c>
      <c r="E529" s="44"/>
      <c r="F529" s="44"/>
      <c r="G529" s="44"/>
      <c r="H529" s="44"/>
      <c r="I529" s="44"/>
      <c r="J529" s="51"/>
      <c r="K529" s="52">
        <v>1</v>
      </c>
      <c r="L529" s="44">
        <v>122</v>
      </c>
      <c r="M529" s="44"/>
      <c r="N529" s="44"/>
      <c r="O529" s="44"/>
      <c r="P529" s="44"/>
      <c r="Q529" s="44"/>
      <c r="R529" s="51"/>
      <c r="S529" s="52">
        <v>1</v>
      </c>
      <c r="T529" s="44">
        <v>126.05</v>
      </c>
      <c r="U529" s="44"/>
      <c r="V529" s="44"/>
      <c r="W529" s="44"/>
      <c r="X529" s="44"/>
      <c r="Y529" s="44"/>
      <c r="Z529" s="51"/>
      <c r="AA529" s="52">
        <v>1</v>
      </c>
      <c r="AB529" s="44">
        <v>121.81</v>
      </c>
      <c r="AC529" s="44"/>
      <c r="AD529" s="44"/>
      <c r="AE529" s="44"/>
      <c r="AF529" s="44"/>
      <c r="AG529" s="44"/>
      <c r="AH529" s="51"/>
      <c r="AI529" s="52">
        <v>1</v>
      </c>
      <c r="AJ529" s="44">
        <v>123.39</v>
      </c>
      <c r="AK529" s="44"/>
      <c r="AL529" s="44"/>
      <c r="AM529" s="44"/>
      <c r="AN529" s="44"/>
      <c r="AO529" s="44"/>
      <c r="AP529" s="51"/>
    </row>
    <row r="530" spans="1:42" ht="21" customHeight="1" thickTop="1" thickBot="1" x14ac:dyDescent="0.35">
      <c r="A530" s="63"/>
      <c r="B530" s="78"/>
      <c r="C530" s="53">
        <v>2</v>
      </c>
      <c r="D530" s="45">
        <v>122.08</v>
      </c>
      <c r="E530" s="45"/>
      <c r="F530" s="45"/>
      <c r="G530" s="45"/>
      <c r="H530" s="45"/>
      <c r="I530" s="45"/>
      <c r="J530" s="51"/>
      <c r="K530" s="53">
        <v>2</v>
      </c>
      <c r="L530" s="45">
        <v>121.81</v>
      </c>
      <c r="M530" s="45"/>
      <c r="N530" s="45"/>
      <c r="O530" s="45"/>
      <c r="P530" s="45"/>
      <c r="Q530" s="45"/>
      <c r="R530" s="51"/>
      <c r="S530" s="53">
        <v>2</v>
      </c>
      <c r="T530" s="45">
        <v>124.06</v>
      </c>
      <c r="U530" s="45"/>
      <c r="V530" s="45"/>
      <c r="W530" s="45"/>
      <c r="X530" s="45"/>
      <c r="Y530" s="45"/>
      <c r="Z530" s="51"/>
      <c r="AA530" s="53">
        <v>2</v>
      </c>
      <c r="AB530" s="45">
        <v>124.32</v>
      </c>
      <c r="AC530" s="45"/>
      <c r="AD530" s="45"/>
      <c r="AE530" s="45"/>
      <c r="AF530" s="45"/>
      <c r="AG530" s="45"/>
      <c r="AH530" s="51"/>
      <c r="AI530" s="53">
        <v>2</v>
      </c>
      <c r="AJ530" s="45">
        <v>123.53</v>
      </c>
      <c r="AK530" s="45"/>
      <c r="AL530" s="45"/>
      <c r="AM530" s="45"/>
      <c r="AN530" s="45"/>
      <c r="AO530" s="45"/>
      <c r="AP530" s="51"/>
    </row>
    <row r="531" spans="1:42" ht="21" customHeight="1" thickTop="1" thickBot="1" x14ac:dyDescent="0.35">
      <c r="A531" s="63"/>
      <c r="B531" s="78"/>
      <c r="C531" s="53">
        <v>3</v>
      </c>
      <c r="D531" s="45">
        <v>121.51</v>
      </c>
      <c r="E531" s="45"/>
      <c r="F531" s="45"/>
      <c r="G531" s="44"/>
      <c r="H531" s="44"/>
      <c r="I531" s="44"/>
      <c r="J531" s="51"/>
      <c r="K531" s="53">
        <v>3</v>
      </c>
      <c r="L531" s="45">
        <v>122.22</v>
      </c>
      <c r="M531" s="45"/>
      <c r="N531" s="45"/>
      <c r="O531" s="44"/>
      <c r="P531" s="44"/>
      <c r="Q531" s="44"/>
      <c r="R531" s="51"/>
      <c r="S531" s="53">
        <v>3</v>
      </c>
      <c r="T531" s="45">
        <v>125.44</v>
      </c>
      <c r="U531" s="45"/>
      <c r="V531" s="45"/>
      <c r="W531" s="44"/>
      <c r="X531" s="44"/>
      <c r="Y531" s="44"/>
      <c r="Z531" s="51"/>
      <c r="AA531" s="53">
        <v>3</v>
      </c>
      <c r="AB531" s="45">
        <v>124.35</v>
      </c>
      <c r="AC531" s="45"/>
      <c r="AD531" s="45"/>
      <c r="AE531" s="44"/>
      <c r="AF531" s="44"/>
      <c r="AG531" s="44"/>
      <c r="AH531" s="51"/>
      <c r="AI531" s="53">
        <v>3</v>
      </c>
      <c r="AJ531" s="45">
        <v>124.24</v>
      </c>
      <c r="AK531" s="45"/>
      <c r="AL531" s="45"/>
      <c r="AM531" s="44"/>
      <c r="AN531" s="44"/>
      <c r="AO531" s="44"/>
      <c r="AP531" s="51"/>
    </row>
    <row r="532" spans="1:42" ht="21" customHeight="1" thickTop="1" thickBot="1" x14ac:dyDescent="0.35">
      <c r="A532" s="63"/>
      <c r="B532" s="78"/>
      <c r="C532" s="53">
        <v>4</v>
      </c>
      <c r="D532" s="45">
        <v>121.34</v>
      </c>
      <c r="E532" s="45"/>
      <c r="F532" s="45"/>
      <c r="G532" s="45"/>
      <c r="H532" s="45"/>
      <c r="I532" s="45"/>
      <c r="J532" s="51"/>
      <c r="K532" s="53">
        <v>4</v>
      </c>
      <c r="L532" s="45">
        <v>120.92</v>
      </c>
      <c r="M532" s="45"/>
      <c r="N532" s="45"/>
      <c r="O532" s="45"/>
      <c r="P532" s="45"/>
      <c r="Q532" s="45"/>
      <c r="R532" s="51"/>
      <c r="S532" s="53">
        <v>4</v>
      </c>
      <c r="T532" s="45">
        <v>124.45</v>
      </c>
      <c r="U532" s="45"/>
      <c r="V532" s="45"/>
      <c r="W532" s="45"/>
      <c r="X532" s="45"/>
      <c r="Y532" s="45"/>
      <c r="Z532" s="51"/>
      <c r="AA532" s="53">
        <v>4</v>
      </c>
      <c r="AB532" s="45">
        <v>121.75</v>
      </c>
      <c r="AC532" s="45"/>
      <c r="AD532" s="45"/>
      <c r="AE532" s="45"/>
      <c r="AF532" s="45"/>
      <c r="AG532" s="45"/>
      <c r="AH532" s="51"/>
      <c r="AI532" s="53">
        <v>4</v>
      </c>
      <c r="AJ532" s="45">
        <v>122.14</v>
      </c>
      <c r="AK532" s="45"/>
      <c r="AL532" s="45"/>
      <c r="AM532" s="45"/>
      <c r="AN532" s="45"/>
      <c r="AO532" s="45"/>
      <c r="AP532" s="51"/>
    </row>
    <row r="533" spans="1:42" ht="21" customHeight="1" thickTop="1" thickBot="1" x14ac:dyDescent="0.35">
      <c r="A533" s="63"/>
      <c r="B533" s="78"/>
      <c r="C533" s="53">
        <v>5</v>
      </c>
      <c r="D533" s="45">
        <v>120.3</v>
      </c>
      <c r="E533" s="45"/>
      <c r="F533" s="45"/>
      <c r="G533" s="45"/>
      <c r="H533" s="45"/>
      <c r="I533" s="45"/>
      <c r="J533" s="51"/>
      <c r="K533" s="53">
        <v>5</v>
      </c>
      <c r="L533" s="45">
        <v>122.27</v>
      </c>
      <c r="M533" s="45"/>
      <c r="N533" s="45"/>
      <c r="O533" s="45"/>
      <c r="P533" s="45"/>
      <c r="Q533" s="45"/>
      <c r="R533" s="51"/>
      <c r="S533" s="53">
        <v>5</v>
      </c>
      <c r="T533" s="45">
        <v>124.45</v>
      </c>
      <c r="U533" s="45"/>
      <c r="V533" s="45"/>
      <c r="W533" s="45"/>
      <c r="X533" s="45"/>
      <c r="Y533" s="45"/>
      <c r="Z533" s="51"/>
      <c r="AA533" s="53">
        <v>5</v>
      </c>
      <c r="AB533" s="45">
        <v>123.35</v>
      </c>
      <c r="AC533" s="45"/>
      <c r="AD533" s="45"/>
      <c r="AE533" s="45"/>
      <c r="AF533" s="45"/>
      <c r="AG533" s="45"/>
      <c r="AH533" s="51"/>
      <c r="AI533" s="53">
        <v>5</v>
      </c>
      <c r="AJ533" s="45">
        <v>121.48</v>
      </c>
      <c r="AK533" s="45"/>
      <c r="AL533" s="45"/>
      <c r="AM533" s="45"/>
      <c r="AN533" s="45"/>
      <c r="AO533" s="45"/>
      <c r="AP533" s="51"/>
    </row>
    <row r="534" spans="1:42" ht="21" customHeight="1" thickTop="1" thickBot="1" x14ac:dyDescent="0.35">
      <c r="A534" s="63"/>
      <c r="B534" s="78"/>
      <c r="C534" s="53">
        <v>6</v>
      </c>
      <c r="D534" s="45">
        <v>122.03</v>
      </c>
      <c r="E534" s="45"/>
      <c r="F534" s="45"/>
      <c r="G534" s="45"/>
      <c r="H534" s="45"/>
      <c r="I534" s="45"/>
      <c r="J534" s="51"/>
      <c r="K534" s="53">
        <v>6</v>
      </c>
      <c r="L534" s="45">
        <v>123.26</v>
      </c>
      <c r="M534" s="45"/>
      <c r="N534" s="45"/>
      <c r="O534" s="45"/>
      <c r="P534" s="45"/>
      <c r="Q534" s="45"/>
      <c r="R534" s="51"/>
      <c r="S534" s="53">
        <v>6</v>
      </c>
      <c r="T534" s="45">
        <v>123.6</v>
      </c>
      <c r="U534" s="45"/>
      <c r="V534" s="45"/>
      <c r="W534" s="45"/>
      <c r="X534" s="45"/>
      <c r="Y534" s="45"/>
      <c r="Z534" s="51"/>
      <c r="AA534" s="53">
        <v>6</v>
      </c>
      <c r="AB534" s="45">
        <v>123.92</v>
      </c>
      <c r="AC534" s="45"/>
      <c r="AD534" s="45"/>
      <c r="AE534" s="45"/>
      <c r="AF534" s="45"/>
      <c r="AG534" s="45"/>
      <c r="AH534" s="51"/>
      <c r="AI534" s="53">
        <v>6</v>
      </c>
      <c r="AJ534" s="45">
        <v>122.33</v>
      </c>
      <c r="AK534" s="45"/>
      <c r="AL534" s="45"/>
      <c r="AM534" s="45"/>
      <c r="AN534" s="45"/>
      <c r="AO534" s="45"/>
      <c r="AP534" s="51"/>
    </row>
    <row r="535" spans="1:42" ht="21" customHeight="1" thickTop="1" thickBot="1" x14ac:dyDescent="0.35">
      <c r="A535" s="63"/>
      <c r="B535" s="78"/>
      <c r="C535" s="53">
        <v>7</v>
      </c>
      <c r="D535" s="45">
        <v>121.75</v>
      </c>
      <c r="E535" s="45"/>
      <c r="F535" s="45"/>
      <c r="G535" s="45"/>
      <c r="H535" s="45"/>
      <c r="I535" s="45"/>
      <c r="J535" s="51"/>
      <c r="K535" s="53">
        <v>7</v>
      </c>
      <c r="L535" s="45">
        <v>121.34</v>
      </c>
      <c r="M535" s="45"/>
      <c r="N535" s="45"/>
      <c r="O535" s="45"/>
      <c r="P535" s="45"/>
      <c r="Q535" s="45"/>
      <c r="R535" s="51"/>
      <c r="S535" s="53">
        <v>7</v>
      </c>
      <c r="T535" s="45">
        <v>123.29</v>
      </c>
      <c r="U535" s="45"/>
      <c r="V535" s="45"/>
      <c r="W535" s="45"/>
      <c r="X535" s="45"/>
      <c r="Y535" s="45"/>
      <c r="Z535" s="51"/>
      <c r="AA535" s="53">
        <v>7</v>
      </c>
      <c r="AB535" s="45">
        <v>122.63</v>
      </c>
      <c r="AC535" s="45"/>
      <c r="AD535" s="45"/>
      <c r="AE535" s="45"/>
      <c r="AF535" s="45"/>
      <c r="AG535" s="45"/>
      <c r="AH535" s="51"/>
      <c r="AI535" s="53">
        <v>7</v>
      </c>
      <c r="AJ535" s="45">
        <v>124.07</v>
      </c>
      <c r="AK535" s="45"/>
      <c r="AL535" s="45"/>
      <c r="AM535" s="45"/>
      <c r="AN535" s="45"/>
      <c r="AO535" s="45"/>
      <c r="AP535" s="51"/>
    </row>
    <row r="536" spans="1:42" ht="21" customHeight="1" thickTop="1" thickBot="1" x14ac:dyDescent="0.35">
      <c r="A536" s="63"/>
      <c r="B536" s="78"/>
      <c r="C536" s="53">
        <v>8</v>
      </c>
      <c r="D536" s="45">
        <v>121.79</v>
      </c>
      <c r="E536" s="45"/>
      <c r="F536" s="45"/>
      <c r="G536" s="45"/>
      <c r="H536" s="45"/>
      <c r="I536" s="45"/>
      <c r="J536" s="51"/>
      <c r="K536" s="53">
        <v>8</v>
      </c>
      <c r="L536" s="45">
        <v>121.77</v>
      </c>
      <c r="M536" s="45"/>
      <c r="N536" s="45"/>
      <c r="O536" s="45"/>
      <c r="P536" s="45"/>
      <c r="Q536" s="45"/>
      <c r="R536" s="51"/>
      <c r="S536" s="53">
        <v>8</v>
      </c>
      <c r="T536" s="45">
        <v>124.52</v>
      </c>
      <c r="U536" s="45"/>
      <c r="V536" s="45"/>
      <c r="W536" s="45"/>
      <c r="X536" s="45"/>
      <c r="Y536" s="45"/>
      <c r="Z536" s="51"/>
      <c r="AA536" s="53">
        <v>8</v>
      </c>
      <c r="AB536" s="45">
        <v>123.48</v>
      </c>
      <c r="AC536" s="45"/>
      <c r="AD536" s="45"/>
      <c r="AE536" s="45"/>
      <c r="AF536" s="45"/>
      <c r="AG536" s="45"/>
      <c r="AH536" s="51"/>
      <c r="AI536" s="53">
        <v>8</v>
      </c>
      <c r="AJ536" s="45">
        <v>122.45</v>
      </c>
      <c r="AK536" s="45"/>
      <c r="AL536" s="45"/>
      <c r="AM536" s="45"/>
      <c r="AN536" s="45"/>
      <c r="AO536" s="45"/>
      <c r="AP536" s="51"/>
    </row>
    <row r="537" spans="1:42" ht="21" customHeight="1" thickTop="1" thickBot="1" x14ac:dyDescent="0.35">
      <c r="A537" s="63"/>
      <c r="B537" s="78"/>
      <c r="C537" s="53">
        <v>9</v>
      </c>
      <c r="D537" s="45">
        <v>122.08</v>
      </c>
      <c r="E537" s="45"/>
      <c r="F537" s="45"/>
      <c r="G537" s="45"/>
      <c r="H537" s="45"/>
      <c r="I537" s="45"/>
      <c r="J537" s="51"/>
      <c r="K537" s="53">
        <v>9</v>
      </c>
      <c r="L537" s="45">
        <v>122.11</v>
      </c>
      <c r="M537" s="45"/>
      <c r="N537" s="45"/>
      <c r="O537" s="45"/>
      <c r="P537" s="45"/>
      <c r="Q537" s="45"/>
      <c r="R537" s="51"/>
      <c r="S537" s="53">
        <v>9</v>
      </c>
      <c r="T537" s="45">
        <v>124.45</v>
      </c>
      <c r="U537" s="45"/>
      <c r="V537" s="45"/>
      <c r="W537" s="45"/>
      <c r="X537" s="45"/>
      <c r="Y537" s="45"/>
      <c r="Z537" s="51"/>
      <c r="AA537" s="53">
        <v>9</v>
      </c>
      <c r="AB537" s="45">
        <v>124.51</v>
      </c>
      <c r="AC537" s="45"/>
      <c r="AD537" s="45"/>
      <c r="AE537" s="45"/>
      <c r="AF537" s="45"/>
      <c r="AG537" s="45"/>
      <c r="AH537" s="51"/>
      <c r="AI537" s="53">
        <v>9</v>
      </c>
      <c r="AJ537" s="45">
        <v>122.14</v>
      </c>
      <c r="AK537" s="45"/>
      <c r="AL537" s="45"/>
      <c r="AM537" s="45"/>
      <c r="AN537" s="45"/>
      <c r="AO537" s="45"/>
      <c r="AP537" s="51"/>
    </row>
    <row r="538" spans="1:42" ht="21" customHeight="1" thickTop="1" thickBot="1" x14ac:dyDescent="0.35">
      <c r="A538" s="63"/>
      <c r="B538" s="78"/>
      <c r="C538" s="53">
        <v>10</v>
      </c>
      <c r="D538" s="45">
        <v>120.94</v>
      </c>
      <c r="E538" s="45"/>
      <c r="F538" s="45"/>
      <c r="G538" s="45"/>
      <c r="H538" s="45"/>
      <c r="I538" s="45"/>
      <c r="J538" s="51"/>
      <c r="K538" s="53">
        <v>10</v>
      </c>
      <c r="L538" s="45">
        <v>121.97</v>
      </c>
      <c r="M538" s="45"/>
      <c r="N538" s="45"/>
      <c r="O538" s="45"/>
      <c r="P538" s="45"/>
      <c r="Q538" s="45"/>
      <c r="R538" s="51"/>
      <c r="S538" s="53">
        <v>10</v>
      </c>
      <c r="T538" s="45">
        <v>124.41</v>
      </c>
      <c r="U538" s="45"/>
      <c r="V538" s="45"/>
      <c r="W538" s="45"/>
      <c r="X538" s="45"/>
      <c r="Y538" s="45"/>
      <c r="Z538" s="51"/>
      <c r="AA538" s="53">
        <v>10</v>
      </c>
      <c r="AB538" s="45">
        <v>123.79</v>
      </c>
      <c r="AC538" s="45"/>
      <c r="AD538" s="45"/>
      <c r="AE538" s="45"/>
      <c r="AF538" s="45"/>
      <c r="AG538" s="45"/>
      <c r="AH538" s="51"/>
      <c r="AI538" s="53">
        <v>10</v>
      </c>
      <c r="AJ538" s="45">
        <v>122.14</v>
      </c>
      <c r="AK538" s="45"/>
      <c r="AL538" s="45"/>
      <c r="AM538" s="45"/>
      <c r="AN538" s="45"/>
      <c r="AO538" s="45"/>
      <c r="AP538" s="51"/>
    </row>
    <row r="539" spans="1:42" ht="21" customHeight="1" thickTop="1" thickBot="1" x14ac:dyDescent="0.35">
      <c r="A539" s="63"/>
      <c r="B539" s="78"/>
      <c r="C539" s="53"/>
      <c r="D539" s="45"/>
      <c r="E539" s="45"/>
      <c r="F539" s="45"/>
      <c r="G539" s="45"/>
      <c r="H539" s="45"/>
      <c r="I539" s="45"/>
      <c r="J539" s="51"/>
      <c r="K539" s="53"/>
      <c r="L539" s="45"/>
      <c r="M539" s="45"/>
      <c r="N539" s="45"/>
      <c r="O539" s="45"/>
      <c r="P539" s="45"/>
      <c r="Q539" s="45"/>
      <c r="R539" s="51"/>
      <c r="S539" s="53"/>
      <c r="T539" s="45"/>
      <c r="U539" s="45"/>
      <c r="V539" s="45"/>
      <c r="W539" s="45"/>
      <c r="X539" s="45"/>
      <c r="Y539" s="45"/>
      <c r="Z539" s="51"/>
      <c r="AA539" s="53"/>
      <c r="AB539" s="45"/>
      <c r="AC539" s="45"/>
      <c r="AD539" s="45"/>
      <c r="AE539" s="45"/>
      <c r="AF539" s="45"/>
      <c r="AG539" s="45"/>
      <c r="AH539" s="51"/>
      <c r="AI539" s="53"/>
      <c r="AJ539" s="45"/>
      <c r="AK539" s="45"/>
      <c r="AL539" s="45"/>
      <c r="AM539" s="45"/>
      <c r="AN539" s="45"/>
      <c r="AO539" s="45"/>
      <c r="AP539" s="51"/>
    </row>
    <row r="540" spans="1:42" ht="41" customHeight="1" thickTop="1" thickBot="1" x14ac:dyDescent="0.35">
      <c r="A540" s="63"/>
      <c r="B540" s="78"/>
      <c r="C540" s="54" t="s">
        <v>16</v>
      </c>
      <c r="D540" s="49">
        <f>MIN(D529:D538)</f>
        <v>120.3</v>
      </c>
      <c r="E540" s="45"/>
      <c r="F540" s="55" t="s">
        <v>17</v>
      </c>
      <c r="G540" s="49" t="s">
        <v>18</v>
      </c>
      <c r="H540" s="49" t="s">
        <v>19</v>
      </c>
      <c r="I540" s="45"/>
      <c r="J540" s="51"/>
      <c r="K540" s="54" t="s">
        <v>16</v>
      </c>
      <c r="L540" s="49">
        <f>MIN(L529:L538)</f>
        <v>120.92</v>
      </c>
      <c r="M540" s="45"/>
      <c r="N540" s="55" t="s">
        <v>17</v>
      </c>
      <c r="O540" s="49" t="s">
        <v>18</v>
      </c>
      <c r="P540" s="49" t="s">
        <v>19</v>
      </c>
      <c r="Q540" s="45"/>
      <c r="R540" s="51"/>
      <c r="S540" s="54" t="s">
        <v>16</v>
      </c>
      <c r="T540" s="49">
        <f>MIN(T529:T538)</f>
        <v>123.29</v>
      </c>
      <c r="U540" s="45"/>
      <c r="V540" s="55" t="s">
        <v>17</v>
      </c>
      <c r="W540" s="49" t="s">
        <v>18</v>
      </c>
      <c r="X540" s="49" t="s">
        <v>19</v>
      </c>
      <c r="Y540" s="45"/>
      <c r="Z540" s="51"/>
      <c r="AA540" s="54" t="s">
        <v>16</v>
      </c>
      <c r="AB540" s="49">
        <f>MIN(AB529:AB538)</f>
        <v>121.75</v>
      </c>
      <c r="AC540" s="45"/>
      <c r="AD540" s="55" t="s">
        <v>17</v>
      </c>
      <c r="AE540" s="49" t="s">
        <v>18</v>
      </c>
      <c r="AF540" s="49" t="s">
        <v>19</v>
      </c>
      <c r="AG540" s="45"/>
      <c r="AH540" s="51"/>
      <c r="AI540" s="54" t="s">
        <v>16</v>
      </c>
      <c r="AJ540" s="49">
        <f>MIN(AJ529:AJ538)</f>
        <v>121.48</v>
      </c>
      <c r="AK540" s="45"/>
      <c r="AL540" s="55" t="s">
        <v>17</v>
      </c>
      <c r="AM540" s="49" t="s">
        <v>18</v>
      </c>
      <c r="AN540" s="49" t="s">
        <v>19</v>
      </c>
      <c r="AO540" s="45"/>
      <c r="AP540" s="51"/>
    </row>
    <row r="541" spans="1:42" ht="21" customHeight="1" thickTop="1" thickBot="1" x14ac:dyDescent="0.35">
      <c r="A541" s="63"/>
      <c r="B541" s="78"/>
      <c r="C541" s="54" t="s">
        <v>20</v>
      </c>
      <c r="D541" s="48">
        <f>AVERAGE(D529:D538)</f>
        <v>121.51499999999999</v>
      </c>
      <c r="E541" s="47"/>
      <c r="F541" s="48">
        <f>_xlfn.STDEV.S(D529:D538) / AVERAGE(D529:D538) * 100%</f>
        <v>4.6764397046269602E-3</v>
      </c>
      <c r="G541" s="48">
        <f t="array" ref="G541">MIN((D529:D538 - MIN(D529:D538,L529:L538,T529:T538,AB529:AB538,AJ529:AJ538))/MIN(D529:D538,L529:L538,T529:T538,AB529:AB538,AJ529:AJ538)*100%)</f>
        <v>0</v>
      </c>
      <c r="H541" s="48">
        <f t="array" ref="H541">AVERAGE((D529:D538 - MIN(D529:D538,L529:L538,T529:T538,AB529:AB538,AJ529:AJ538))/MIN(D529:D538,L529:L538,T529:T538,AB529:AB538,AJ529:AJ538)*100%)</f>
        <v>1.0099750623441426E-2</v>
      </c>
      <c r="I541" s="45"/>
      <c r="J541" s="51"/>
      <c r="K541" s="54" t="s">
        <v>20</v>
      </c>
      <c r="L541" s="48">
        <f>AVERAGE(L529:L538)</f>
        <v>121.96700000000001</v>
      </c>
      <c r="M541" s="47"/>
      <c r="N541" s="48">
        <f>_xlfn.STDEV.S(L529:L538) / AVERAGE(L529:L538) * 100%</f>
        <v>5.0408548998343052E-3</v>
      </c>
      <c r="O541" s="48">
        <f t="array" ref="O541">MIN((L529:L538 - MIN(D529:D538,L529:L538,T529:T538,AB529:AB538,AJ529:AJ538))/MIN(D529:D538,L529:L538,T529:T538,AB529:AB538,AJ529:AJ538)*100%)</f>
        <v>5.1537822111388572E-3</v>
      </c>
      <c r="P541" s="48">
        <f t="array" ref="P541">AVERAGE((L529:L538 - MIN(D529:D538,L529:L538,T529:T538,AB529:AB538,AJ529:AJ538))/MIN(D529:D538,L529:L538,T529:T538,AB529:AB538,AJ529:AJ538)*100%)</f>
        <v>1.3857024106400689E-2</v>
      </c>
      <c r="Q541" s="44"/>
      <c r="R541" s="51"/>
      <c r="S541" s="54" t="s">
        <v>20</v>
      </c>
      <c r="T541" s="48">
        <f>AVERAGE(T529:T538)</f>
        <v>124.47200000000001</v>
      </c>
      <c r="U541" s="47"/>
      <c r="V541" s="48">
        <f>_xlfn.STDEV.S(T529:T538) / AVERAGE(T529:T538) * 100%</f>
        <v>6.4282416891685091E-3</v>
      </c>
      <c r="W541" s="48">
        <f t="array" ref="W541">MIN((T529:T538 - MIN(D529:D538,L529:L538,T529:T538,AB529:AB538,AJ529:AJ538))/MIN(D529:D538,L529:L538,T529:T538,AB529:AB538,AJ529:AJ538)*100%)</f>
        <v>2.4854530340814706E-2</v>
      </c>
      <c r="X541" s="48">
        <f t="array" ref="X541">AVERAGE((T529:T538 - MIN(D529:D538,L529:L538,T529:T538,AB529:AB538,AJ529:AJ538))/MIN(D529:D538,L529:L538,T529:T538,AB529:AB538,AJ529:AJ538)*100%)</f>
        <v>3.4679966749792214E-2</v>
      </c>
      <c r="Y541" s="44"/>
      <c r="Z541" s="51"/>
      <c r="AA541" s="54" t="s">
        <v>20</v>
      </c>
      <c r="AB541" s="48">
        <f>AVERAGE(AB529:AB538)</f>
        <v>123.39100000000001</v>
      </c>
      <c r="AC541" s="47"/>
      <c r="AD541" s="48">
        <f>_xlfn.STDEV.S(AB529:AB538) / AVERAGE(AB529:AB538) * 100%</f>
        <v>8.2183680087712322E-3</v>
      </c>
      <c r="AE541" s="48">
        <f t="array" ref="AE541">MIN((AB529:AB538 - MIN(D529:D538,L529:L538,T529:T538,AB529:AB538,AJ529:AJ538))/MIN(D529:D538,L529:L538,T529:T538,AB529:AB538,AJ529:AJ538)*100%)</f>
        <v>1.2053200332502102E-2</v>
      </c>
      <c r="AF541" s="48">
        <f t="array" ref="AF541">AVERAGE((AB529:AB538 - MIN(D529:D538,L529:L538,T529:T538,AB529:AB538,AJ529:AJ538))/MIN(D529:D538,L529:L538,T529:T538,AB529:AB538,AJ529:AJ538)*100%)</f>
        <v>2.5694098088113071E-2</v>
      </c>
      <c r="AG541" s="44"/>
      <c r="AH541" s="51"/>
      <c r="AI541" s="54" t="s">
        <v>20</v>
      </c>
      <c r="AJ541" s="48">
        <f>AVERAGE(AJ529:AJ538)</f>
        <v>122.79100000000003</v>
      </c>
      <c r="AK541" s="47"/>
      <c r="AL541" s="48">
        <f>_xlfn.STDEV.S(AJ529:AJ538) / AVERAGE(AJ529:AJ538) * 100%</f>
        <v>7.6585997527325624E-3</v>
      </c>
      <c r="AM541" s="48">
        <f t="array" ref="AM541">MIN((AJ529:AJ538 - MIN(D529:D538,L529:L538,T529:T538,AB529:AB538,AJ529:AJ538))/MIN(D529:D538,L529:L538,T529:T538,AB529:AB538,AJ529:AJ538)*100%)</f>
        <v>9.8088113050707141E-3</v>
      </c>
      <c r="AN541" s="48">
        <f t="array" ref="AN541">AVERAGE((AJ529:AJ538 - MIN(D529:D538,L529:L538,T529:T538,AB529:AB538,AJ529:AJ538))/MIN(D529:D538,L529:L538,T529:T538,AB529:AB538,AJ529:AJ538)*100%)</f>
        <v>2.0706566916043244E-2</v>
      </c>
      <c r="AO541" s="44"/>
      <c r="AP541" s="51"/>
    </row>
    <row r="542" spans="1:42" ht="21" customHeight="1" thickTop="1" thickBot="1" x14ac:dyDescent="0.35">
      <c r="A542" s="63"/>
      <c r="B542" s="79"/>
      <c r="C542" s="53"/>
      <c r="D542" s="44"/>
      <c r="E542" s="44"/>
      <c r="F542" s="44"/>
      <c r="G542" s="44"/>
      <c r="H542" s="44"/>
      <c r="I542" s="44"/>
      <c r="J542" s="51"/>
      <c r="K542" s="53"/>
      <c r="L542" s="44"/>
      <c r="M542" s="44"/>
      <c r="N542" s="44"/>
      <c r="O542" s="44"/>
      <c r="P542" s="44"/>
      <c r="Q542" s="44"/>
      <c r="R542" s="51"/>
      <c r="S542" s="53"/>
      <c r="T542" s="44"/>
      <c r="U542" s="44"/>
      <c r="V542" s="44"/>
      <c r="W542" s="44"/>
      <c r="X542" s="44"/>
      <c r="Y542" s="44"/>
      <c r="Z542" s="51"/>
      <c r="AA542" s="53"/>
      <c r="AB542" s="44"/>
      <c r="AC542" s="44"/>
      <c r="AD542" s="44"/>
      <c r="AE542" s="44"/>
      <c r="AF542" s="44"/>
      <c r="AG542" s="44"/>
      <c r="AH542" s="51"/>
      <c r="AI542" s="53"/>
      <c r="AJ542" s="44"/>
      <c r="AK542" s="44"/>
      <c r="AL542" s="44"/>
      <c r="AM542" s="44"/>
      <c r="AN542" s="44"/>
      <c r="AO542" s="44"/>
      <c r="AP542" s="51"/>
    </row>
    <row r="543" spans="1:42" ht="21" customHeight="1" thickTop="1" thickBot="1" x14ac:dyDescent="0.35">
      <c r="A543" s="63"/>
      <c r="B543" s="77" t="s">
        <v>62</v>
      </c>
      <c r="C543" s="59" t="s">
        <v>8</v>
      </c>
      <c r="D543" s="46" t="s">
        <v>9</v>
      </c>
      <c r="E543" s="46" t="s">
        <v>10</v>
      </c>
      <c r="F543" s="46" t="s">
        <v>11</v>
      </c>
      <c r="G543" s="46" t="s">
        <v>12</v>
      </c>
      <c r="H543" s="46" t="s">
        <v>13</v>
      </c>
      <c r="I543" s="46" t="s">
        <v>14</v>
      </c>
      <c r="J543" s="60" t="s">
        <v>15</v>
      </c>
      <c r="K543" s="59" t="s">
        <v>8</v>
      </c>
      <c r="L543" s="46" t="s">
        <v>9</v>
      </c>
      <c r="M543" s="46" t="s">
        <v>10</v>
      </c>
      <c r="N543" s="46" t="s">
        <v>11</v>
      </c>
      <c r="O543" s="46" t="s">
        <v>12</v>
      </c>
      <c r="P543" s="46" t="s">
        <v>13</v>
      </c>
      <c r="Q543" s="46" t="s">
        <v>14</v>
      </c>
      <c r="R543" s="60" t="s">
        <v>15</v>
      </c>
      <c r="S543" s="59" t="s">
        <v>8</v>
      </c>
      <c r="T543" s="46" t="s">
        <v>9</v>
      </c>
      <c r="U543" s="46" t="s">
        <v>10</v>
      </c>
      <c r="V543" s="46" t="s">
        <v>11</v>
      </c>
      <c r="W543" s="46" t="s">
        <v>12</v>
      </c>
      <c r="X543" s="46" t="s">
        <v>13</v>
      </c>
      <c r="Y543" s="46" t="s">
        <v>14</v>
      </c>
      <c r="Z543" s="60" t="s">
        <v>15</v>
      </c>
      <c r="AA543" s="59" t="s">
        <v>8</v>
      </c>
      <c r="AB543" s="46" t="s">
        <v>9</v>
      </c>
      <c r="AC543" s="46" t="s">
        <v>10</v>
      </c>
      <c r="AD543" s="46" t="s">
        <v>11</v>
      </c>
      <c r="AE543" s="46" t="s">
        <v>12</v>
      </c>
      <c r="AF543" s="46" t="s">
        <v>13</v>
      </c>
      <c r="AG543" s="46" t="s">
        <v>14</v>
      </c>
      <c r="AH543" s="60" t="s">
        <v>15</v>
      </c>
      <c r="AI543" s="59" t="s">
        <v>8</v>
      </c>
      <c r="AJ543" s="46" t="s">
        <v>9</v>
      </c>
      <c r="AK543" s="46" t="s">
        <v>10</v>
      </c>
      <c r="AL543" s="46" t="s">
        <v>11</v>
      </c>
      <c r="AM543" s="46" t="s">
        <v>12</v>
      </c>
      <c r="AN543" s="46" t="s">
        <v>13</v>
      </c>
      <c r="AO543" s="46" t="s">
        <v>14</v>
      </c>
      <c r="AP543" s="60" t="s">
        <v>15</v>
      </c>
    </row>
    <row r="544" spans="1:42" ht="21" customHeight="1" thickTop="1" thickBot="1" x14ac:dyDescent="0.35">
      <c r="A544" s="63"/>
      <c r="B544" s="78"/>
      <c r="C544" s="52">
        <v>1</v>
      </c>
      <c r="D544" s="44">
        <v>128.38999999999999</v>
      </c>
      <c r="E544" s="44"/>
      <c r="F544" s="44"/>
      <c r="G544" s="44"/>
      <c r="H544" s="44"/>
      <c r="I544" s="44"/>
      <c r="J544" s="51"/>
      <c r="K544" s="52">
        <v>1</v>
      </c>
      <c r="L544" s="44">
        <v>128.77000000000001</v>
      </c>
      <c r="M544" s="44"/>
      <c r="N544" s="44"/>
      <c r="O544" s="44"/>
      <c r="P544" s="44"/>
      <c r="Q544" s="44"/>
      <c r="R544" s="51"/>
      <c r="S544" s="52">
        <v>1</v>
      </c>
      <c r="T544" s="44">
        <v>131.94</v>
      </c>
      <c r="U544" s="44"/>
      <c r="V544" s="44"/>
      <c r="W544" s="44"/>
      <c r="X544" s="44"/>
      <c r="Y544" s="44"/>
      <c r="Z544" s="51"/>
      <c r="AA544" s="52">
        <v>1</v>
      </c>
      <c r="AB544" s="44">
        <v>132.83000000000001</v>
      </c>
      <c r="AC544" s="44"/>
      <c r="AD544" s="44"/>
      <c r="AE544" s="44"/>
      <c r="AF544" s="44"/>
      <c r="AG544" s="44"/>
      <c r="AH544" s="51"/>
      <c r="AI544" s="52">
        <v>1</v>
      </c>
      <c r="AJ544" s="44">
        <v>133.4</v>
      </c>
      <c r="AK544" s="44"/>
      <c r="AL544" s="44"/>
      <c r="AM544" s="44"/>
      <c r="AN544" s="44"/>
      <c r="AO544" s="44"/>
      <c r="AP544" s="51"/>
    </row>
    <row r="545" spans="1:42" ht="21" customHeight="1" thickTop="1" thickBot="1" x14ac:dyDescent="0.35">
      <c r="A545" s="63"/>
      <c r="B545" s="78"/>
      <c r="C545" s="53">
        <v>2</v>
      </c>
      <c r="D545" s="45">
        <v>128.38999999999999</v>
      </c>
      <c r="E545" s="45"/>
      <c r="F545" s="45"/>
      <c r="G545" s="45"/>
      <c r="H545" s="45"/>
      <c r="I545" s="45"/>
      <c r="J545" s="51"/>
      <c r="K545" s="53">
        <v>2</v>
      </c>
      <c r="L545" s="45">
        <v>128.72</v>
      </c>
      <c r="M545" s="45"/>
      <c r="N545" s="45"/>
      <c r="O545" s="45"/>
      <c r="P545" s="45"/>
      <c r="Q545" s="45"/>
      <c r="R545" s="51"/>
      <c r="S545" s="53">
        <v>2</v>
      </c>
      <c r="T545" s="45">
        <v>132.6</v>
      </c>
      <c r="U545" s="45"/>
      <c r="V545" s="45"/>
      <c r="W545" s="45"/>
      <c r="X545" s="45"/>
      <c r="Y545" s="45"/>
      <c r="Z545" s="51"/>
      <c r="AA545" s="53">
        <v>2</v>
      </c>
      <c r="AB545" s="45">
        <v>130.11000000000001</v>
      </c>
      <c r="AC545" s="45"/>
      <c r="AD545" s="45"/>
      <c r="AE545" s="45"/>
      <c r="AF545" s="45"/>
      <c r="AG545" s="45"/>
      <c r="AH545" s="51"/>
      <c r="AI545" s="53">
        <v>2</v>
      </c>
      <c r="AJ545" s="45">
        <v>132.6</v>
      </c>
      <c r="AK545" s="45"/>
      <c r="AL545" s="45"/>
      <c r="AM545" s="45"/>
      <c r="AN545" s="45"/>
      <c r="AO545" s="45"/>
      <c r="AP545" s="51"/>
    </row>
    <row r="546" spans="1:42" ht="21" customHeight="1" thickTop="1" thickBot="1" x14ac:dyDescent="0.35">
      <c r="A546" s="63"/>
      <c r="B546" s="78"/>
      <c r="C546" s="53">
        <v>3</v>
      </c>
      <c r="D546" s="45">
        <v>129.13</v>
      </c>
      <c r="E546" s="45"/>
      <c r="F546" s="45"/>
      <c r="G546" s="44"/>
      <c r="H546" s="44"/>
      <c r="I546" s="44"/>
      <c r="J546" s="51"/>
      <c r="K546" s="53">
        <v>3</v>
      </c>
      <c r="L546" s="45">
        <v>128.44</v>
      </c>
      <c r="M546" s="45"/>
      <c r="N546" s="45"/>
      <c r="O546" s="44"/>
      <c r="P546" s="44"/>
      <c r="Q546" s="44"/>
      <c r="R546" s="51"/>
      <c r="S546" s="53">
        <v>3</v>
      </c>
      <c r="T546" s="45">
        <v>132.27000000000001</v>
      </c>
      <c r="U546" s="45"/>
      <c r="V546" s="45"/>
      <c r="W546" s="44"/>
      <c r="X546" s="44"/>
      <c r="Y546" s="44"/>
      <c r="Z546" s="51"/>
      <c r="AA546" s="53">
        <v>3</v>
      </c>
      <c r="AB546" s="45">
        <v>131.86000000000001</v>
      </c>
      <c r="AC546" s="45"/>
      <c r="AD546" s="45"/>
      <c r="AE546" s="44"/>
      <c r="AF546" s="44"/>
      <c r="AG546" s="44"/>
      <c r="AH546" s="51"/>
      <c r="AI546" s="53">
        <v>3</v>
      </c>
      <c r="AJ546" s="45">
        <v>132.83000000000001</v>
      </c>
      <c r="AK546" s="45"/>
      <c r="AL546" s="45"/>
      <c r="AM546" s="44"/>
      <c r="AN546" s="44"/>
      <c r="AO546" s="44"/>
      <c r="AP546" s="51"/>
    </row>
    <row r="547" spans="1:42" ht="21" customHeight="1" thickTop="1" thickBot="1" x14ac:dyDescent="0.35">
      <c r="A547" s="63"/>
      <c r="B547" s="78"/>
      <c r="C547" s="53">
        <v>4</v>
      </c>
      <c r="D547" s="45">
        <v>128.38999999999999</v>
      </c>
      <c r="E547" s="45"/>
      <c r="F547" s="45"/>
      <c r="G547" s="45"/>
      <c r="H547" s="45"/>
      <c r="I547" s="45"/>
      <c r="J547" s="51"/>
      <c r="K547" s="53">
        <v>4</v>
      </c>
      <c r="L547" s="45">
        <v>128.56</v>
      </c>
      <c r="M547" s="45"/>
      <c r="N547" s="45"/>
      <c r="O547" s="45"/>
      <c r="P547" s="45"/>
      <c r="Q547" s="45"/>
      <c r="R547" s="51"/>
      <c r="S547" s="53">
        <v>4</v>
      </c>
      <c r="T547" s="45">
        <v>131.63</v>
      </c>
      <c r="U547" s="45"/>
      <c r="V547" s="45"/>
      <c r="W547" s="45"/>
      <c r="X547" s="45"/>
      <c r="Y547" s="45"/>
      <c r="Z547" s="51"/>
      <c r="AA547" s="53">
        <v>4</v>
      </c>
      <c r="AB547" s="45">
        <v>129.71</v>
      </c>
      <c r="AC547" s="45"/>
      <c r="AD547" s="45"/>
      <c r="AE547" s="45"/>
      <c r="AF547" s="45"/>
      <c r="AG547" s="45"/>
      <c r="AH547" s="51"/>
      <c r="AI547" s="53">
        <v>4</v>
      </c>
      <c r="AJ547" s="45">
        <v>131.62</v>
      </c>
      <c r="AK547" s="45"/>
      <c r="AL547" s="45"/>
      <c r="AM547" s="45"/>
      <c r="AN547" s="45"/>
      <c r="AO547" s="45"/>
      <c r="AP547" s="51"/>
    </row>
    <row r="548" spans="1:42" ht="21" customHeight="1" thickTop="1" thickBot="1" x14ac:dyDescent="0.35">
      <c r="A548" s="63"/>
      <c r="B548" s="78"/>
      <c r="C548" s="53">
        <v>5</v>
      </c>
      <c r="D548" s="45">
        <v>128.4</v>
      </c>
      <c r="E548" s="45"/>
      <c r="F548" s="45"/>
      <c r="G548" s="45"/>
      <c r="H548" s="45"/>
      <c r="I548" s="45"/>
      <c r="J548" s="51"/>
      <c r="K548" s="53">
        <v>5</v>
      </c>
      <c r="L548" s="45">
        <v>128.38999999999999</v>
      </c>
      <c r="M548" s="45"/>
      <c r="N548" s="45"/>
      <c r="O548" s="45"/>
      <c r="P548" s="45"/>
      <c r="Q548" s="45"/>
      <c r="R548" s="51"/>
      <c r="S548" s="53">
        <v>5</v>
      </c>
      <c r="T548" s="45">
        <v>129.78</v>
      </c>
      <c r="U548" s="45"/>
      <c r="V548" s="45"/>
      <c r="W548" s="45"/>
      <c r="X548" s="45"/>
      <c r="Y548" s="45"/>
      <c r="Z548" s="51"/>
      <c r="AA548" s="53">
        <v>5</v>
      </c>
      <c r="AB548" s="45">
        <v>129.16</v>
      </c>
      <c r="AC548" s="45"/>
      <c r="AD548" s="45"/>
      <c r="AE548" s="45"/>
      <c r="AF548" s="45"/>
      <c r="AG548" s="45"/>
      <c r="AH548" s="51"/>
      <c r="AI548" s="53">
        <v>5</v>
      </c>
      <c r="AJ548" s="45">
        <v>132.94</v>
      </c>
      <c r="AK548" s="45"/>
      <c r="AL548" s="45"/>
      <c r="AM548" s="45"/>
      <c r="AN548" s="45"/>
      <c r="AO548" s="45"/>
      <c r="AP548" s="51"/>
    </row>
    <row r="549" spans="1:42" ht="21" customHeight="1" thickTop="1" thickBot="1" x14ac:dyDescent="0.35">
      <c r="A549" s="63"/>
      <c r="B549" s="78"/>
      <c r="C549" s="53">
        <v>6</v>
      </c>
      <c r="D549" s="45">
        <v>128.38999999999999</v>
      </c>
      <c r="E549" s="45"/>
      <c r="F549" s="45"/>
      <c r="G549" s="45"/>
      <c r="H549" s="45"/>
      <c r="I549" s="45"/>
      <c r="J549" s="51"/>
      <c r="K549" s="53">
        <v>6</v>
      </c>
      <c r="L549" s="45">
        <v>128.38999999999999</v>
      </c>
      <c r="M549" s="45"/>
      <c r="N549" s="45"/>
      <c r="O549" s="45"/>
      <c r="P549" s="45"/>
      <c r="Q549" s="45"/>
      <c r="R549" s="51"/>
      <c r="S549" s="53">
        <v>6</v>
      </c>
      <c r="T549" s="45">
        <v>132.69999999999999</v>
      </c>
      <c r="U549" s="45"/>
      <c r="V549" s="45"/>
      <c r="W549" s="45"/>
      <c r="X549" s="45"/>
      <c r="Y549" s="45"/>
      <c r="Z549" s="51"/>
      <c r="AA549" s="53">
        <v>6</v>
      </c>
      <c r="AB549" s="45">
        <v>132.72</v>
      </c>
      <c r="AC549" s="45"/>
      <c r="AD549" s="45"/>
      <c r="AE549" s="45"/>
      <c r="AF549" s="45"/>
      <c r="AG549" s="45"/>
      <c r="AH549" s="51"/>
      <c r="AI549" s="53">
        <v>6</v>
      </c>
      <c r="AJ549" s="45">
        <v>131.94</v>
      </c>
      <c r="AK549" s="45"/>
      <c r="AL549" s="45"/>
      <c r="AM549" s="45"/>
      <c r="AN549" s="45"/>
      <c r="AO549" s="45"/>
      <c r="AP549" s="51"/>
    </row>
    <row r="550" spans="1:42" ht="21" customHeight="1" thickTop="1" thickBot="1" x14ac:dyDescent="0.35">
      <c r="A550" s="63"/>
      <c r="B550" s="78"/>
      <c r="C550" s="53">
        <v>7</v>
      </c>
      <c r="D550" s="45">
        <v>128.56</v>
      </c>
      <c r="E550" s="45"/>
      <c r="F550" s="45"/>
      <c r="G550" s="45"/>
      <c r="H550" s="45"/>
      <c r="I550" s="45"/>
      <c r="J550" s="51"/>
      <c r="K550" s="53">
        <v>7</v>
      </c>
      <c r="L550" s="45">
        <v>129.03</v>
      </c>
      <c r="M550" s="45"/>
      <c r="N550" s="45"/>
      <c r="O550" s="45"/>
      <c r="P550" s="45"/>
      <c r="Q550" s="45"/>
      <c r="R550" s="51"/>
      <c r="S550" s="53">
        <v>7</v>
      </c>
      <c r="T550" s="45">
        <v>131.18</v>
      </c>
      <c r="U550" s="45"/>
      <c r="V550" s="45"/>
      <c r="W550" s="45"/>
      <c r="X550" s="45"/>
      <c r="Y550" s="45"/>
      <c r="Z550" s="51"/>
      <c r="AA550" s="53">
        <v>7</v>
      </c>
      <c r="AB550" s="45">
        <v>128.38999999999999</v>
      </c>
      <c r="AC550" s="45"/>
      <c r="AD550" s="45"/>
      <c r="AE550" s="45"/>
      <c r="AF550" s="45"/>
      <c r="AG550" s="45"/>
      <c r="AH550" s="51"/>
      <c r="AI550" s="53">
        <v>7</v>
      </c>
      <c r="AJ550" s="45">
        <v>133.24</v>
      </c>
      <c r="AK550" s="45"/>
      <c r="AL550" s="45"/>
      <c r="AM550" s="45"/>
      <c r="AN550" s="45"/>
      <c r="AO550" s="45"/>
      <c r="AP550" s="51"/>
    </row>
    <row r="551" spans="1:42" ht="21" customHeight="1" thickTop="1" thickBot="1" x14ac:dyDescent="0.35">
      <c r="A551" s="63"/>
      <c r="B551" s="78"/>
      <c r="C551" s="53">
        <v>8</v>
      </c>
      <c r="D551" s="45">
        <v>128.38999999999999</v>
      </c>
      <c r="E551" s="45"/>
      <c r="F551" s="45"/>
      <c r="G551" s="45"/>
      <c r="H551" s="45"/>
      <c r="I551" s="45"/>
      <c r="J551" s="51"/>
      <c r="K551" s="53">
        <v>8</v>
      </c>
      <c r="L551" s="45">
        <v>128.38999999999999</v>
      </c>
      <c r="M551" s="45"/>
      <c r="N551" s="45"/>
      <c r="O551" s="45"/>
      <c r="P551" s="45"/>
      <c r="Q551" s="45"/>
      <c r="R551" s="51"/>
      <c r="S551" s="53">
        <v>8</v>
      </c>
      <c r="T551" s="45">
        <v>132.63999999999999</v>
      </c>
      <c r="U551" s="45"/>
      <c r="V551" s="45"/>
      <c r="W551" s="45"/>
      <c r="X551" s="45"/>
      <c r="Y551" s="45"/>
      <c r="Z551" s="51"/>
      <c r="AA551" s="53">
        <v>8</v>
      </c>
      <c r="AB551" s="45">
        <v>132.62</v>
      </c>
      <c r="AC551" s="45"/>
      <c r="AD551" s="45"/>
      <c r="AE551" s="45"/>
      <c r="AF551" s="45"/>
      <c r="AG551" s="45"/>
      <c r="AH551" s="51"/>
      <c r="AI551" s="53">
        <v>8</v>
      </c>
      <c r="AJ551" s="45">
        <v>132.63999999999999</v>
      </c>
      <c r="AK551" s="45"/>
      <c r="AL551" s="45"/>
      <c r="AM551" s="45"/>
      <c r="AN551" s="45"/>
      <c r="AO551" s="45"/>
      <c r="AP551" s="51"/>
    </row>
    <row r="552" spans="1:42" ht="21" customHeight="1" thickTop="1" thickBot="1" x14ac:dyDescent="0.35">
      <c r="A552" s="63"/>
      <c r="B552" s="78"/>
      <c r="C552" s="53">
        <v>9</v>
      </c>
      <c r="D552" s="45">
        <v>128.38999999999999</v>
      </c>
      <c r="E552" s="45"/>
      <c r="F552" s="45"/>
      <c r="G552" s="45"/>
      <c r="H552" s="45"/>
      <c r="I552" s="45"/>
      <c r="J552" s="51"/>
      <c r="K552" s="53">
        <v>9</v>
      </c>
      <c r="L552" s="45">
        <v>128.38999999999999</v>
      </c>
      <c r="M552" s="45"/>
      <c r="N552" s="45"/>
      <c r="O552" s="45"/>
      <c r="P552" s="45"/>
      <c r="Q552" s="45"/>
      <c r="R552" s="51"/>
      <c r="S552" s="53">
        <v>9</v>
      </c>
      <c r="T552" s="45">
        <v>134.86000000000001</v>
      </c>
      <c r="U552" s="45"/>
      <c r="V552" s="45"/>
      <c r="W552" s="45"/>
      <c r="X552" s="45"/>
      <c r="Y552" s="45"/>
      <c r="Z552" s="51"/>
      <c r="AA552" s="53">
        <v>9</v>
      </c>
      <c r="AB552" s="45">
        <v>130.11000000000001</v>
      </c>
      <c r="AC552" s="45"/>
      <c r="AD552" s="45"/>
      <c r="AE552" s="45"/>
      <c r="AF552" s="45"/>
      <c r="AG552" s="45"/>
      <c r="AH552" s="51"/>
      <c r="AI552" s="53">
        <v>9</v>
      </c>
      <c r="AJ552" s="45">
        <v>133.38</v>
      </c>
      <c r="AK552" s="45"/>
      <c r="AL552" s="45"/>
      <c r="AM552" s="45"/>
      <c r="AN552" s="45"/>
      <c r="AO552" s="45"/>
      <c r="AP552" s="51"/>
    </row>
    <row r="553" spans="1:42" ht="21" customHeight="1" thickTop="1" thickBot="1" x14ac:dyDescent="0.35">
      <c r="A553" s="63"/>
      <c r="B553" s="78"/>
      <c r="C553" s="53">
        <v>10</v>
      </c>
      <c r="D553" s="45">
        <v>128.38999999999999</v>
      </c>
      <c r="E553" s="45"/>
      <c r="F553" s="45"/>
      <c r="G553" s="45"/>
      <c r="H553" s="45"/>
      <c r="I553" s="45"/>
      <c r="J553" s="51"/>
      <c r="K553" s="53">
        <v>10</v>
      </c>
      <c r="L553" s="45">
        <v>128.87</v>
      </c>
      <c r="M553" s="45"/>
      <c r="N553" s="45"/>
      <c r="O553" s="45"/>
      <c r="P553" s="45"/>
      <c r="Q553" s="45"/>
      <c r="R553" s="51"/>
      <c r="S553" s="53">
        <v>10</v>
      </c>
      <c r="T553" s="45">
        <v>132.06</v>
      </c>
      <c r="U553" s="45"/>
      <c r="V553" s="45"/>
      <c r="W553" s="45"/>
      <c r="X553" s="45"/>
      <c r="Y553" s="45"/>
      <c r="Z553" s="51"/>
      <c r="AA553" s="53">
        <v>10</v>
      </c>
      <c r="AB553" s="45">
        <v>129.18</v>
      </c>
      <c r="AC553" s="45"/>
      <c r="AD553" s="45"/>
      <c r="AE553" s="45"/>
      <c r="AF553" s="45"/>
      <c r="AG553" s="45"/>
      <c r="AH553" s="51"/>
      <c r="AI553" s="53">
        <v>10</v>
      </c>
      <c r="AJ553" s="45">
        <v>133.22</v>
      </c>
      <c r="AK553" s="45"/>
      <c r="AL553" s="45"/>
      <c r="AM553" s="45"/>
      <c r="AN553" s="45"/>
      <c r="AO553" s="45"/>
      <c r="AP553" s="51"/>
    </row>
    <row r="554" spans="1:42" ht="21" customHeight="1" thickTop="1" thickBot="1" x14ac:dyDescent="0.35">
      <c r="A554" s="63"/>
      <c r="B554" s="78"/>
      <c r="C554" s="53"/>
      <c r="D554" s="45"/>
      <c r="E554" s="45"/>
      <c r="F554" s="45"/>
      <c r="G554" s="45"/>
      <c r="H554" s="45"/>
      <c r="I554" s="45"/>
      <c r="J554" s="51"/>
      <c r="K554" s="53"/>
      <c r="L554" s="45"/>
      <c r="M554" s="45"/>
      <c r="N554" s="45"/>
      <c r="O554" s="45"/>
      <c r="P554" s="45"/>
      <c r="Q554" s="45"/>
      <c r="R554" s="51"/>
      <c r="S554" s="53"/>
      <c r="T554" s="45"/>
      <c r="U554" s="45"/>
      <c r="V554" s="45"/>
      <c r="W554" s="45"/>
      <c r="X554" s="45"/>
      <c r="Y554" s="45"/>
      <c r="Z554" s="51"/>
      <c r="AA554" s="53"/>
      <c r="AB554" s="45"/>
      <c r="AC554" s="45"/>
      <c r="AD554" s="45"/>
      <c r="AE554" s="45"/>
      <c r="AF554" s="45"/>
      <c r="AG554" s="45"/>
      <c r="AH554" s="51"/>
      <c r="AI554" s="53"/>
      <c r="AJ554" s="45"/>
      <c r="AK554" s="45"/>
      <c r="AL554" s="45"/>
      <c r="AM554" s="45"/>
      <c r="AN554" s="45"/>
      <c r="AO554" s="45"/>
      <c r="AP554" s="51"/>
    </row>
    <row r="555" spans="1:42" ht="41" customHeight="1" thickTop="1" thickBot="1" x14ac:dyDescent="0.35">
      <c r="A555" s="63"/>
      <c r="B555" s="78"/>
      <c r="C555" s="54" t="s">
        <v>16</v>
      </c>
      <c r="D555" s="49">
        <f>MIN(D544:D553)</f>
        <v>128.38999999999999</v>
      </c>
      <c r="E555" s="45"/>
      <c r="F555" s="55" t="s">
        <v>17</v>
      </c>
      <c r="G555" s="49" t="s">
        <v>18</v>
      </c>
      <c r="H555" s="49" t="s">
        <v>19</v>
      </c>
      <c r="I555" s="45"/>
      <c r="J555" s="51"/>
      <c r="K555" s="54" t="s">
        <v>16</v>
      </c>
      <c r="L555" s="49">
        <f>MIN(L544:L553)</f>
        <v>128.38999999999999</v>
      </c>
      <c r="M555" s="45"/>
      <c r="N555" s="55" t="s">
        <v>17</v>
      </c>
      <c r="O555" s="49" t="s">
        <v>18</v>
      </c>
      <c r="P555" s="49" t="s">
        <v>19</v>
      </c>
      <c r="Q555" s="45"/>
      <c r="R555" s="51"/>
      <c r="S555" s="54" t="s">
        <v>16</v>
      </c>
      <c r="T555" s="49">
        <f>MIN(T544:T553)</f>
        <v>129.78</v>
      </c>
      <c r="U555" s="45"/>
      <c r="V555" s="55" t="s">
        <v>17</v>
      </c>
      <c r="W555" s="49" t="s">
        <v>18</v>
      </c>
      <c r="X555" s="49" t="s">
        <v>19</v>
      </c>
      <c r="Y555" s="45"/>
      <c r="Z555" s="51"/>
      <c r="AA555" s="54" t="s">
        <v>16</v>
      </c>
      <c r="AB555" s="49">
        <f>MIN(AB544:AB553)</f>
        <v>128.38999999999999</v>
      </c>
      <c r="AC555" s="45"/>
      <c r="AD555" s="55" t="s">
        <v>17</v>
      </c>
      <c r="AE555" s="49" t="s">
        <v>18</v>
      </c>
      <c r="AF555" s="49" t="s">
        <v>19</v>
      </c>
      <c r="AG555" s="45"/>
      <c r="AH555" s="51"/>
      <c r="AI555" s="54" t="s">
        <v>16</v>
      </c>
      <c r="AJ555" s="49">
        <f>MIN(AJ544:AJ553)</f>
        <v>131.62</v>
      </c>
      <c r="AK555" s="45"/>
      <c r="AL555" s="55" t="s">
        <v>17</v>
      </c>
      <c r="AM555" s="49" t="s">
        <v>18</v>
      </c>
      <c r="AN555" s="49" t="s">
        <v>19</v>
      </c>
      <c r="AO555" s="45"/>
      <c r="AP555" s="51"/>
    </row>
    <row r="556" spans="1:42" ht="21" customHeight="1" thickTop="1" thickBot="1" x14ac:dyDescent="0.35">
      <c r="A556" s="63"/>
      <c r="B556" s="78"/>
      <c r="C556" s="54" t="s">
        <v>20</v>
      </c>
      <c r="D556" s="48">
        <f>AVERAGE(D544:D553)</f>
        <v>128.48199999999997</v>
      </c>
      <c r="E556" s="47"/>
      <c r="F556" s="48">
        <f>_xlfn.STDEV.S(D544:D553) / AVERAGE(D544:D553) * 100%</f>
        <v>1.819706529041753E-3</v>
      </c>
      <c r="G556" s="48">
        <f t="array" ref="G556">MIN((D544:D553 - MIN(D544:D553,L544:L553,T544:T553,AB544:AB553,AJ544:AJ553))/MIN(D544:D553,L544:L553,T544:T553,AB544:AB553,AJ544:AJ553)*100%)</f>
        <v>0</v>
      </c>
      <c r="H556" s="48">
        <f t="array" ref="H556">AVERAGE((D544:D553 - MIN(D544:D553,L544:L553,T544:T553,AB544:AB553,AJ544:AJ553))/MIN(D544:D553,L544:L553,T544:T553,AB544:AB553,AJ544:AJ553)*100%)</f>
        <v>7.1656671080305668E-4</v>
      </c>
      <c r="I556" s="45"/>
      <c r="J556" s="51"/>
      <c r="K556" s="54" t="s">
        <v>20</v>
      </c>
      <c r="L556" s="48">
        <f>AVERAGE(L544:L553)</f>
        <v>128.59499999999997</v>
      </c>
      <c r="M556" s="47"/>
      <c r="N556" s="48">
        <f>_xlfn.STDEV.S(L544:L553) / AVERAGE(L544:L553) * 100%</f>
        <v>1.8410421247718912E-3</v>
      </c>
      <c r="O556" s="48">
        <f t="array" ref="O556">MIN((L544:L553 - MIN(D544:D553,L544:L553,T544:T553,AB544:AB553,AJ544:AJ553))/MIN(D544:D553,L544:L553,T544:T553,AB544:AB553,AJ544:AJ553)*100%)</f>
        <v>0</v>
      </c>
      <c r="P556" s="48">
        <f t="array" ref="P556">AVERAGE((L544:L553 - MIN(D544:D553,L544:L553,T544:T553,AB544:AB553,AJ544:AJ553))/MIN(D544:D553,L544:L553,T544:T553,AB544:AB553,AJ544:AJ553)*100%)</f>
        <v>1.596697562115505E-3</v>
      </c>
      <c r="Q556" s="44"/>
      <c r="R556" s="51"/>
      <c r="S556" s="54" t="s">
        <v>20</v>
      </c>
      <c r="T556" s="48">
        <f>AVERAGE(T544:T553)</f>
        <v>132.166</v>
      </c>
      <c r="U556" s="47"/>
      <c r="V556" s="48">
        <f>_xlfn.STDEV.S(T544:T553) / AVERAGE(T544:T553) * 100%</f>
        <v>9.7619320119205835E-3</v>
      </c>
      <c r="W556" s="48">
        <f t="array" ref="W556">MIN((T544:T553 - MIN(D544:D553,L544:L553,T544:T553,AB544:AB553,AJ544:AJ553))/MIN(D544:D553,L544:L553,T544:T553,AB544:AB553,AJ544:AJ553)*100%)</f>
        <v>1.0826388348002296E-2</v>
      </c>
      <c r="X556" s="48">
        <f t="array" ref="X556">AVERAGE((T544:T553 - MIN(D544:D553,L544:L553,T544:T553,AB544:AB553,AJ544:AJ553))/MIN(D544:D553,L544:L553,T544:T553,AB544:AB553,AJ544:AJ553)*100%)</f>
        <v>2.9410390217306754E-2</v>
      </c>
      <c r="Y556" s="44"/>
      <c r="Z556" s="51"/>
      <c r="AA556" s="54" t="s">
        <v>20</v>
      </c>
      <c r="AB556" s="48">
        <f>AVERAGE(AB544:AB553)</f>
        <v>130.66900000000004</v>
      </c>
      <c r="AC556" s="47"/>
      <c r="AD556" s="48">
        <f>_xlfn.STDEV.S(AB544:AB553) / AVERAGE(AB544:AB553) * 100%</f>
        <v>1.2839816950965584E-2</v>
      </c>
      <c r="AE556" s="48">
        <f t="array" ref="AE556">MIN((AB544:AB553 - MIN(D544:D553,L544:L553,T544:T553,AB544:AB553,AJ544:AJ553))/MIN(D544:D553,L544:L553,T544:T553,AB544:AB553,AJ544:AJ553)*100%)</f>
        <v>0</v>
      </c>
      <c r="AF556" s="48">
        <f t="array" ref="AF556">AVERAGE((AB544:AB553 - MIN(D544:D553,L544:L553,T544:T553,AB544:AB553,AJ544:AJ553))/MIN(D544:D553,L544:L553,T544:T553,AB544:AB553,AJ544:AJ553)*100%)</f>
        <v>1.7750603629566316E-2</v>
      </c>
      <c r="AG556" s="44"/>
      <c r="AH556" s="51"/>
      <c r="AI556" s="54" t="s">
        <v>20</v>
      </c>
      <c r="AJ556" s="48">
        <f>AVERAGE(AJ544:AJ553)</f>
        <v>132.78100000000001</v>
      </c>
      <c r="AK556" s="47"/>
      <c r="AL556" s="48">
        <f>_xlfn.STDEV.S(AJ544:AJ553) / AVERAGE(AJ544:AJ553) * 100%</f>
        <v>4.547143344071379E-3</v>
      </c>
      <c r="AM556" s="48">
        <f t="array" ref="AM556">MIN((AJ544:AJ553 - MIN(D544:D553,L544:L553,T544:T553,AB544:AB553,AJ544:AJ553))/MIN(D544:D553,L544:L553,T544:T553,AB544:AB553,AJ544:AJ553)*100%)</f>
        <v>2.5157722564062766E-2</v>
      </c>
      <c r="AN556" s="48">
        <f t="array" ref="AN556">AVERAGE((AJ544:AJ553 - MIN(D544:D553,L544:L553,T544:T553,AB544:AB553,AJ544:AJ553))/MIN(D544:D553,L544:L553,T544:T553,AB544:AB553,AJ544:AJ553)*100%)</f>
        <v>3.4200482903653046E-2</v>
      </c>
      <c r="AO556" s="44"/>
      <c r="AP556" s="51"/>
    </row>
    <row r="557" spans="1:42" ht="21" customHeight="1" thickTop="1" thickBot="1" x14ac:dyDescent="0.35">
      <c r="A557" s="63"/>
      <c r="B557" s="79"/>
      <c r="C557" s="53"/>
      <c r="D557" s="44"/>
      <c r="E557" s="44"/>
      <c r="F557" s="44"/>
      <c r="G557" s="44"/>
      <c r="H557" s="44"/>
      <c r="I557" s="44"/>
      <c r="J557" s="51"/>
      <c r="K557" s="53"/>
      <c r="L557" s="44"/>
      <c r="M557" s="44"/>
      <c r="N557" s="44"/>
      <c r="O557" s="44"/>
      <c r="P557" s="44"/>
      <c r="Q557" s="44"/>
      <c r="R557" s="51"/>
      <c r="S557" s="53"/>
      <c r="T557" s="44"/>
      <c r="U557" s="44"/>
      <c r="V557" s="44"/>
      <c r="W557" s="44"/>
      <c r="X557" s="44"/>
      <c r="Y557" s="44"/>
      <c r="Z557" s="51"/>
      <c r="AA557" s="53"/>
      <c r="AB557" s="44"/>
      <c r="AC557" s="44"/>
      <c r="AD557" s="44"/>
      <c r="AE557" s="44"/>
      <c r="AF557" s="44"/>
      <c r="AG557" s="44"/>
      <c r="AH557" s="51"/>
      <c r="AI557" s="53"/>
      <c r="AJ557" s="44"/>
      <c r="AK557" s="44"/>
      <c r="AL557" s="44"/>
      <c r="AM557" s="44"/>
      <c r="AN557" s="44"/>
      <c r="AO557" s="44"/>
      <c r="AP557" s="51"/>
    </row>
    <row r="558" spans="1:42" ht="21" customHeight="1" thickTop="1" thickBot="1" x14ac:dyDescent="0.35">
      <c r="A558" s="63"/>
      <c r="B558" s="77" t="s">
        <v>63</v>
      </c>
      <c r="C558" s="59" t="s">
        <v>8</v>
      </c>
      <c r="D558" s="46" t="s">
        <v>9</v>
      </c>
      <c r="E558" s="46" t="s">
        <v>10</v>
      </c>
      <c r="F558" s="46" t="s">
        <v>11</v>
      </c>
      <c r="G558" s="46" t="s">
        <v>12</v>
      </c>
      <c r="H558" s="46" t="s">
        <v>13</v>
      </c>
      <c r="I558" s="46" t="s">
        <v>14</v>
      </c>
      <c r="J558" s="60" t="s">
        <v>15</v>
      </c>
      <c r="K558" s="59" t="s">
        <v>8</v>
      </c>
      <c r="L558" s="46" t="s">
        <v>9</v>
      </c>
      <c r="M558" s="46" t="s">
        <v>10</v>
      </c>
      <c r="N558" s="46" t="s">
        <v>11</v>
      </c>
      <c r="O558" s="46" t="s">
        <v>12</v>
      </c>
      <c r="P558" s="46" t="s">
        <v>13</v>
      </c>
      <c r="Q558" s="46" t="s">
        <v>14</v>
      </c>
      <c r="R558" s="60" t="s">
        <v>15</v>
      </c>
      <c r="S558" s="59" t="s">
        <v>8</v>
      </c>
      <c r="T558" s="46" t="s">
        <v>9</v>
      </c>
      <c r="U558" s="46" t="s">
        <v>10</v>
      </c>
      <c r="V558" s="46" t="s">
        <v>11</v>
      </c>
      <c r="W558" s="46" t="s">
        <v>12</v>
      </c>
      <c r="X558" s="46" t="s">
        <v>13</v>
      </c>
      <c r="Y558" s="46" t="s">
        <v>14</v>
      </c>
      <c r="Z558" s="60" t="s">
        <v>15</v>
      </c>
      <c r="AA558" s="59" t="s">
        <v>8</v>
      </c>
      <c r="AB558" s="46" t="s">
        <v>9</v>
      </c>
      <c r="AC558" s="46" t="s">
        <v>10</v>
      </c>
      <c r="AD558" s="46" t="s">
        <v>11</v>
      </c>
      <c r="AE558" s="46" t="s">
        <v>12</v>
      </c>
      <c r="AF558" s="46" t="s">
        <v>13</v>
      </c>
      <c r="AG558" s="46" t="s">
        <v>14</v>
      </c>
      <c r="AH558" s="60" t="s">
        <v>15</v>
      </c>
      <c r="AI558" s="59" t="s">
        <v>8</v>
      </c>
      <c r="AJ558" s="46" t="s">
        <v>9</v>
      </c>
      <c r="AK558" s="46" t="s">
        <v>10</v>
      </c>
      <c r="AL558" s="46" t="s">
        <v>11</v>
      </c>
      <c r="AM558" s="46" t="s">
        <v>12</v>
      </c>
      <c r="AN558" s="46" t="s">
        <v>13</v>
      </c>
      <c r="AO558" s="46" t="s">
        <v>14</v>
      </c>
      <c r="AP558" s="60" t="s">
        <v>15</v>
      </c>
    </row>
    <row r="559" spans="1:42" ht="21" customHeight="1" thickTop="1" thickBot="1" x14ac:dyDescent="0.35">
      <c r="A559" s="63"/>
      <c r="B559" s="78"/>
      <c r="C559" s="52">
        <v>1</v>
      </c>
      <c r="D559" s="44">
        <v>145.68</v>
      </c>
      <c r="E559" s="44"/>
      <c r="F559" s="44"/>
      <c r="G559" s="44"/>
      <c r="H559" s="44"/>
      <c r="I559" s="44"/>
      <c r="J559" s="51"/>
      <c r="K559" s="52">
        <v>1</v>
      </c>
      <c r="L559" s="44">
        <v>147.4</v>
      </c>
      <c r="M559" s="44"/>
      <c r="N559" s="44"/>
      <c r="O559" s="44"/>
      <c r="P559" s="44"/>
      <c r="Q559" s="44"/>
      <c r="R559" s="51"/>
      <c r="S559" s="52">
        <v>1</v>
      </c>
      <c r="T559" s="44">
        <v>148.38</v>
      </c>
      <c r="U559" s="44"/>
      <c r="V559" s="44"/>
      <c r="W559" s="44"/>
      <c r="X559" s="44"/>
      <c r="Y559" s="44"/>
      <c r="Z559" s="51"/>
      <c r="AA559" s="52">
        <v>1</v>
      </c>
      <c r="AB559" s="44">
        <v>146.63999999999999</v>
      </c>
      <c r="AC559" s="44"/>
      <c r="AD559" s="44"/>
      <c r="AE559" s="44"/>
      <c r="AF559" s="44"/>
      <c r="AG559" s="44"/>
      <c r="AH559" s="51"/>
      <c r="AI559" s="52">
        <v>1</v>
      </c>
      <c r="AJ559" s="44">
        <v>146.34</v>
      </c>
      <c r="AK559" s="44"/>
      <c r="AL559" s="44"/>
      <c r="AM559" s="44"/>
      <c r="AN559" s="44"/>
      <c r="AO559" s="44"/>
      <c r="AP559" s="51"/>
    </row>
    <row r="560" spans="1:42" ht="21" customHeight="1" thickTop="1" thickBot="1" x14ac:dyDescent="0.35">
      <c r="A560" s="63"/>
      <c r="B560" s="78"/>
      <c r="C560" s="53">
        <v>2</v>
      </c>
      <c r="D560" s="45">
        <v>145.82</v>
      </c>
      <c r="E560" s="45"/>
      <c r="F560" s="45"/>
      <c r="G560" s="45"/>
      <c r="H560" s="45"/>
      <c r="I560" s="45"/>
      <c r="J560" s="51"/>
      <c r="K560" s="53">
        <v>2</v>
      </c>
      <c r="L560" s="45">
        <v>146.76</v>
      </c>
      <c r="M560" s="45"/>
      <c r="N560" s="45"/>
      <c r="O560" s="45"/>
      <c r="P560" s="45"/>
      <c r="Q560" s="45"/>
      <c r="R560" s="51"/>
      <c r="S560" s="53">
        <v>2</v>
      </c>
      <c r="T560" s="45">
        <v>147.56</v>
      </c>
      <c r="U560" s="45"/>
      <c r="V560" s="45"/>
      <c r="W560" s="45"/>
      <c r="X560" s="45"/>
      <c r="Y560" s="45"/>
      <c r="Z560" s="51"/>
      <c r="AA560" s="53">
        <v>2</v>
      </c>
      <c r="AB560" s="45">
        <v>147.86000000000001</v>
      </c>
      <c r="AC560" s="45"/>
      <c r="AD560" s="45"/>
      <c r="AE560" s="45"/>
      <c r="AF560" s="45"/>
      <c r="AG560" s="45"/>
      <c r="AH560" s="51"/>
      <c r="AI560" s="53">
        <v>2</v>
      </c>
      <c r="AJ560" s="45">
        <v>147.35</v>
      </c>
      <c r="AK560" s="45"/>
      <c r="AL560" s="45"/>
      <c r="AM560" s="45"/>
      <c r="AN560" s="45"/>
      <c r="AO560" s="45"/>
      <c r="AP560" s="51"/>
    </row>
    <row r="561" spans="1:42" ht="21" customHeight="1" thickTop="1" thickBot="1" x14ac:dyDescent="0.35">
      <c r="A561" s="63"/>
      <c r="B561" s="78"/>
      <c r="C561" s="53">
        <v>3</v>
      </c>
      <c r="D561" s="45">
        <v>146.78</v>
      </c>
      <c r="E561" s="45"/>
      <c r="F561" s="45"/>
      <c r="G561" s="44"/>
      <c r="H561" s="44"/>
      <c r="I561" s="44"/>
      <c r="J561" s="51"/>
      <c r="K561" s="53">
        <v>3</v>
      </c>
      <c r="L561" s="45">
        <v>145.84</v>
      </c>
      <c r="M561" s="45"/>
      <c r="N561" s="45"/>
      <c r="O561" s="44"/>
      <c r="P561" s="44"/>
      <c r="Q561" s="44"/>
      <c r="R561" s="51"/>
      <c r="S561" s="53">
        <v>3</v>
      </c>
      <c r="T561" s="45">
        <v>146.76</v>
      </c>
      <c r="U561" s="45"/>
      <c r="V561" s="45"/>
      <c r="W561" s="44"/>
      <c r="X561" s="44"/>
      <c r="Y561" s="44"/>
      <c r="Z561" s="51"/>
      <c r="AA561" s="53">
        <v>3</v>
      </c>
      <c r="AB561" s="45">
        <v>147.19999999999999</v>
      </c>
      <c r="AC561" s="45"/>
      <c r="AD561" s="45"/>
      <c r="AE561" s="44"/>
      <c r="AF561" s="44"/>
      <c r="AG561" s="44"/>
      <c r="AH561" s="51"/>
      <c r="AI561" s="53">
        <v>3</v>
      </c>
      <c r="AJ561" s="45">
        <v>146.46</v>
      </c>
      <c r="AK561" s="45"/>
      <c r="AL561" s="45"/>
      <c r="AM561" s="44"/>
      <c r="AN561" s="44"/>
      <c r="AO561" s="44"/>
      <c r="AP561" s="51"/>
    </row>
    <row r="562" spans="1:42" ht="21" customHeight="1" thickTop="1" thickBot="1" x14ac:dyDescent="0.35">
      <c r="A562" s="63"/>
      <c r="B562" s="78"/>
      <c r="C562" s="53">
        <v>4</v>
      </c>
      <c r="D562" s="45">
        <v>145.19</v>
      </c>
      <c r="E562" s="45"/>
      <c r="F562" s="45"/>
      <c r="G562" s="45"/>
      <c r="H562" s="45"/>
      <c r="I562" s="45"/>
      <c r="J562" s="51"/>
      <c r="K562" s="53">
        <v>4</v>
      </c>
      <c r="L562" s="45">
        <v>146.44999999999999</v>
      </c>
      <c r="M562" s="45"/>
      <c r="N562" s="45"/>
      <c r="O562" s="45"/>
      <c r="P562" s="45"/>
      <c r="Q562" s="45"/>
      <c r="R562" s="51"/>
      <c r="S562" s="53">
        <v>4</v>
      </c>
      <c r="T562" s="45">
        <v>148.38</v>
      </c>
      <c r="U562" s="45"/>
      <c r="V562" s="45"/>
      <c r="W562" s="45"/>
      <c r="X562" s="45"/>
      <c r="Y562" s="45"/>
      <c r="Z562" s="51"/>
      <c r="AA562" s="53">
        <v>4</v>
      </c>
      <c r="AB562" s="45">
        <v>147.35</v>
      </c>
      <c r="AC562" s="45"/>
      <c r="AD562" s="45"/>
      <c r="AE562" s="45"/>
      <c r="AF562" s="45"/>
      <c r="AG562" s="45"/>
      <c r="AH562" s="51"/>
      <c r="AI562" s="53">
        <v>4</v>
      </c>
      <c r="AJ562" s="45">
        <v>147.16</v>
      </c>
      <c r="AK562" s="45"/>
      <c r="AL562" s="45"/>
      <c r="AM562" s="45"/>
      <c r="AN562" s="45"/>
      <c r="AO562" s="45"/>
      <c r="AP562" s="51"/>
    </row>
    <row r="563" spans="1:42" ht="21" customHeight="1" thickTop="1" thickBot="1" x14ac:dyDescent="0.35">
      <c r="A563" s="63"/>
      <c r="B563" s="78"/>
      <c r="C563" s="53">
        <v>5</v>
      </c>
      <c r="D563" s="45">
        <v>145.19</v>
      </c>
      <c r="E563" s="45"/>
      <c r="F563" s="45"/>
      <c r="G563" s="45"/>
      <c r="H563" s="45"/>
      <c r="I563" s="45"/>
      <c r="J563" s="51"/>
      <c r="K563" s="53">
        <v>5</v>
      </c>
      <c r="L563" s="45">
        <v>145.91999999999999</v>
      </c>
      <c r="M563" s="45"/>
      <c r="N563" s="45"/>
      <c r="O563" s="45"/>
      <c r="P563" s="45"/>
      <c r="Q563" s="45"/>
      <c r="R563" s="51"/>
      <c r="S563" s="53">
        <v>5</v>
      </c>
      <c r="T563" s="45">
        <v>148.82</v>
      </c>
      <c r="U563" s="45"/>
      <c r="V563" s="45"/>
      <c r="W563" s="45"/>
      <c r="X563" s="45"/>
      <c r="Y563" s="45"/>
      <c r="Z563" s="51"/>
      <c r="AA563" s="53">
        <v>5</v>
      </c>
      <c r="AB563" s="45">
        <v>146</v>
      </c>
      <c r="AC563" s="45"/>
      <c r="AD563" s="45"/>
      <c r="AE563" s="45"/>
      <c r="AF563" s="45"/>
      <c r="AG563" s="45"/>
      <c r="AH563" s="51"/>
      <c r="AI563" s="53">
        <v>5</v>
      </c>
      <c r="AJ563" s="45">
        <v>145.63999999999999</v>
      </c>
      <c r="AK563" s="45"/>
      <c r="AL563" s="45"/>
      <c r="AM563" s="45"/>
      <c r="AN563" s="45"/>
      <c r="AO563" s="45"/>
      <c r="AP563" s="51"/>
    </row>
    <row r="564" spans="1:42" ht="21" customHeight="1" thickTop="1" thickBot="1" x14ac:dyDescent="0.35">
      <c r="A564" s="63"/>
      <c r="B564" s="78"/>
      <c r="C564" s="53">
        <v>6</v>
      </c>
      <c r="D564" s="45">
        <v>145.49</v>
      </c>
      <c r="E564" s="45"/>
      <c r="F564" s="45"/>
      <c r="G564" s="45"/>
      <c r="H564" s="45"/>
      <c r="I564" s="45"/>
      <c r="J564" s="51"/>
      <c r="K564" s="53">
        <v>6</v>
      </c>
      <c r="L564" s="45">
        <v>146</v>
      </c>
      <c r="M564" s="45"/>
      <c r="N564" s="45"/>
      <c r="O564" s="45"/>
      <c r="P564" s="45"/>
      <c r="Q564" s="45"/>
      <c r="R564" s="51"/>
      <c r="S564" s="53">
        <v>6</v>
      </c>
      <c r="T564" s="45">
        <v>145.72</v>
      </c>
      <c r="U564" s="45"/>
      <c r="V564" s="45"/>
      <c r="W564" s="45"/>
      <c r="X564" s="45"/>
      <c r="Y564" s="45"/>
      <c r="Z564" s="51"/>
      <c r="AA564" s="53">
        <v>6</v>
      </c>
      <c r="AB564" s="45">
        <v>145.88999999999999</v>
      </c>
      <c r="AC564" s="45"/>
      <c r="AD564" s="45"/>
      <c r="AE564" s="45"/>
      <c r="AF564" s="45"/>
      <c r="AG564" s="45"/>
      <c r="AH564" s="51"/>
      <c r="AI564" s="53">
        <v>6</v>
      </c>
      <c r="AJ564" s="45">
        <v>146.86000000000001</v>
      </c>
      <c r="AK564" s="45"/>
      <c r="AL564" s="45"/>
      <c r="AM564" s="45"/>
      <c r="AN564" s="45"/>
      <c r="AO564" s="45"/>
      <c r="AP564" s="51"/>
    </row>
    <row r="565" spans="1:42" ht="21" customHeight="1" thickTop="1" thickBot="1" x14ac:dyDescent="0.35">
      <c r="A565" s="63"/>
      <c r="B565" s="78"/>
      <c r="C565" s="53">
        <v>7</v>
      </c>
      <c r="D565" s="45">
        <v>145.84</v>
      </c>
      <c r="E565" s="45"/>
      <c r="F565" s="45"/>
      <c r="G565" s="45"/>
      <c r="H565" s="45"/>
      <c r="I565" s="45"/>
      <c r="J565" s="51"/>
      <c r="K565" s="53">
        <v>7</v>
      </c>
      <c r="L565" s="45">
        <v>146.38999999999999</v>
      </c>
      <c r="M565" s="45"/>
      <c r="N565" s="45"/>
      <c r="O565" s="45"/>
      <c r="P565" s="45"/>
      <c r="Q565" s="45"/>
      <c r="R565" s="51"/>
      <c r="S565" s="53">
        <v>7</v>
      </c>
      <c r="T565" s="45">
        <v>147.47</v>
      </c>
      <c r="U565" s="45"/>
      <c r="V565" s="45"/>
      <c r="W565" s="45"/>
      <c r="X565" s="45"/>
      <c r="Y565" s="45"/>
      <c r="Z565" s="51"/>
      <c r="AA565" s="53">
        <v>7</v>
      </c>
      <c r="AB565" s="45">
        <v>147.43</v>
      </c>
      <c r="AC565" s="45"/>
      <c r="AD565" s="45"/>
      <c r="AE565" s="45"/>
      <c r="AF565" s="45"/>
      <c r="AG565" s="45"/>
      <c r="AH565" s="51"/>
      <c r="AI565" s="53">
        <v>7</v>
      </c>
      <c r="AJ565" s="45">
        <v>147.13999999999999</v>
      </c>
      <c r="AK565" s="45"/>
      <c r="AL565" s="45"/>
      <c r="AM565" s="45"/>
      <c r="AN565" s="45"/>
      <c r="AO565" s="45"/>
      <c r="AP565" s="51"/>
    </row>
    <row r="566" spans="1:42" ht="21" customHeight="1" thickTop="1" thickBot="1" x14ac:dyDescent="0.35">
      <c r="A566" s="63"/>
      <c r="B566" s="78"/>
      <c r="C566" s="53">
        <v>8</v>
      </c>
      <c r="D566" s="45">
        <v>146.01</v>
      </c>
      <c r="E566" s="45"/>
      <c r="F566" s="45"/>
      <c r="G566" s="45"/>
      <c r="H566" s="45"/>
      <c r="I566" s="45"/>
      <c r="J566" s="51"/>
      <c r="K566" s="53">
        <v>8</v>
      </c>
      <c r="L566" s="45">
        <v>145.94999999999999</v>
      </c>
      <c r="M566" s="45"/>
      <c r="N566" s="45"/>
      <c r="O566" s="45"/>
      <c r="P566" s="45"/>
      <c r="Q566" s="45"/>
      <c r="R566" s="51"/>
      <c r="S566" s="53">
        <v>8</v>
      </c>
      <c r="T566" s="45">
        <v>148.65</v>
      </c>
      <c r="U566" s="45"/>
      <c r="V566" s="45"/>
      <c r="W566" s="45"/>
      <c r="X566" s="45"/>
      <c r="Y566" s="45"/>
      <c r="Z566" s="51"/>
      <c r="AA566" s="53">
        <v>8</v>
      </c>
      <c r="AB566" s="45">
        <v>145.97</v>
      </c>
      <c r="AC566" s="45"/>
      <c r="AD566" s="45"/>
      <c r="AE566" s="45"/>
      <c r="AF566" s="45"/>
      <c r="AG566" s="45"/>
      <c r="AH566" s="51"/>
      <c r="AI566" s="53">
        <v>8</v>
      </c>
      <c r="AJ566" s="45">
        <v>145.1</v>
      </c>
      <c r="AK566" s="45"/>
      <c r="AL566" s="45"/>
      <c r="AM566" s="45"/>
      <c r="AN566" s="45"/>
      <c r="AO566" s="45"/>
      <c r="AP566" s="51"/>
    </row>
    <row r="567" spans="1:42" ht="21" customHeight="1" thickTop="1" thickBot="1" x14ac:dyDescent="0.35">
      <c r="A567" s="63"/>
      <c r="B567" s="78"/>
      <c r="C567" s="53">
        <v>9</v>
      </c>
      <c r="D567" s="45">
        <v>145.4</v>
      </c>
      <c r="E567" s="45"/>
      <c r="F567" s="45"/>
      <c r="G567" s="45"/>
      <c r="H567" s="45"/>
      <c r="I567" s="45"/>
      <c r="J567" s="51"/>
      <c r="K567" s="53">
        <v>9</v>
      </c>
      <c r="L567" s="45">
        <v>145.68</v>
      </c>
      <c r="M567" s="45"/>
      <c r="N567" s="45"/>
      <c r="O567" s="45"/>
      <c r="P567" s="45"/>
      <c r="Q567" s="45"/>
      <c r="R567" s="51"/>
      <c r="S567" s="53">
        <v>9</v>
      </c>
      <c r="T567" s="45">
        <v>146.56</v>
      </c>
      <c r="U567" s="45"/>
      <c r="V567" s="45"/>
      <c r="W567" s="45"/>
      <c r="X567" s="45"/>
      <c r="Y567" s="45"/>
      <c r="Z567" s="51"/>
      <c r="AA567" s="53">
        <v>9</v>
      </c>
      <c r="AB567" s="45">
        <v>146.79</v>
      </c>
      <c r="AC567" s="45"/>
      <c r="AD567" s="45"/>
      <c r="AE567" s="45"/>
      <c r="AF567" s="45"/>
      <c r="AG567" s="45"/>
      <c r="AH567" s="51"/>
      <c r="AI567" s="53">
        <v>9</v>
      </c>
      <c r="AJ567" s="45">
        <v>147.35</v>
      </c>
      <c r="AK567" s="45"/>
      <c r="AL567" s="45"/>
      <c r="AM567" s="45"/>
      <c r="AN567" s="45"/>
      <c r="AO567" s="45"/>
      <c r="AP567" s="51"/>
    </row>
    <row r="568" spans="1:42" ht="21" customHeight="1" thickTop="1" thickBot="1" x14ac:dyDescent="0.35">
      <c r="A568" s="63"/>
      <c r="B568" s="78"/>
      <c r="C568" s="53">
        <v>10</v>
      </c>
      <c r="D568" s="45">
        <v>145.19</v>
      </c>
      <c r="E568" s="45"/>
      <c r="F568" s="45"/>
      <c r="G568" s="45"/>
      <c r="H568" s="45"/>
      <c r="I568" s="45"/>
      <c r="J568" s="51"/>
      <c r="K568" s="53">
        <v>10</v>
      </c>
      <c r="L568" s="45">
        <v>145.77000000000001</v>
      </c>
      <c r="M568" s="45"/>
      <c r="N568" s="45"/>
      <c r="O568" s="45"/>
      <c r="P568" s="45"/>
      <c r="Q568" s="45"/>
      <c r="R568" s="51"/>
      <c r="S568" s="53">
        <v>10</v>
      </c>
      <c r="T568" s="45">
        <v>148.16</v>
      </c>
      <c r="U568" s="45"/>
      <c r="V568" s="45"/>
      <c r="W568" s="45"/>
      <c r="X568" s="45"/>
      <c r="Y568" s="45"/>
      <c r="Z568" s="51"/>
      <c r="AA568" s="53">
        <v>10</v>
      </c>
      <c r="AB568" s="45">
        <v>146.07</v>
      </c>
      <c r="AC568" s="45"/>
      <c r="AD568" s="45"/>
      <c r="AE568" s="45"/>
      <c r="AF568" s="45"/>
      <c r="AG568" s="45"/>
      <c r="AH568" s="51"/>
      <c r="AI568" s="53">
        <v>10</v>
      </c>
      <c r="AJ568" s="45">
        <v>147.04</v>
      </c>
      <c r="AK568" s="45"/>
      <c r="AL568" s="45"/>
      <c r="AM568" s="45"/>
      <c r="AN568" s="45"/>
      <c r="AO568" s="45"/>
      <c r="AP568" s="51"/>
    </row>
    <row r="569" spans="1:42" ht="21" customHeight="1" thickTop="1" thickBot="1" x14ac:dyDescent="0.35">
      <c r="A569" s="63"/>
      <c r="B569" s="78"/>
      <c r="C569" s="53"/>
      <c r="D569" s="45"/>
      <c r="E569" s="45"/>
      <c r="F569" s="45"/>
      <c r="G569" s="45"/>
      <c r="H569" s="45"/>
      <c r="I569" s="45"/>
      <c r="J569" s="51"/>
      <c r="K569" s="53"/>
      <c r="L569" s="45"/>
      <c r="M569" s="45"/>
      <c r="N569" s="45"/>
      <c r="O569" s="45"/>
      <c r="P569" s="45"/>
      <c r="Q569" s="45"/>
      <c r="R569" s="51"/>
      <c r="S569" s="53"/>
      <c r="T569" s="45"/>
      <c r="U569" s="45"/>
      <c r="V569" s="45"/>
      <c r="W569" s="45"/>
      <c r="X569" s="45"/>
      <c r="Y569" s="45"/>
      <c r="Z569" s="51"/>
      <c r="AA569" s="53"/>
      <c r="AB569" s="45"/>
      <c r="AC569" s="45"/>
      <c r="AD569" s="45"/>
      <c r="AE569" s="45"/>
      <c r="AF569" s="45"/>
      <c r="AG569" s="45"/>
      <c r="AH569" s="51"/>
      <c r="AI569" s="53"/>
      <c r="AJ569" s="45"/>
      <c r="AK569" s="45"/>
      <c r="AL569" s="45"/>
      <c r="AM569" s="45"/>
      <c r="AN569" s="45"/>
      <c r="AO569" s="45"/>
      <c r="AP569" s="51"/>
    </row>
    <row r="570" spans="1:42" ht="41" customHeight="1" thickTop="1" thickBot="1" x14ac:dyDescent="0.35">
      <c r="A570" s="63"/>
      <c r="B570" s="78"/>
      <c r="C570" s="54" t="s">
        <v>16</v>
      </c>
      <c r="D570" s="49">
        <f>MIN(D559:D568)</f>
        <v>145.19</v>
      </c>
      <c r="E570" s="45"/>
      <c r="F570" s="55" t="s">
        <v>17</v>
      </c>
      <c r="G570" s="49" t="s">
        <v>18</v>
      </c>
      <c r="H570" s="49" t="s">
        <v>19</v>
      </c>
      <c r="I570" s="45"/>
      <c r="J570" s="51"/>
      <c r="K570" s="54" t="s">
        <v>16</v>
      </c>
      <c r="L570" s="49">
        <f>MIN(L559:L568)</f>
        <v>145.68</v>
      </c>
      <c r="M570" s="45"/>
      <c r="N570" s="55" t="s">
        <v>17</v>
      </c>
      <c r="O570" s="49" t="s">
        <v>18</v>
      </c>
      <c r="P570" s="49" t="s">
        <v>19</v>
      </c>
      <c r="Q570" s="45"/>
      <c r="R570" s="51"/>
      <c r="S570" s="54" t="s">
        <v>16</v>
      </c>
      <c r="T570" s="49">
        <f>MIN(T559:T568)</f>
        <v>145.72</v>
      </c>
      <c r="U570" s="45"/>
      <c r="V570" s="55" t="s">
        <v>17</v>
      </c>
      <c r="W570" s="49" t="s">
        <v>18</v>
      </c>
      <c r="X570" s="49" t="s">
        <v>19</v>
      </c>
      <c r="Y570" s="45"/>
      <c r="Z570" s="51"/>
      <c r="AA570" s="54" t="s">
        <v>16</v>
      </c>
      <c r="AB570" s="49">
        <f>MIN(AB559:AB568)</f>
        <v>145.88999999999999</v>
      </c>
      <c r="AC570" s="45"/>
      <c r="AD570" s="55" t="s">
        <v>17</v>
      </c>
      <c r="AE570" s="49" t="s">
        <v>18</v>
      </c>
      <c r="AF570" s="49" t="s">
        <v>19</v>
      </c>
      <c r="AG570" s="45"/>
      <c r="AH570" s="51"/>
      <c r="AI570" s="54" t="s">
        <v>16</v>
      </c>
      <c r="AJ570" s="49">
        <f>MIN(AJ559:AJ568)</f>
        <v>145.1</v>
      </c>
      <c r="AK570" s="45"/>
      <c r="AL570" s="55" t="s">
        <v>17</v>
      </c>
      <c r="AM570" s="49" t="s">
        <v>18</v>
      </c>
      <c r="AN570" s="49" t="s">
        <v>19</v>
      </c>
      <c r="AO570" s="45"/>
      <c r="AP570" s="51"/>
    </row>
    <row r="571" spans="1:42" ht="21" customHeight="1" thickTop="1" thickBot="1" x14ac:dyDescent="0.35">
      <c r="A571" s="63"/>
      <c r="B571" s="78"/>
      <c r="C571" s="54" t="s">
        <v>20</v>
      </c>
      <c r="D571" s="48">
        <f>AVERAGE(D559:D568)</f>
        <v>145.65900000000002</v>
      </c>
      <c r="E571" s="47"/>
      <c r="F571" s="48">
        <f>_xlfn.STDEV.S(D559:D568) / AVERAGE(D559:D568) * 100%</f>
        <v>3.3900665534817077E-3</v>
      </c>
      <c r="G571" s="48">
        <f t="array" ref="G571">MIN((D559:D568 - MIN(D559:D568,L559:L568,T559:T568,AB559:AB568,AJ559:AJ568))/MIN(D559:D568,L559:L568,T559:T568,AB559:AB568,AJ559:AJ568)*100%)</f>
        <v>6.2026188835288365E-4</v>
      </c>
      <c r="H571" s="48">
        <f t="array" ref="H571">AVERAGE((D559:D568 - MIN(D559:D568,L559:L568,T559:T568,AB559:AB568,AJ559:AJ568))/MIN(D559:D568,L559:L568,T559:T568,AB559:AB568,AJ559:AJ568)*100%)</f>
        <v>3.8525155065472503E-3</v>
      </c>
      <c r="I571" s="45"/>
      <c r="J571" s="51"/>
      <c r="K571" s="54" t="s">
        <v>20</v>
      </c>
      <c r="L571" s="48">
        <f>AVERAGE(L559:L568)</f>
        <v>146.21600000000001</v>
      </c>
      <c r="M571" s="47"/>
      <c r="N571" s="48">
        <f>_xlfn.STDEV.S(L559:L568) / AVERAGE(L559:L568) * 100%</f>
        <v>3.6868564395333226E-3</v>
      </c>
      <c r="O571" s="48">
        <f t="array" ref="O571">MIN((L559:L568 - MIN(D559:D568,L559:L568,T559:T568,AB559:AB568,AJ559:AJ568))/MIN(D559:D568,L559:L568,T559:T568,AB559:AB568,AJ559:AJ568)*100%)</f>
        <v>3.9972432804962956E-3</v>
      </c>
      <c r="P571" s="48">
        <f t="array" ref="P571">AVERAGE((L559:L568 - MIN(D559:D568,L559:L568,T559:T568,AB559:AB568,AJ559:AJ568))/MIN(D559:D568,L559:L568,T559:T568,AB559:AB568,AJ559:AJ568)*100%)</f>
        <v>7.691247415575482E-3</v>
      </c>
      <c r="Q571" s="44"/>
      <c r="R571" s="51"/>
      <c r="S571" s="54" t="s">
        <v>20</v>
      </c>
      <c r="T571" s="48">
        <f>AVERAGE(T559:T568)</f>
        <v>147.64600000000002</v>
      </c>
      <c r="U571" s="47"/>
      <c r="V571" s="48">
        <f>_xlfn.STDEV.S(T559:T568) / AVERAGE(T559:T568) * 100%</f>
        <v>6.9366307599991375E-3</v>
      </c>
      <c r="W571" s="48">
        <f t="array" ref="W571">MIN((T559:T568 - MIN(D559:D568,L559:L568,T559:T568,AB559:AB568,AJ559:AJ568))/MIN(D559:D568,L559:L568,T559:T568,AB559:AB568,AJ559:AJ568)*100%)</f>
        <v>4.2729152308752898E-3</v>
      </c>
      <c r="X571" s="48">
        <f t="array" ref="X571">AVERAGE((T559:T568 - MIN(D559:D568,L559:L568,T559:T568,AB559:AB568,AJ559:AJ568))/MIN(D559:D568,L559:L568,T559:T568,AB559:AB568,AJ559:AJ568)*100%)</f>
        <v>1.7546519641626488E-2</v>
      </c>
      <c r="Y571" s="44"/>
      <c r="Z571" s="51"/>
      <c r="AA571" s="54" t="s">
        <v>20</v>
      </c>
      <c r="AB571" s="48">
        <f>AVERAGE(AB559:AB568)</f>
        <v>146.71999999999997</v>
      </c>
      <c r="AC571" s="47"/>
      <c r="AD571" s="48">
        <f>_xlfn.STDEV.S(AB559:AB568) / AVERAGE(AB559:AB568) * 100%</f>
        <v>4.8909762686784822E-3</v>
      </c>
      <c r="AE571" s="48">
        <f t="array" ref="AE571">MIN((AB559:AB568 - MIN(D559:D568,L559:L568,T559:T568,AB559:AB568,AJ559:AJ568))/MIN(D559:D568,L559:L568,T559:T568,AB559:AB568,AJ559:AJ568)*100%)</f>
        <v>5.4445210199861619E-3</v>
      </c>
      <c r="AF571" s="48">
        <f t="array" ref="AF571">AVERAGE((AB559:AB568 - MIN(D559:D568,L559:L568,T559:T568,AB559:AB568,AJ559:AJ568))/MIN(D559:D568,L559:L568,T559:T568,AB559:AB568,AJ559:AJ568)*100%)</f>
        <v>1.1164713990351493E-2</v>
      </c>
      <c r="AG571" s="44"/>
      <c r="AH571" s="51"/>
      <c r="AI571" s="54" t="s">
        <v>20</v>
      </c>
      <c r="AJ571" s="48">
        <f>AVERAGE(AJ559:AJ568)</f>
        <v>146.64399999999995</v>
      </c>
      <c r="AK571" s="47"/>
      <c r="AL571" s="48">
        <f>_xlfn.STDEV.S(AJ559:AJ568) / AVERAGE(AJ559:AJ568) * 100%</f>
        <v>5.198764743208943E-3</v>
      </c>
      <c r="AM571" s="48">
        <f t="array" ref="AM571">MIN((AJ559:AJ568 - MIN(D559:D568,L559:L568,T559:T568,AB559:AB568,AJ559:AJ568))/MIN(D559:D568,L559:L568,T559:T568,AB559:AB568,AJ559:AJ568)*100%)</f>
        <v>0</v>
      </c>
      <c r="AN571" s="48">
        <f t="array" ref="AN571">AVERAGE((AJ559:AJ568 - MIN(D559:D568,L559:L568,T559:T568,AB559:AB568,AJ559:AJ568))/MIN(D559:D568,L559:L568,T559:T568,AB559:AB568,AJ559:AJ568)*100%)</f>
        <v>1.0640937284631306E-2</v>
      </c>
      <c r="AO571" s="44"/>
      <c r="AP571" s="51"/>
    </row>
    <row r="572" spans="1:42" ht="21" customHeight="1" thickTop="1" thickBot="1" x14ac:dyDescent="0.35">
      <c r="A572" s="63"/>
      <c r="B572" s="79"/>
      <c r="C572" s="53"/>
      <c r="D572" s="44"/>
      <c r="E572" s="44"/>
      <c r="F572" s="44"/>
      <c r="G572" s="44"/>
      <c r="H572" s="44"/>
      <c r="I572" s="44"/>
      <c r="J572" s="51"/>
      <c r="K572" s="53"/>
      <c r="L572" s="44"/>
      <c r="M572" s="44"/>
      <c r="N572" s="44"/>
      <c r="O572" s="44"/>
      <c r="P572" s="44"/>
      <c r="Q572" s="44"/>
      <c r="R572" s="51"/>
      <c r="S572" s="53"/>
      <c r="T572" s="44"/>
      <c r="U572" s="44"/>
      <c r="V572" s="44"/>
      <c r="W572" s="44"/>
      <c r="X572" s="44"/>
      <c r="Y572" s="44"/>
      <c r="Z572" s="51"/>
      <c r="AA572" s="53"/>
      <c r="AB572" s="44"/>
      <c r="AC572" s="44"/>
      <c r="AD572" s="44"/>
      <c r="AE572" s="44"/>
      <c r="AF572" s="44"/>
      <c r="AG572" s="44"/>
      <c r="AH572" s="51"/>
      <c r="AI572" s="53"/>
      <c r="AJ572" s="44"/>
      <c r="AK572" s="44"/>
      <c r="AL572" s="44"/>
      <c r="AM572" s="44"/>
      <c r="AN572" s="44"/>
      <c r="AO572" s="44"/>
      <c r="AP572" s="51"/>
    </row>
    <row r="573" spans="1:42" ht="21" customHeight="1" thickTop="1" thickBot="1" x14ac:dyDescent="0.35">
      <c r="A573" s="63"/>
      <c r="B573" s="77" t="s">
        <v>64</v>
      </c>
      <c r="C573" s="59" t="s">
        <v>8</v>
      </c>
      <c r="D573" s="46" t="s">
        <v>9</v>
      </c>
      <c r="E573" s="46" t="s">
        <v>10</v>
      </c>
      <c r="F573" s="46" t="s">
        <v>11</v>
      </c>
      <c r="G573" s="46" t="s">
        <v>12</v>
      </c>
      <c r="H573" s="46" t="s">
        <v>13</v>
      </c>
      <c r="I573" s="46" t="s">
        <v>14</v>
      </c>
      <c r="J573" s="60" t="s">
        <v>15</v>
      </c>
      <c r="K573" s="59" t="s">
        <v>8</v>
      </c>
      <c r="L573" s="46" t="s">
        <v>9</v>
      </c>
      <c r="M573" s="46" t="s">
        <v>10</v>
      </c>
      <c r="N573" s="46" t="s">
        <v>11</v>
      </c>
      <c r="O573" s="46" t="s">
        <v>12</v>
      </c>
      <c r="P573" s="46" t="s">
        <v>13</v>
      </c>
      <c r="Q573" s="46" t="s">
        <v>14</v>
      </c>
      <c r="R573" s="60" t="s">
        <v>15</v>
      </c>
      <c r="S573" s="59" t="s">
        <v>8</v>
      </c>
      <c r="T573" s="46" t="s">
        <v>9</v>
      </c>
      <c r="U573" s="46" t="s">
        <v>10</v>
      </c>
      <c r="V573" s="46" t="s">
        <v>11</v>
      </c>
      <c r="W573" s="46" t="s">
        <v>12</v>
      </c>
      <c r="X573" s="46" t="s">
        <v>13</v>
      </c>
      <c r="Y573" s="46" t="s">
        <v>14</v>
      </c>
      <c r="Z573" s="60" t="s">
        <v>15</v>
      </c>
      <c r="AA573" s="59" t="s">
        <v>8</v>
      </c>
      <c r="AB573" s="46" t="s">
        <v>9</v>
      </c>
      <c r="AC573" s="46" t="s">
        <v>10</v>
      </c>
      <c r="AD573" s="46" t="s">
        <v>11</v>
      </c>
      <c r="AE573" s="46" t="s">
        <v>12</v>
      </c>
      <c r="AF573" s="46" t="s">
        <v>13</v>
      </c>
      <c r="AG573" s="46" t="s">
        <v>14</v>
      </c>
      <c r="AH573" s="60" t="s">
        <v>15</v>
      </c>
      <c r="AI573" s="59" t="s">
        <v>8</v>
      </c>
      <c r="AJ573" s="46" t="s">
        <v>9</v>
      </c>
      <c r="AK573" s="46" t="s">
        <v>10</v>
      </c>
      <c r="AL573" s="46" t="s">
        <v>11</v>
      </c>
      <c r="AM573" s="46" t="s">
        <v>12</v>
      </c>
      <c r="AN573" s="46" t="s">
        <v>13</v>
      </c>
      <c r="AO573" s="46" t="s">
        <v>14</v>
      </c>
      <c r="AP573" s="60" t="s">
        <v>15</v>
      </c>
    </row>
    <row r="574" spans="1:42" ht="21" customHeight="1" thickTop="1" thickBot="1" x14ac:dyDescent="0.35">
      <c r="A574" s="63"/>
      <c r="B574" s="78"/>
      <c r="C574" s="52">
        <v>1</v>
      </c>
      <c r="D574" s="44">
        <v>143.38</v>
      </c>
      <c r="E574" s="44"/>
      <c r="F574" s="44"/>
      <c r="G574" s="44"/>
      <c r="H574" s="44"/>
      <c r="I574" s="44"/>
      <c r="J574" s="51"/>
      <c r="K574" s="52">
        <v>1</v>
      </c>
      <c r="L574" s="44">
        <v>143.66999999999999</v>
      </c>
      <c r="M574" s="44"/>
      <c r="N574" s="44"/>
      <c r="O574" s="44"/>
      <c r="P574" s="44"/>
      <c r="Q574" s="44"/>
      <c r="R574" s="51"/>
      <c r="S574" s="52">
        <v>1</v>
      </c>
      <c r="T574" s="44">
        <v>149.02000000000001</v>
      </c>
      <c r="U574" s="44"/>
      <c r="V574" s="44"/>
      <c r="W574" s="44"/>
      <c r="X574" s="44"/>
      <c r="Y574" s="44"/>
      <c r="Z574" s="51"/>
      <c r="AA574" s="52">
        <v>1</v>
      </c>
      <c r="AB574" s="44">
        <v>146.93</v>
      </c>
      <c r="AC574" s="44"/>
      <c r="AD574" s="44"/>
      <c r="AE574" s="44"/>
      <c r="AF574" s="44"/>
      <c r="AG574" s="44"/>
      <c r="AH574" s="51"/>
      <c r="AI574" s="52">
        <v>1</v>
      </c>
      <c r="AJ574" s="44">
        <v>145.65</v>
      </c>
      <c r="AK574" s="44"/>
      <c r="AL574" s="44"/>
      <c r="AM574" s="44"/>
      <c r="AN574" s="44"/>
      <c r="AO574" s="44"/>
      <c r="AP574" s="51"/>
    </row>
    <row r="575" spans="1:42" ht="21" customHeight="1" thickTop="1" thickBot="1" x14ac:dyDescent="0.35">
      <c r="A575" s="63"/>
      <c r="B575" s="78"/>
      <c r="C575" s="53">
        <v>2</v>
      </c>
      <c r="D575" s="45">
        <v>143.38</v>
      </c>
      <c r="E575" s="45"/>
      <c r="F575" s="45"/>
      <c r="G575" s="45"/>
      <c r="H575" s="45"/>
      <c r="I575" s="45"/>
      <c r="J575" s="51"/>
      <c r="K575" s="53">
        <v>2</v>
      </c>
      <c r="L575" s="45">
        <v>143.38</v>
      </c>
      <c r="M575" s="45"/>
      <c r="N575" s="45"/>
      <c r="O575" s="45"/>
      <c r="P575" s="45"/>
      <c r="Q575" s="45"/>
      <c r="R575" s="51"/>
      <c r="S575" s="53">
        <v>2</v>
      </c>
      <c r="T575" s="45">
        <v>148.44</v>
      </c>
      <c r="U575" s="45"/>
      <c r="V575" s="45"/>
      <c r="W575" s="45"/>
      <c r="X575" s="45"/>
      <c r="Y575" s="45"/>
      <c r="Z575" s="51"/>
      <c r="AA575" s="53">
        <v>2</v>
      </c>
      <c r="AB575" s="45">
        <v>146.84</v>
      </c>
      <c r="AC575" s="45"/>
      <c r="AD575" s="45"/>
      <c r="AE575" s="45"/>
      <c r="AF575" s="45"/>
      <c r="AG575" s="45"/>
      <c r="AH575" s="51"/>
      <c r="AI575" s="53">
        <v>2</v>
      </c>
      <c r="AJ575" s="45">
        <v>146.86000000000001</v>
      </c>
      <c r="AK575" s="45"/>
      <c r="AL575" s="45"/>
      <c r="AM575" s="45"/>
      <c r="AN575" s="45"/>
      <c r="AO575" s="45"/>
      <c r="AP575" s="51"/>
    </row>
    <row r="576" spans="1:42" ht="21" customHeight="1" thickTop="1" thickBot="1" x14ac:dyDescent="0.35">
      <c r="A576" s="63"/>
      <c r="B576" s="78"/>
      <c r="C576" s="53">
        <v>3</v>
      </c>
      <c r="D576" s="45">
        <v>143.38</v>
      </c>
      <c r="E576" s="45"/>
      <c r="F576" s="45"/>
      <c r="G576" s="44"/>
      <c r="H576" s="44"/>
      <c r="I576" s="44"/>
      <c r="J576" s="51"/>
      <c r="K576" s="53">
        <v>3</v>
      </c>
      <c r="L576" s="45">
        <v>143.46</v>
      </c>
      <c r="M576" s="45"/>
      <c r="N576" s="45"/>
      <c r="O576" s="44"/>
      <c r="P576" s="44"/>
      <c r="Q576" s="44"/>
      <c r="R576" s="51"/>
      <c r="S576" s="53">
        <v>3</v>
      </c>
      <c r="T576" s="45">
        <v>145.13999999999999</v>
      </c>
      <c r="U576" s="45"/>
      <c r="V576" s="45"/>
      <c r="W576" s="44"/>
      <c r="X576" s="44"/>
      <c r="Y576" s="44"/>
      <c r="Z576" s="51"/>
      <c r="AA576" s="53">
        <v>3</v>
      </c>
      <c r="AB576" s="45">
        <v>147.12</v>
      </c>
      <c r="AC576" s="45"/>
      <c r="AD576" s="45"/>
      <c r="AE576" s="44"/>
      <c r="AF576" s="44"/>
      <c r="AG576" s="44"/>
      <c r="AH576" s="51"/>
      <c r="AI576" s="53">
        <v>3</v>
      </c>
      <c r="AJ576" s="45">
        <v>147.54</v>
      </c>
      <c r="AK576" s="45"/>
      <c r="AL576" s="45"/>
      <c r="AM576" s="44"/>
      <c r="AN576" s="44"/>
      <c r="AO576" s="44"/>
      <c r="AP576" s="51"/>
    </row>
    <row r="577" spans="1:42" ht="21" customHeight="1" thickTop="1" thickBot="1" x14ac:dyDescent="0.35">
      <c r="A577" s="63"/>
      <c r="B577" s="78"/>
      <c r="C577" s="53">
        <v>4</v>
      </c>
      <c r="D577" s="45">
        <v>143.46</v>
      </c>
      <c r="E577" s="45"/>
      <c r="F577" s="45"/>
      <c r="G577" s="45"/>
      <c r="H577" s="45"/>
      <c r="I577" s="45"/>
      <c r="J577" s="51"/>
      <c r="K577" s="53">
        <v>4</v>
      </c>
      <c r="L577" s="45">
        <v>143.38</v>
      </c>
      <c r="M577" s="45"/>
      <c r="N577" s="45"/>
      <c r="O577" s="45"/>
      <c r="P577" s="45"/>
      <c r="Q577" s="45"/>
      <c r="R577" s="51"/>
      <c r="S577" s="53">
        <v>4</v>
      </c>
      <c r="T577" s="45">
        <v>145.26</v>
      </c>
      <c r="U577" s="45"/>
      <c r="V577" s="45"/>
      <c r="W577" s="45"/>
      <c r="X577" s="45"/>
      <c r="Y577" s="45"/>
      <c r="Z577" s="51"/>
      <c r="AA577" s="53">
        <v>4</v>
      </c>
      <c r="AB577" s="45">
        <v>144.22999999999999</v>
      </c>
      <c r="AC577" s="45"/>
      <c r="AD577" s="45"/>
      <c r="AE577" s="45"/>
      <c r="AF577" s="45"/>
      <c r="AG577" s="45"/>
      <c r="AH577" s="51"/>
      <c r="AI577" s="53">
        <v>4</v>
      </c>
      <c r="AJ577" s="45">
        <v>145.96</v>
      </c>
      <c r="AK577" s="45"/>
      <c r="AL577" s="45"/>
      <c r="AM577" s="45"/>
      <c r="AN577" s="45"/>
      <c r="AO577" s="45"/>
      <c r="AP577" s="51"/>
    </row>
    <row r="578" spans="1:42" ht="21" customHeight="1" thickTop="1" thickBot="1" x14ac:dyDescent="0.35">
      <c r="A578" s="63"/>
      <c r="B578" s="78"/>
      <c r="C578" s="53">
        <v>5</v>
      </c>
      <c r="D578" s="45">
        <v>143.91</v>
      </c>
      <c r="E578" s="45"/>
      <c r="F578" s="45"/>
      <c r="G578" s="45"/>
      <c r="H578" s="45"/>
      <c r="I578" s="45"/>
      <c r="J578" s="51"/>
      <c r="K578" s="53">
        <v>5</v>
      </c>
      <c r="L578" s="45">
        <v>143.38</v>
      </c>
      <c r="M578" s="45"/>
      <c r="N578" s="45"/>
      <c r="O578" s="45"/>
      <c r="P578" s="45"/>
      <c r="Q578" s="45"/>
      <c r="R578" s="51"/>
      <c r="S578" s="53">
        <v>5</v>
      </c>
      <c r="T578" s="45">
        <v>145.54</v>
      </c>
      <c r="U578" s="45"/>
      <c r="V578" s="45"/>
      <c r="W578" s="45"/>
      <c r="X578" s="45"/>
      <c r="Y578" s="45"/>
      <c r="Z578" s="51"/>
      <c r="AA578" s="53">
        <v>5</v>
      </c>
      <c r="AB578" s="45">
        <v>143.91</v>
      </c>
      <c r="AC578" s="45"/>
      <c r="AD578" s="45"/>
      <c r="AE578" s="45"/>
      <c r="AF578" s="45"/>
      <c r="AG578" s="45"/>
      <c r="AH578" s="51"/>
      <c r="AI578" s="53">
        <v>5</v>
      </c>
      <c r="AJ578" s="45">
        <v>147.30000000000001</v>
      </c>
      <c r="AK578" s="45"/>
      <c r="AL578" s="45"/>
      <c r="AM578" s="45"/>
      <c r="AN578" s="45"/>
      <c r="AO578" s="45"/>
      <c r="AP578" s="51"/>
    </row>
    <row r="579" spans="1:42" ht="21" customHeight="1" thickTop="1" thickBot="1" x14ac:dyDescent="0.35">
      <c r="A579" s="63"/>
      <c r="B579" s="78"/>
      <c r="C579" s="53">
        <v>6</v>
      </c>
      <c r="D579" s="45">
        <v>143.38</v>
      </c>
      <c r="E579" s="45"/>
      <c r="F579" s="45"/>
      <c r="G579" s="45"/>
      <c r="H579" s="45"/>
      <c r="I579" s="45"/>
      <c r="J579" s="51"/>
      <c r="K579" s="53">
        <v>6</v>
      </c>
      <c r="L579" s="45">
        <v>143.47999999999999</v>
      </c>
      <c r="M579" s="45"/>
      <c r="N579" s="45"/>
      <c r="O579" s="45"/>
      <c r="P579" s="45"/>
      <c r="Q579" s="45"/>
      <c r="R579" s="51"/>
      <c r="S579" s="53">
        <v>6</v>
      </c>
      <c r="T579" s="45">
        <v>145.47999999999999</v>
      </c>
      <c r="U579" s="45"/>
      <c r="V579" s="45"/>
      <c r="W579" s="45"/>
      <c r="X579" s="45"/>
      <c r="Y579" s="45"/>
      <c r="Z579" s="51"/>
      <c r="AA579" s="53">
        <v>6</v>
      </c>
      <c r="AB579" s="45">
        <v>146.69999999999999</v>
      </c>
      <c r="AC579" s="45"/>
      <c r="AD579" s="45"/>
      <c r="AE579" s="45"/>
      <c r="AF579" s="45"/>
      <c r="AG579" s="45"/>
      <c r="AH579" s="51"/>
      <c r="AI579" s="53">
        <v>6</v>
      </c>
      <c r="AJ579" s="45">
        <v>146.4</v>
      </c>
      <c r="AK579" s="45"/>
      <c r="AL579" s="45"/>
      <c r="AM579" s="45"/>
      <c r="AN579" s="45"/>
      <c r="AO579" s="45"/>
      <c r="AP579" s="51"/>
    </row>
    <row r="580" spans="1:42" ht="21" customHeight="1" thickTop="1" thickBot="1" x14ac:dyDescent="0.35">
      <c r="A580" s="63"/>
      <c r="B580" s="78"/>
      <c r="C580" s="53">
        <v>7</v>
      </c>
      <c r="D580" s="45">
        <v>143.38</v>
      </c>
      <c r="E580" s="45"/>
      <c r="F580" s="45"/>
      <c r="G580" s="45"/>
      <c r="H580" s="45"/>
      <c r="I580" s="45"/>
      <c r="J580" s="51"/>
      <c r="K580" s="53">
        <v>7</v>
      </c>
      <c r="L580" s="45">
        <v>144.21</v>
      </c>
      <c r="M580" s="45"/>
      <c r="N580" s="45"/>
      <c r="O580" s="45"/>
      <c r="P580" s="45"/>
      <c r="Q580" s="45"/>
      <c r="R580" s="51"/>
      <c r="S580" s="53">
        <v>7</v>
      </c>
      <c r="T580" s="45">
        <v>146.69999999999999</v>
      </c>
      <c r="U580" s="45"/>
      <c r="V580" s="45"/>
      <c r="W580" s="45"/>
      <c r="X580" s="45"/>
      <c r="Y580" s="45"/>
      <c r="Z580" s="51"/>
      <c r="AA580" s="53">
        <v>7</v>
      </c>
      <c r="AB580" s="45">
        <v>144.47</v>
      </c>
      <c r="AC580" s="45"/>
      <c r="AD580" s="45"/>
      <c r="AE580" s="45"/>
      <c r="AF580" s="45"/>
      <c r="AG580" s="45"/>
      <c r="AH580" s="51"/>
      <c r="AI580" s="53">
        <v>7</v>
      </c>
      <c r="AJ580" s="45">
        <v>146.51</v>
      </c>
      <c r="AK580" s="45"/>
      <c r="AL580" s="45"/>
      <c r="AM580" s="45"/>
      <c r="AN580" s="45"/>
      <c r="AO580" s="45"/>
      <c r="AP580" s="51"/>
    </row>
    <row r="581" spans="1:42" ht="21" customHeight="1" thickTop="1" thickBot="1" x14ac:dyDescent="0.35">
      <c r="A581" s="63"/>
      <c r="B581" s="78"/>
      <c r="C581" s="53">
        <v>8</v>
      </c>
      <c r="D581" s="45">
        <v>143.78</v>
      </c>
      <c r="E581" s="45"/>
      <c r="F581" s="45"/>
      <c r="G581" s="45"/>
      <c r="H581" s="45"/>
      <c r="I581" s="45"/>
      <c r="J581" s="51"/>
      <c r="K581" s="53">
        <v>8</v>
      </c>
      <c r="L581" s="45">
        <v>143.82</v>
      </c>
      <c r="M581" s="45"/>
      <c r="N581" s="45"/>
      <c r="O581" s="45"/>
      <c r="P581" s="45"/>
      <c r="Q581" s="45"/>
      <c r="R581" s="51"/>
      <c r="S581" s="53">
        <v>8</v>
      </c>
      <c r="T581" s="45">
        <v>147.26</v>
      </c>
      <c r="U581" s="45"/>
      <c r="V581" s="45"/>
      <c r="W581" s="45"/>
      <c r="X581" s="45"/>
      <c r="Y581" s="45"/>
      <c r="Z581" s="51"/>
      <c r="AA581" s="53">
        <v>8</v>
      </c>
      <c r="AB581" s="45">
        <v>146.57</v>
      </c>
      <c r="AC581" s="45"/>
      <c r="AD581" s="45"/>
      <c r="AE581" s="45"/>
      <c r="AF581" s="45"/>
      <c r="AG581" s="45"/>
      <c r="AH581" s="51"/>
      <c r="AI581" s="53">
        <v>8</v>
      </c>
      <c r="AJ581" s="45">
        <v>146.97999999999999</v>
      </c>
      <c r="AK581" s="45"/>
      <c r="AL581" s="45"/>
      <c r="AM581" s="45"/>
      <c r="AN581" s="45"/>
      <c r="AO581" s="45"/>
      <c r="AP581" s="51"/>
    </row>
    <row r="582" spans="1:42" ht="21" customHeight="1" thickTop="1" thickBot="1" x14ac:dyDescent="0.35">
      <c r="A582" s="63"/>
      <c r="B582" s="78"/>
      <c r="C582" s="53">
        <v>9</v>
      </c>
      <c r="D582" s="45">
        <v>144.03</v>
      </c>
      <c r="E582" s="45"/>
      <c r="F582" s="45"/>
      <c r="G582" s="45"/>
      <c r="H582" s="45"/>
      <c r="I582" s="45"/>
      <c r="J582" s="51"/>
      <c r="K582" s="53">
        <v>9</v>
      </c>
      <c r="L582" s="45">
        <v>143.77000000000001</v>
      </c>
      <c r="M582" s="45"/>
      <c r="N582" s="45"/>
      <c r="O582" s="45"/>
      <c r="P582" s="45"/>
      <c r="Q582" s="45"/>
      <c r="R582" s="51"/>
      <c r="S582" s="53">
        <v>9</v>
      </c>
      <c r="T582" s="45">
        <v>149.65</v>
      </c>
      <c r="U582" s="45"/>
      <c r="V582" s="45"/>
      <c r="W582" s="45"/>
      <c r="X582" s="45"/>
      <c r="Y582" s="45"/>
      <c r="Z582" s="51"/>
      <c r="AA582" s="53">
        <v>9</v>
      </c>
      <c r="AB582" s="45">
        <v>145.38</v>
      </c>
      <c r="AC582" s="45"/>
      <c r="AD582" s="45"/>
      <c r="AE582" s="45"/>
      <c r="AF582" s="45"/>
      <c r="AG582" s="45"/>
      <c r="AH582" s="51"/>
      <c r="AI582" s="53">
        <v>9</v>
      </c>
      <c r="AJ582" s="45">
        <v>146.15</v>
      </c>
      <c r="AK582" s="45"/>
      <c r="AL582" s="45"/>
      <c r="AM582" s="45"/>
      <c r="AN582" s="45"/>
      <c r="AO582" s="45"/>
      <c r="AP582" s="51"/>
    </row>
    <row r="583" spans="1:42" ht="21" customHeight="1" thickTop="1" thickBot="1" x14ac:dyDescent="0.35">
      <c r="A583" s="63"/>
      <c r="B583" s="78"/>
      <c r="C583" s="53">
        <v>10</v>
      </c>
      <c r="D583" s="45">
        <v>143.38</v>
      </c>
      <c r="E583" s="45"/>
      <c r="F583" s="45"/>
      <c r="G583" s="45"/>
      <c r="H583" s="45"/>
      <c r="I583" s="45"/>
      <c r="J583" s="51"/>
      <c r="K583" s="53">
        <v>10</v>
      </c>
      <c r="L583" s="45">
        <v>144.13999999999999</v>
      </c>
      <c r="M583" s="45"/>
      <c r="N583" s="45"/>
      <c r="O583" s="45"/>
      <c r="P583" s="45"/>
      <c r="Q583" s="45"/>
      <c r="R583" s="51"/>
      <c r="S583" s="53">
        <v>10</v>
      </c>
      <c r="T583" s="45">
        <v>145.12</v>
      </c>
      <c r="U583" s="45"/>
      <c r="V583" s="45"/>
      <c r="W583" s="45"/>
      <c r="X583" s="45"/>
      <c r="Y583" s="45"/>
      <c r="Z583" s="51"/>
      <c r="AA583" s="53">
        <v>10</v>
      </c>
      <c r="AB583" s="45">
        <v>146.13</v>
      </c>
      <c r="AC583" s="45"/>
      <c r="AD583" s="45"/>
      <c r="AE583" s="45"/>
      <c r="AF583" s="45"/>
      <c r="AG583" s="45"/>
      <c r="AH583" s="51"/>
      <c r="AI583" s="53">
        <v>10</v>
      </c>
      <c r="AJ583" s="45">
        <v>145.96</v>
      </c>
      <c r="AK583" s="45"/>
      <c r="AL583" s="45"/>
      <c r="AM583" s="45"/>
      <c r="AN583" s="45"/>
      <c r="AO583" s="45"/>
      <c r="AP583" s="51"/>
    </row>
    <row r="584" spans="1:42" ht="21" customHeight="1" thickTop="1" thickBot="1" x14ac:dyDescent="0.35">
      <c r="A584" s="63"/>
      <c r="B584" s="78"/>
      <c r="C584" s="53"/>
      <c r="D584" s="45"/>
      <c r="E584" s="45"/>
      <c r="F584" s="45"/>
      <c r="G584" s="45"/>
      <c r="H584" s="45"/>
      <c r="I584" s="45"/>
      <c r="J584" s="51"/>
      <c r="K584" s="53"/>
      <c r="L584" s="45"/>
      <c r="M584" s="45"/>
      <c r="N584" s="45"/>
      <c r="O584" s="45"/>
      <c r="P584" s="45"/>
      <c r="Q584" s="45"/>
      <c r="R584" s="51"/>
      <c r="S584" s="53"/>
      <c r="T584" s="45"/>
      <c r="U584" s="45"/>
      <c r="V584" s="45"/>
      <c r="W584" s="45"/>
      <c r="X584" s="45"/>
      <c r="Y584" s="45"/>
      <c r="Z584" s="51"/>
      <c r="AA584" s="53"/>
      <c r="AB584" s="45"/>
      <c r="AC584" s="45"/>
      <c r="AD584" s="45"/>
      <c r="AE584" s="45"/>
      <c r="AF584" s="45"/>
      <c r="AG584" s="45"/>
      <c r="AH584" s="51"/>
      <c r="AI584" s="53"/>
      <c r="AJ584" s="45"/>
      <c r="AK584" s="45"/>
      <c r="AL584" s="45"/>
      <c r="AM584" s="45"/>
      <c r="AN584" s="45"/>
      <c r="AO584" s="45"/>
      <c r="AP584" s="51"/>
    </row>
    <row r="585" spans="1:42" ht="41" customHeight="1" thickTop="1" thickBot="1" x14ac:dyDescent="0.35">
      <c r="A585" s="63"/>
      <c r="B585" s="78"/>
      <c r="C585" s="54" t="s">
        <v>16</v>
      </c>
      <c r="D585" s="49">
        <f>MIN(D574:D583)</f>
        <v>143.38</v>
      </c>
      <c r="E585" s="45"/>
      <c r="F585" s="55" t="s">
        <v>17</v>
      </c>
      <c r="G585" s="49" t="s">
        <v>18</v>
      </c>
      <c r="H585" s="49" t="s">
        <v>19</v>
      </c>
      <c r="I585" s="45"/>
      <c r="J585" s="51"/>
      <c r="K585" s="54" t="s">
        <v>16</v>
      </c>
      <c r="L585" s="49">
        <f>MIN(L574:L583)</f>
        <v>143.38</v>
      </c>
      <c r="M585" s="45"/>
      <c r="N585" s="55" t="s">
        <v>17</v>
      </c>
      <c r="O585" s="49" t="s">
        <v>18</v>
      </c>
      <c r="P585" s="49" t="s">
        <v>19</v>
      </c>
      <c r="Q585" s="45"/>
      <c r="R585" s="51"/>
      <c r="S585" s="54" t="s">
        <v>16</v>
      </c>
      <c r="T585" s="49">
        <f>MIN(T574:T583)</f>
        <v>145.12</v>
      </c>
      <c r="U585" s="45"/>
      <c r="V585" s="55" t="s">
        <v>17</v>
      </c>
      <c r="W585" s="49" t="s">
        <v>18</v>
      </c>
      <c r="X585" s="49" t="s">
        <v>19</v>
      </c>
      <c r="Y585" s="45"/>
      <c r="Z585" s="51"/>
      <c r="AA585" s="54" t="s">
        <v>16</v>
      </c>
      <c r="AB585" s="49">
        <f>MIN(AB574:AB583)</f>
        <v>143.91</v>
      </c>
      <c r="AC585" s="45"/>
      <c r="AD585" s="55" t="s">
        <v>17</v>
      </c>
      <c r="AE585" s="49" t="s">
        <v>18</v>
      </c>
      <c r="AF585" s="49" t="s">
        <v>19</v>
      </c>
      <c r="AG585" s="45"/>
      <c r="AH585" s="51"/>
      <c r="AI585" s="54" t="s">
        <v>16</v>
      </c>
      <c r="AJ585" s="49">
        <f>MIN(AJ574:AJ583)</f>
        <v>145.65</v>
      </c>
      <c r="AK585" s="45"/>
      <c r="AL585" s="55" t="s">
        <v>17</v>
      </c>
      <c r="AM585" s="49" t="s">
        <v>18</v>
      </c>
      <c r="AN585" s="49" t="s">
        <v>19</v>
      </c>
      <c r="AO585" s="45"/>
      <c r="AP585" s="51"/>
    </row>
    <row r="586" spans="1:42" ht="21" customHeight="1" thickTop="1" thickBot="1" x14ac:dyDescent="0.35">
      <c r="A586" s="63"/>
      <c r="B586" s="78"/>
      <c r="C586" s="54" t="s">
        <v>20</v>
      </c>
      <c r="D586" s="48">
        <f>AVERAGE(D574:D583)</f>
        <v>143.54599999999999</v>
      </c>
      <c r="E586" s="47"/>
      <c r="F586" s="48">
        <f>_xlfn.STDEV.S(D574:D583) / AVERAGE(D574:D583) * 100%</f>
        <v>1.7900641345739796E-3</v>
      </c>
      <c r="G586" s="48">
        <f t="array" ref="G586">MIN((D574:D583 - MIN(D574:D583,L574:L583,T574:T583,AB574:AB583,AJ574:AJ583))/MIN(D574:D583,L574:L583,T574:T583,AB574:AB583,AJ574:AJ583)*100%)</f>
        <v>0</v>
      </c>
      <c r="H586" s="48">
        <f t="array" ref="H586">AVERAGE((D574:D583 - MIN(D574:D583,L574:L583,T574:T583,AB574:AB583,AJ574:AJ583))/MIN(D574:D583,L574:L583,T574:T583,AB574:AB583,AJ574:AJ583)*100%)</f>
        <v>1.1577625889245536E-3</v>
      </c>
      <c r="I586" s="45"/>
      <c r="J586" s="51"/>
      <c r="K586" s="54" t="s">
        <v>20</v>
      </c>
      <c r="L586" s="48">
        <f>AVERAGE(L574:L583)</f>
        <v>143.66900000000001</v>
      </c>
      <c r="M586" s="47"/>
      <c r="N586" s="48">
        <f>_xlfn.STDEV.S(L574:L583) / AVERAGE(L574:L583) * 100%</f>
        <v>2.1733854952226488E-3</v>
      </c>
      <c r="O586" s="48">
        <f t="array" ref="O586">MIN((L574:L583 - MIN(D574:D583,L574:L583,T574:T583,AB574:AB583,AJ574:AJ583))/MIN(D574:D583,L574:L583,T574:T583,AB574:AB583,AJ574:AJ583)*100%)</f>
        <v>0</v>
      </c>
      <c r="P586" s="48">
        <f t="array" ref="P586">AVERAGE((L574:L583 - MIN(D574:D583,L574:L583,T574:T583,AB574:AB583,AJ574:AJ583))/MIN(D574:D583,L574:L583,T574:T583,AB574:AB583,AJ574:AJ583)*100%)</f>
        <v>2.0156228204770642E-3</v>
      </c>
      <c r="Q586" s="44"/>
      <c r="R586" s="51"/>
      <c r="S586" s="54" t="s">
        <v>20</v>
      </c>
      <c r="T586" s="48">
        <f>AVERAGE(T574:T583)</f>
        <v>146.76100000000002</v>
      </c>
      <c r="U586" s="47"/>
      <c r="V586" s="48">
        <f>_xlfn.STDEV.S(T574:T583) / AVERAGE(T574:T583) * 100%</f>
        <v>1.1851243220728494E-2</v>
      </c>
      <c r="W586" s="48">
        <f t="array" ref="W586">MIN((T574:T583 - MIN(D574:D583,L574:L583,T574:T583,AB574:AB583,AJ574:AJ583))/MIN(D574:D583,L574:L583,T574:T583,AB574:AB583,AJ574:AJ583)*100%)</f>
        <v>1.2135583763425925E-2</v>
      </c>
      <c r="X586" s="48">
        <f t="array" ref="X586">AVERAGE((T574:T583 - MIN(D574:D583,L574:L583,T574:T583,AB574:AB583,AJ574:AJ583))/MIN(D574:D583,L574:L583,T574:T583,AB574:AB583,AJ574:AJ583)*100%)</f>
        <v>2.3580694657553358E-2</v>
      </c>
      <c r="Y586" s="44"/>
      <c r="Z586" s="51"/>
      <c r="AA586" s="54" t="s">
        <v>20</v>
      </c>
      <c r="AB586" s="48">
        <f>AVERAGE(AB574:AB583)</f>
        <v>145.82800000000003</v>
      </c>
      <c r="AC586" s="47"/>
      <c r="AD586" s="48">
        <f>_xlfn.STDEV.S(AB574:AB583) / AVERAGE(AB574:AB583) * 100%</f>
        <v>8.4256258626676378E-3</v>
      </c>
      <c r="AE586" s="48">
        <f t="array" ref="AE586">MIN((AB574:AB583 - MIN(D574:D583,L574:L583,T574:T583,AB574:AB583,AJ574:AJ583))/MIN(D574:D583,L574:L583,T574:T583,AB574:AB583,AJ574:AJ583)*100%)</f>
        <v>3.6964709164458162E-3</v>
      </c>
      <c r="AF586" s="48">
        <f t="array" ref="AF586">AVERAGE((AB574:AB583 - MIN(D574:D583,L574:L583,T574:T583,AB574:AB583,AJ574:AJ583))/MIN(D574:D583,L574:L583,T574:T583,AB574:AB583,AJ574:AJ583)*100%)</f>
        <v>1.7073510949923293E-2</v>
      </c>
      <c r="AG586" s="44"/>
      <c r="AH586" s="51"/>
      <c r="AI586" s="54" t="s">
        <v>20</v>
      </c>
      <c r="AJ586" s="48">
        <f>AVERAGE(AJ574:AJ583)</f>
        <v>146.53100000000001</v>
      </c>
      <c r="AK586" s="47"/>
      <c r="AL586" s="48">
        <f>_xlfn.STDEV.S(AJ574:AJ583) / AVERAGE(AJ574:AJ583) * 100%</f>
        <v>4.2620714915735597E-3</v>
      </c>
      <c r="AM586" s="48">
        <f t="array" ref="AM586">MIN((AJ574:AJ583 - MIN(D574:D583,L574:L583,T574:T583,AB574:AB583,AJ574:AJ583))/MIN(D574:D583,L574:L583,T574:T583,AB574:AB583,AJ574:AJ583)*100%)</f>
        <v>1.583205467987174E-2</v>
      </c>
      <c r="AN586" s="48">
        <f t="array" ref="AN586">AVERAGE((AJ574:AJ583 - MIN(D574:D583,L574:L583,T574:T583,AB574:AB583,AJ574:AJ583))/MIN(D574:D583,L574:L583,T574:T583,AB574:AB583,AJ574:AJ583)*100%)</f>
        <v>2.1976565769284476E-2</v>
      </c>
      <c r="AO586" s="44"/>
      <c r="AP586" s="51"/>
    </row>
    <row r="587" spans="1:42" ht="21" customHeight="1" thickTop="1" thickBot="1" x14ac:dyDescent="0.35">
      <c r="A587" s="63"/>
      <c r="B587" s="79"/>
      <c r="C587" s="53"/>
      <c r="D587" s="44"/>
      <c r="E587" s="44"/>
      <c r="F587" s="44"/>
      <c r="G587" s="44"/>
      <c r="H587" s="44"/>
      <c r="I587" s="44"/>
      <c r="J587" s="51"/>
      <c r="K587" s="53"/>
      <c r="L587" s="44"/>
      <c r="M587" s="44"/>
      <c r="N587" s="44"/>
      <c r="O587" s="44"/>
      <c r="P587" s="44"/>
      <c r="Q587" s="44"/>
      <c r="R587" s="51"/>
      <c r="S587" s="53"/>
      <c r="T587" s="44"/>
      <c r="U587" s="44"/>
      <c r="V587" s="44"/>
      <c r="W587" s="44"/>
      <c r="X587" s="44"/>
      <c r="Y587" s="44"/>
      <c r="Z587" s="51"/>
      <c r="AA587" s="53"/>
      <c r="AB587" s="44"/>
      <c r="AC587" s="44"/>
      <c r="AD587" s="44"/>
      <c r="AE587" s="44"/>
      <c r="AF587" s="44"/>
      <c r="AG587" s="44"/>
      <c r="AH587" s="51"/>
      <c r="AI587" s="53"/>
      <c r="AJ587" s="44"/>
      <c r="AK587" s="44"/>
      <c r="AL587" s="44"/>
      <c r="AM587" s="44"/>
      <c r="AN587" s="44"/>
      <c r="AO587" s="44"/>
      <c r="AP587" s="51"/>
    </row>
    <row r="588" spans="1:42" ht="21" customHeight="1" thickTop="1" thickBot="1" x14ac:dyDescent="0.35">
      <c r="A588" s="63"/>
      <c r="B588" s="77" t="s">
        <v>65</v>
      </c>
      <c r="C588" s="59" t="s">
        <v>8</v>
      </c>
      <c r="D588" s="46" t="s">
        <v>9</v>
      </c>
      <c r="E588" s="46" t="s">
        <v>10</v>
      </c>
      <c r="F588" s="46" t="s">
        <v>11</v>
      </c>
      <c r="G588" s="46" t="s">
        <v>12</v>
      </c>
      <c r="H588" s="46" t="s">
        <v>13</v>
      </c>
      <c r="I588" s="46" t="s">
        <v>14</v>
      </c>
      <c r="J588" s="60" t="s">
        <v>15</v>
      </c>
      <c r="K588" s="59" t="s">
        <v>8</v>
      </c>
      <c r="L588" s="46" t="s">
        <v>9</v>
      </c>
      <c r="M588" s="46" t="s">
        <v>10</v>
      </c>
      <c r="N588" s="46" t="s">
        <v>11</v>
      </c>
      <c r="O588" s="46" t="s">
        <v>12</v>
      </c>
      <c r="P588" s="46" t="s">
        <v>13</v>
      </c>
      <c r="Q588" s="46" t="s">
        <v>14</v>
      </c>
      <c r="R588" s="60" t="s">
        <v>15</v>
      </c>
      <c r="S588" s="59" t="s">
        <v>8</v>
      </c>
      <c r="T588" s="46" t="s">
        <v>9</v>
      </c>
      <c r="U588" s="46" t="s">
        <v>10</v>
      </c>
      <c r="V588" s="46" t="s">
        <v>11</v>
      </c>
      <c r="W588" s="46" t="s">
        <v>12</v>
      </c>
      <c r="X588" s="46" t="s">
        <v>13</v>
      </c>
      <c r="Y588" s="46" t="s">
        <v>14</v>
      </c>
      <c r="Z588" s="60" t="s">
        <v>15</v>
      </c>
      <c r="AA588" s="59" t="s">
        <v>8</v>
      </c>
      <c r="AB588" s="46" t="s">
        <v>9</v>
      </c>
      <c r="AC588" s="46" t="s">
        <v>10</v>
      </c>
      <c r="AD588" s="46" t="s">
        <v>11</v>
      </c>
      <c r="AE588" s="46" t="s">
        <v>12</v>
      </c>
      <c r="AF588" s="46" t="s">
        <v>13</v>
      </c>
      <c r="AG588" s="46" t="s">
        <v>14</v>
      </c>
      <c r="AH588" s="60" t="s">
        <v>15</v>
      </c>
      <c r="AI588" s="59" t="s">
        <v>8</v>
      </c>
      <c r="AJ588" s="46" t="s">
        <v>9</v>
      </c>
      <c r="AK588" s="46" t="s">
        <v>10</v>
      </c>
      <c r="AL588" s="46" t="s">
        <v>11</v>
      </c>
      <c r="AM588" s="46" t="s">
        <v>12</v>
      </c>
      <c r="AN588" s="46" t="s">
        <v>13</v>
      </c>
      <c r="AO588" s="46" t="s">
        <v>14</v>
      </c>
      <c r="AP588" s="60" t="s">
        <v>15</v>
      </c>
    </row>
    <row r="589" spans="1:42" ht="21" customHeight="1" thickTop="1" thickBot="1" x14ac:dyDescent="0.35">
      <c r="A589" s="63"/>
      <c r="B589" s="78"/>
      <c r="C589" s="52">
        <v>1</v>
      </c>
      <c r="D589" s="44">
        <v>152.69</v>
      </c>
      <c r="E589" s="44"/>
      <c r="F589" s="44"/>
      <c r="G589" s="44"/>
      <c r="H589" s="44"/>
      <c r="I589" s="44"/>
      <c r="J589" s="51"/>
      <c r="K589" s="52">
        <v>1</v>
      </c>
      <c r="L589" s="44">
        <v>154.06</v>
      </c>
      <c r="M589" s="44"/>
      <c r="N589" s="44"/>
      <c r="O589" s="44"/>
      <c r="P589" s="44"/>
      <c r="Q589" s="44"/>
      <c r="R589" s="51"/>
      <c r="S589" s="52">
        <v>1</v>
      </c>
      <c r="T589" s="44">
        <v>155.62</v>
      </c>
      <c r="U589" s="44"/>
      <c r="V589" s="44"/>
      <c r="W589" s="44"/>
      <c r="X589" s="44"/>
      <c r="Y589" s="44"/>
      <c r="Z589" s="51"/>
      <c r="AA589" s="52">
        <v>1</v>
      </c>
      <c r="AB589" s="44">
        <v>156.87</v>
      </c>
      <c r="AC589" s="44"/>
      <c r="AD589" s="44"/>
      <c r="AE589" s="44"/>
      <c r="AF589" s="44"/>
      <c r="AG589" s="44"/>
      <c r="AH589" s="51"/>
      <c r="AI589" s="52">
        <v>1</v>
      </c>
      <c r="AJ589" s="44">
        <v>156.88</v>
      </c>
      <c r="AK589" s="44"/>
      <c r="AL589" s="44"/>
      <c r="AM589" s="44"/>
      <c r="AN589" s="44"/>
      <c r="AO589" s="44"/>
      <c r="AP589" s="51"/>
    </row>
    <row r="590" spans="1:42" ht="21" customHeight="1" thickTop="1" thickBot="1" x14ac:dyDescent="0.35">
      <c r="A590" s="63"/>
      <c r="B590" s="78"/>
      <c r="C590" s="53">
        <v>2</v>
      </c>
      <c r="D590" s="45">
        <v>154.06</v>
      </c>
      <c r="E590" s="45"/>
      <c r="F590" s="45"/>
      <c r="G590" s="45"/>
      <c r="H590" s="45"/>
      <c r="I590" s="45"/>
      <c r="J590" s="51"/>
      <c r="K590" s="53">
        <v>2</v>
      </c>
      <c r="L590" s="45">
        <v>152.69999999999999</v>
      </c>
      <c r="M590" s="45"/>
      <c r="N590" s="45"/>
      <c r="O590" s="45"/>
      <c r="P590" s="45"/>
      <c r="Q590" s="45"/>
      <c r="R590" s="51"/>
      <c r="S590" s="53">
        <v>2</v>
      </c>
      <c r="T590" s="45">
        <v>156.41999999999999</v>
      </c>
      <c r="U590" s="45"/>
      <c r="V590" s="45"/>
      <c r="W590" s="45"/>
      <c r="X590" s="45"/>
      <c r="Y590" s="45"/>
      <c r="Z590" s="51"/>
      <c r="AA590" s="53">
        <v>2</v>
      </c>
      <c r="AB590" s="45">
        <v>152.91999999999999</v>
      </c>
      <c r="AC590" s="45"/>
      <c r="AD590" s="45"/>
      <c r="AE590" s="45"/>
      <c r="AF590" s="45"/>
      <c r="AG590" s="45"/>
      <c r="AH590" s="51"/>
      <c r="AI590" s="53">
        <v>2</v>
      </c>
      <c r="AJ590" s="45">
        <v>156.21</v>
      </c>
      <c r="AK590" s="45"/>
      <c r="AL590" s="45"/>
      <c r="AM590" s="45"/>
      <c r="AN590" s="45"/>
      <c r="AO590" s="45"/>
      <c r="AP590" s="51"/>
    </row>
    <row r="591" spans="1:42" ht="21" customHeight="1" thickTop="1" thickBot="1" x14ac:dyDescent="0.35">
      <c r="A591" s="63"/>
      <c r="B591" s="78"/>
      <c r="C591" s="53">
        <v>3</v>
      </c>
      <c r="D591" s="45">
        <v>152.91999999999999</v>
      </c>
      <c r="E591" s="45"/>
      <c r="F591" s="45"/>
      <c r="G591" s="44"/>
      <c r="H591" s="44"/>
      <c r="I591" s="44"/>
      <c r="J591" s="51"/>
      <c r="K591" s="53">
        <v>3</v>
      </c>
      <c r="L591" s="45">
        <v>152.69</v>
      </c>
      <c r="M591" s="45"/>
      <c r="N591" s="45"/>
      <c r="O591" s="44"/>
      <c r="P591" s="44"/>
      <c r="Q591" s="44"/>
      <c r="R591" s="51"/>
      <c r="S591" s="53">
        <v>3</v>
      </c>
      <c r="T591" s="45">
        <v>156.66999999999999</v>
      </c>
      <c r="U591" s="45"/>
      <c r="V591" s="45"/>
      <c r="W591" s="44"/>
      <c r="X591" s="44"/>
      <c r="Y591" s="44"/>
      <c r="Z591" s="51"/>
      <c r="AA591" s="53">
        <v>3</v>
      </c>
      <c r="AB591" s="45">
        <v>153.83000000000001</v>
      </c>
      <c r="AC591" s="45"/>
      <c r="AD591" s="45"/>
      <c r="AE591" s="44"/>
      <c r="AF591" s="44"/>
      <c r="AG591" s="44"/>
      <c r="AH591" s="51"/>
      <c r="AI591" s="53">
        <v>3</v>
      </c>
      <c r="AJ591" s="45">
        <v>156.6</v>
      </c>
      <c r="AK591" s="45"/>
      <c r="AL591" s="45"/>
      <c r="AM591" s="44"/>
      <c r="AN591" s="44"/>
      <c r="AO591" s="44"/>
      <c r="AP591" s="51"/>
    </row>
    <row r="592" spans="1:42" ht="21" customHeight="1" thickTop="1" thickBot="1" x14ac:dyDescent="0.35">
      <c r="A592" s="63"/>
      <c r="B592" s="78"/>
      <c r="C592" s="53">
        <v>4</v>
      </c>
      <c r="D592" s="45">
        <v>153.57</v>
      </c>
      <c r="E592" s="45"/>
      <c r="F592" s="45"/>
      <c r="G592" s="45"/>
      <c r="H592" s="45"/>
      <c r="I592" s="45"/>
      <c r="J592" s="51"/>
      <c r="K592" s="53">
        <v>4</v>
      </c>
      <c r="L592" s="45">
        <v>153.33000000000001</v>
      </c>
      <c r="M592" s="45"/>
      <c r="N592" s="45"/>
      <c r="O592" s="45"/>
      <c r="P592" s="45"/>
      <c r="Q592" s="45"/>
      <c r="R592" s="51"/>
      <c r="S592" s="53">
        <v>4</v>
      </c>
      <c r="T592" s="45">
        <v>157.51</v>
      </c>
      <c r="U592" s="45"/>
      <c r="V592" s="45"/>
      <c r="W592" s="45"/>
      <c r="X592" s="45"/>
      <c r="Y592" s="45"/>
      <c r="Z592" s="51"/>
      <c r="AA592" s="53">
        <v>4</v>
      </c>
      <c r="AB592" s="45">
        <v>156.66999999999999</v>
      </c>
      <c r="AC592" s="45"/>
      <c r="AD592" s="45"/>
      <c r="AE592" s="45"/>
      <c r="AF592" s="45"/>
      <c r="AG592" s="45"/>
      <c r="AH592" s="51"/>
      <c r="AI592" s="53">
        <v>4</v>
      </c>
      <c r="AJ592" s="45">
        <v>155.91</v>
      </c>
      <c r="AK592" s="45"/>
      <c r="AL592" s="45"/>
      <c r="AM592" s="45"/>
      <c r="AN592" s="45"/>
      <c r="AO592" s="45"/>
      <c r="AP592" s="51"/>
    </row>
    <row r="593" spans="1:42" ht="21" customHeight="1" thickTop="1" thickBot="1" x14ac:dyDescent="0.35">
      <c r="A593" s="63"/>
      <c r="B593" s="78"/>
      <c r="C593" s="53">
        <v>5</v>
      </c>
      <c r="D593" s="45">
        <v>154.38999999999999</v>
      </c>
      <c r="E593" s="45"/>
      <c r="F593" s="45"/>
      <c r="G593" s="45"/>
      <c r="H593" s="45"/>
      <c r="I593" s="45"/>
      <c r="J593" s="51"/>
      <c r="K593" s="53">
        <v>5</v>
      </c>
      <c r="L593" s="45">
        <v>152.69</v>
      </c>
      <c r="M593" s="45"/>
      <c r="N593" s="45"/>
      <c r="O593" s="45"/>
      <c r="P593" s="45"/>
      <c r="Q593" s="45"/>
      <c r="R593" s="51"/>
      <c r="S593" s="53">
        <v>5</v>
      </c>
      <c r="T593" s="45">
        <v>158.18</v>
      </c>
      <c r="U593" s="45"/>
      <c r="V593" s="45"/>
      <c r="W593" s="45"/>
      <c r="X593" s="45"/>
      <c r="Y593" s="45"/>
      <c r="Z593" s="51"/>
      <c r="AA593" s="53">
        <v>5</v>
      </c>
      <c r="AB593" s="45">
        <v>154.58000000000001</v>
      </c>
      <c r="AC593" s="45"/>
      <c r="AD593" s="45"/>
      <c r="AE593" s="45"/>
      <c r="AF593" s="45"/>
      <c r="AG593" s="45"/>
      <c r="AH593" s="51"/>
      <c r="AI593" s="53">
        <v>5</v>
      </c>
      <c r="AJ593" s="45">
        <v>156.83000000000001</v>
      </c>
      <c r="AK593" s="45"/>
      <c r="AL593" s="45"/>
      <c r="AM593" s="45"/>
      <c r="AN593" s="45"/>
      <c r="AO593" s="45"/>
      <c r="AP593" s="51"/>
    </row>
    <row r="594" spans="1:42" ht="21" customHeight="1" thickTop="1" thickBot="1" x14ac:dyDescent="0.35">
      <c r="A594" s="63"/>
      <c r="B594" s="78"/>
      <c r="C594" s="53">
        <v>6</v>
      </c>
      <c r="D594" s="45">
        <v>151.82</v>
      </c>
      <c r="E594" s="45"/>
      <c r="F594" s="45"/>
      <c r="G594" s="45"/>
      <c r="H594" s="45"/>
      <c r="I594" s="45"/>
      <c r="J594" s="51"/>
      <c r="K594" s="53">
        <v>6</v>
      </c>
      <c r="L594" s="45">
        <v>154.09</v>
      </c>
      <c r="M594" s="45"/>
      <c r="N594" s="45"/>
      <c r="O594" s="45"/>
      <c r="P594" s="45"/>
      <c r="Q594" s="45"/>
      <c r="R594" s="51"/>
      <c r="S594" s="53">
        <v>6</v>
      </c>
      <c r="T594" s="45">
        <v>155.41999999999999</v>
      </c>
      <c r="U594" s="45"/>
      <c r="V594" s="45"/>
      <c r="W594" s="45"/>
      <c r="X594" s="45"/>
      <c r="Y594" s="45"/>
      <c r="Z594" s="51"/>
      <c r="AA594" s="53">
        <v>6</v>
      </c>
      <c r="AB594" s="45">
        <v>152.6</v>
      </c>
      <c r="AC594" s="45"/>
      <c r="AD594" s="45"/>
      <c r="AE594" s="45"/>
      <c r="AF594" s="45"/>
      <c r="AG594" s="45"/>
      <c r="AH594" s="51"/>
      <c r="AI594" s="53">
        <v>6</v>
      </c>
      <c r="AJ594" s="45">
        <v>156.79</v>
      </c>
      <c r="AK594" s="45"/>
      <c r="AL594" s="45"/>
      <c r="AM594" s="45"/>
      <c r="AN594" s="45"/>
      <c r="AO594" s="45"/>
      <c r="AP594" s="51"/>
    </row>
    <row r="595" spans="1:42" ht="21" customHeight="1" thickTop="1" thickBot="1" x14ac:dyDescent="0.35">
      <c r="A595" s="63"/>
      <c r="B595" s="78"/>
      <c r="C595" s="53">
        <v>7</v>
      </c>
      <c r="D595" s="45">
        <v>152.09</v>
      </c>
      <c r="E595" s="45"/>
      <c r="F595" s="45"/>
      <c r="G595" s="45"/>
      <c r="H595" s="45"/>
      <c r="I595" s="45"/>
      <c r="J595" s="51"/>
      <c r="K595" s="53">
        <v>7</v>
      </c>
      <c r="L595" s="45">
        <v>155.03</v>
      </c>
      <c r="M595" s="45"/>
      <c r="N595" s="45"/>
      <c r="O595" s="45"/>
      <c r="P595" s="45"/>
      <c r="Q595" s="45"/>
      <c r="R595" s="51"/>
      <c r="S595" s="53">
        <v>7</v>
      </c>
      <c r="T595" s="45">
        <v>156.22999999999999</v>
      </c>
      <c r="U595" s="45"/>
      <c r="V595" s="45"/>
      <c r="W595" s="45"/>
      <c r="X595" s="45"/>
      <c r="Y595" s="45"/>
      <c r="Z595" s="51"/>
      <c r="AA595" s="53">
        <v>7</v>
      </c>
      <c r="AB595" s="45">
        <v>156.16</v>
      </c>
      <c r="AC595" s="45"/>
      <c r="AD595" s="45"/>
      <c r="AE595" s="45"/>
      <c r="AF595" s="45"/>
      <c r="AG595" s="45"/>
      <c r="AH595" s="51"/>
      <c r="AI595" s="53">
        <v>7</v>
      </c>
      <c r="AJ595" s="45">
        <v>156.79</v>
      </c>
      <c r="AK595" s="45"/>
      <c r="AL595" s="45"/>
      <c r="AM595" s="45"/>
      <c r="AN595" s="45"/>
      <c r="AO595" s="45"/>
      <c r="AP595" s="51"/>
    </row>
    <row r="596" spans="1:42" ht="21" customHeight="1" thickTop="1" thickBot="1" x14ac:dyDescent="0.35">
      <c r="A596" s="63"/>
      <c r="B596" s="78"/>
      <c r="C596" s="53">
        <v>8</v>
      </c>
      <c r="D596" s="45">
        <v>151.82</v>
      </c>
      <c r="E596" s="45"/>
      <c r="F596" s="45"/>
      <c r="G596" s="45"/>
      <c r="H596" s="45"/>
      <c r="I596" s="45"/>
      <c r="J596" s="51"/>
      <c r="K596" s="53">
        <v>8</v>
      </c>
      <c r="L596" s="45">
        <v>154.06</v>
      </c>
      <c r="M596" s="45"/>
      <c r="N596" s="45"/>
      <c r="O596" s="45"/>
      <c r="P596" s="45"/>
      <c r="Q596" s="45"/>
      <c r="R596" s="51"/>
      <c r="S596" s="53">
        <v>8</v>
      </c>
      <c r="T596" s="45">
        <v>156.93</v>
      </c>
      <c r="U596" s="45"/>
      <c r="V596" s="45"/>
      <c r="W596" s="45"/>
      <c r="X596" s="45"/>
      <c r="Y596" s="45"/>
      <c r="Z596" s="51"/>
      <c r="AA596" s="53">
        <v>8</v>
      </c>
      <c r="AB596" s="45">
        <v>155.84</v>
      </c>
      <c r="AC596" s="45"/>
      <c r="AD596" s="45"/>
      <c r="AE596" s="45"/>
      <c r="AF596" s="45"/>
      <c r="AG596" s="45"/>
      <c r="AH596" s="51"/>
      <c r="AI596" s="53">
        <v>8</v>
      </c>
      <c r="AJ596" s="45">
        <v>154.11000000000001</v>
      </c>
      <c r="AK596" s="45"/>
      <c r="AL596" s="45"/>
      <c r="AM596" s="45"/>
      <c r="AN596" s="45"/>
      <c r="AO596" s="45"/>
      <c r="AP596" s="51"/>
    </row>
    <row r="597" spans="1:42" ht="21" customHeight="1" thickTop="1" thickBot="1" x14ac:dyDescent="0.35">
      <c r="A597" s="63"/>
      <c r="B597" s="78"/>
      <c r="C597" s="53">
        <v>9</v>
      </c>
      <c r="D597" s="45">
        <v>151.82</v>
      </c>
      <c r="E597" s="45"/>
      <c r="F597" s="45"/>
      <c r="G597" s="45"/>
      <c r="H597" s="45"/>
      <c r="I597" s="45"/>
      <c r="J597" s="51"/>
      <c r="K597" s="53">
        <v>9</v>
      </c>
      <c r="L597" s="45">
        <v>153.55000000000001</v>
      </c>
      <c r="M597" s="45"/>
      <c r="N597" s="45"/>
      <c r="O597" s="45"/>
      <c r="P597" s="45"/>
      <c r="Q597" s="45"/>
      <c r="R597" s="51"/>
      <c r="S597" s="53">
        <v>9</v>
      </c>
      <c r="T597" s="45">
        <v>155.13</v>
      </c>
      <c r="U597" s="45"/>
      <c r="V597" s="45"/>
      <c r="W597" s="45"/>
      <c r="X597" s="45"/>
      <c r="Y597" s="45"/>
      <c r="Z597" s="51"/>
      <c r="AA597" s="53">
        <v>9</v>
      </c>
      <c r="AB597" s="45">
        <v>153.74</v>
      </c>
      <c r="AC597" s="45"/>
      <c r="AD597" s="45"/>
      <c r="AE597" s="45"/>
      <c r="AF597" s="45"/>
      <c r="AG597" s="45"/>
      <c r="AH597" s="51"/>
      <c r="AI597" s="53">
        <v>9</v>
      </c>
      <c r="AJ597" s="45">
        <v>156.58000000000001</v>
      </c>
      <c r="AK597" s="45"/>
      <c r="AL597" s="45"/>
      <c r="AM597" s="45"/>
      <c r="AN597" s="45"/>
      <c r="AO597" s="45"/>
      <c r="AP597" s="51"/>
    </row>
    <row r="598" spans="1:42" ht="21" customHeight="1" thickTop="1" thickBot="1" x14ac:dyDescent="0.35">
      <c r="A598" s="63"/>
      <c r="B598" s="78"/>
      <c r="C598" s="53">
        <v>10</v>
      </c>
      <c r="D598" s="45">
        <v>151.82</v>
      </c>
      <c r="E598" s="45"/>
      <c r="F598" s="45"/>
      <c r="G598" s="45"/>
      <c r="H598" s="45"/>
      <c r="I598" s="45"/>
      <c r="J598" s="51"/>
      <c r="K598" s="53">
        <v>10</v>
      </c>
      <c r="L598" s="45">
        <v>152.69999999999999</v>
      </c>
      <c r="M598" s="45"/>
      <c r="N598" s="45"/>
      <c r="O598" s="45"/>
      <c r="P598" s="45"/>
      <c r="Q598" s="45"/>
      <c r="R598" s="51"/>
      <c r="S598" s="53">
        <v>10</v>
      </c>
      <c r="T598" s="45">
        <v>156.46</v>
      </c>
      <c r="U598" s="45"/>
      <c r="V598" s="45"/>
      <c r="W598" s="45"/>
      <c r="X598" s="45"/>
      <c r="Y598" s="45"/>
      <c r="Z598" s="51"/>
      <c r="AA598" s="53">
        <v>10</v>
      </c>
      <c r="AB598" s="45">
        <v>155.53</v>
      </c>
      <c r="AC598" s="45"/>
      <c r="AD598" s="45"/>
      <c r="AE598" s="45"/>
      <c r="AF598" s="45"/>
      <c r="AG598" s="45"/>
      <c r="AH598" s="51"/>
      <c r="AI598" s="53">
        <v>10</v>
      </c>
      <c r="AJ598" s="45">
        <v>157.21</v>
      </c>
      <c r="AK598" s="45"/>
      <c r="AL598" s="45"/>
      <c r="AM598" s="45"/>
      <c r="AN598" s="45"/>
      <c r="AO598" s="45"/>
      <c r="AP598" s="51"/>
    </row>
    <row r="599" spans="1:42" ht="21" customHeight="1" thickTop="1" thickBot="1" x14ac:dyDescent="0.35">
      <c r="A599" s="63"/>
      <c r="B599" s="78"/>
      <c r="C599" s="53"/>
      <c r="D599" s="45"/>
      <c r="E599" s="45"/>
      <c r="F599" s="45"/>
      <c r="G599" s="45"/>
      <c r="H599" s="45"/>
      <c r="I599" s="45"/>
      <c r="J599" s="51"/>
      <c r="K599" s="53"/>
      <c r="L599" s="45"/>
      <c r="M599" s="45"/>
      <c r="N599" s="45"/>
      <c r="O599" s="45"/>
      <c r="P599" s="45"/>
      <c r="Q599" s="45"/>
      <c r="R599" s="51"/>
      <c r="S599" s="53"/>
      <c r="T599" s="45"/>
      <c r="U599" s="45"/>
      <c r="V599" s="45"/>
      <c r="W599" s="45"/>
      <c r="X599" s="45"/>
      <c r="Y599" s="45"/>
      <c r="Z599" s="51"/>
      <c r="AA599" s="53"/>
      <c r="AB599" s="45"/>
      <c r="AC599" s="45"/>
      <c r="AD599" s="45"/>
      <c r="AE599" s="45"/>
      <c r="AF599" s="45"/>
      <c r="AG599" s="45"/>
      <c r="AH599" s="51"/>
      <c r="AI599" s="53"/>
      <c r="AJ599" s="45"/>
      <c r="AK599" s="45"/>
      <c r="AL599" s="45"/>
      <c r="AM599" s="45"/>
      <c r="AN599" s="45"/>
      <c r="AO599" s="45"/>
      <c r="AP599" s="51"/>
    </row>
    <row r="600" spans="1:42" ht="41" customHeight="1" thickTop="1" thickBot="1" x14ac:dyDescent="0.35">
      <c r="A600" s="63"/>
      <c r="B600" s="78"/>
      <c r="C600" s="54" t="s">
        <v>16</v>
      </c>
      <c r="D600" s="49">
        <f>MIN(D589:D598)</f>
        <v>151.82</v>
      </c>
      <c r="E600" s="45"/>
      <c r="F600" s="55" t="s">
        <v>17</v>
      </c>
      <c r="G600" s="49" t="s">
        <v>18</v>
      </c>
      <c r="H600" s="49" t="s">
        <v>19</v>
      </c>
      <c r="I600" s="45"/>
      <c r="J600" s="51"/>
      <c r="K600" s="54" t="s">
        <v>16</v>
      </c>
      <c r="L600" s="49">
        <f>MIN(L589:L598)</f>
        <v>152.69</v>
      </c>
      <c r="M600" s="45"/>
      <c r="N600" s="55" t="s">
        <v>17</v>
      </c>
      <c r="O600" s="49" t="s">
        <v>18</v>
      </c>
      <c r="P600" s="49" t="s">
        <v>19</v>
      </c>
      <c r="Q600" s="45"/>
      <c r="R600" s="51"/>
      <c r="S600" s="54" t="s">
        <v>16</v>
      </c>
      <c r="T600" s="49">
        <f>MIN(T589:T598)</f>
        <v>155.13</v>
      </c>
      <c r="U600" s="45"/>
      <c r="V600" s="55" t="s">
        <v>17</v>
      </c>
      <c r="W600" s="49" t="s">
        <v>18</v>
      </c>
      <c r="X600" s="49" t="s">
        <v>19</v>
      </c>
      <c r="Y600" s="45"/>
      <c r="Z600" s="51"/>
      <c r="AA600" s="54" t="s">
        <v>16</v>
      </c>
      <c r="AB600" s="49">
        <f>MIN(AB589:AB598)</f>
        <v>152.6</v>
      </c>
      <c r="AC600" s="45"/>
      <c r="AD600" s="55" t="s">
        <v>17</v>
      </c>
      <c r="AE600" s="49" t="s">
        <v>18</v>
      </c>
      <c r="AF600" s="49" t="s">
        <v>19</v>
      </c>
      <c r="AG600" s="45"/>
      <c r="AH600" s="51"/>
      <c r="AI600" s="54" t="s">
        <v>16</v>
      </c>
      <c r="AJ600" s="49">
        <f>MIN(AJ589:AJ598)</f>
        <v>154.11000000000001</v>
      </c>
      <c r="AK600" s="45"/>
      <c r="AL600" s="55" t="s">
        <v>17</v>
      </c>
      <c r="AM600" s="49" t="s">
        <v>18</v>
      </c>
      <c r="AN600" s="49" t="s">
        <v>19</v>
      </c>
      <c r="AO600" s="45"/>
      <c r="AP600" s="51"/>
    </row>
    <row r="601" spans="1:42" ht="21" customHeight="1" thickTop="1" thickBot="1" x14ac:dyDescent="0.35">
      <c r="A601" s="63"/>
      <c r="B601" s="78"/>
      <c r="C601" s="54" t="s">
        <v>20</v>
      </c>
      <c r="D601" s="48">
        <f>AVERAGE(D589:D598)</f>
        <v>152.69999999999999</v>
      </c>
      <c r="E601" s="47"/>
      <c r="F601" s="48">
        <f>_xlfn.STDEV.S(D589:D598) / AVERAGE(D589:D598) * 100%</f>
        <v>6.5417993702476676E-3</v>
      </c>
      <c r="G601" s="48">
        <f t="array" ref="G601">MIN((D589:D598 - MIN(D589:D598,L589:L598,T589:T598,AB589:AB598,AJ589:AJ598))/MIN(D589:D598,L589:L598,T589:T598,AB589:AB598,AJ589:AJ598)*100%)</f>
        <v>0</v>
      </c>
      <c r="H601" s="48">
        <f t="array" ref="H601">AVERAGE((D589:D598 - MIN(D589:D598,L589:L598,T589:T598,AB589:AB598,AJ589:AJ598))/MIN(D589:D598,L589:L598,T589:T598,AB589:AB598,AJ589:AJ598)*100%)</f>
        <v>5.796337768409968E-3</v>
      </c>
      <c r="I601" s="45"/>
      <c r="J601" s="51"/>
      <c r="K601" s="54" t="s">
        <v>20</v>
      </c>
      <c r="L601" s="48">
        <f>AVERAGE(L589:L598)</f>
        <v>153.49</v>
      </c>
      <c r="M601" s="47"/>
      <c r="N601" s="48">
        <f>_xlfn.STDEV.S(L589:L598) / AVERAGE(L589:L598) * 100%</f>
        <v>5.292343314383348E-3</v>
      </c>
      <c r="O601" s="48">
        <f t="array" ref="O601">MIN((L589:L598 - MIN(D589:D598,L589:L598,T589:T598,AB589:AB598,AJ589:AJ598))/MIN(D589:D598,L589:L598,T589:T598,AB589:AB598,AJ589:AJ598)*100%)</f>
        <v>5.7304702937689671E-3</v>
      </c>
      <c r="P601" s="48">
        <f t="array" ref="P601">AVERAGE((L589:L598 - MIN(D589:D598,L589:L598,T589:T598,AB589:AB598,AJ589:AJ598))/MIN(D589:D598,L589:L598,T589:T598,AB589:AB598,AJ589:AJ598)*100%)</f>
        <v>1.0999868265050769E-2</v>
      </c>
      <c r="Q601" s="44"/>
      <c r="R601" s="51"/>
      <c r="S601" s="54" t="s">
        <v>20</v>
      </c>
      <c r="T601" s="48">
        <f>AVERAGE(T589:T598)</f>
        <v>156.45699999999997</v>
      </c>
      <c r="U601" s="47"/>
      <c r="V601" s="48">
        <f>_xlfn.STDEV.S(T589:T598) / AVERAGE(T589:T598) * 100%</f>
        <v>6.0019972836745364E-3</v>
      </c>
      <c r="W601" s="48">
        <f t="array" ref="W601">MIN((T589:T598 - MIN(D589:D598,L589:L598,T589:T598,AB589:AB598,AJ589:AJ598))/MIN(D589:D598,L589:L598,T589:T598,AB589:AB598,AJ589:AJ598)*100%)</f>
        <v>2.1802134106178386E-2</v>
      </c>
      <c r="X601" s="48">
        <f t="array" ref="X601">AVERAGE((T589:T598 - MIN(D589:D598,L589:L598,T589:T598,AB589:AB598,AJ589:AJ598))/MIN(D589:D598,L589:L598,T589:T598,AB589:AB598,AJ589:AJ598)*100%)</f>
        <v>3.0542747991042046E-2</v>
      </c>
      <c r="Y601" s="44"/>
      <c r="Z601" s="51"/>
      <c r="AA601" s="54" t="s">
        <v>20</v>
      </c>
      <c r="AB601" s="48">
        <f>AVERAGE(AB589:AB598)</f>
        <v>154.874</v>
      </c>
      <c r="AC601" s="47"/>
      <c r="AD601" s="48">
        <f>_xlfn.STDEV.S(AB589:AB598) / AVERAGE(AB589:AB598) * 100%</f>
        <v>1.0021073406707999E-2</v>
      </c>
      <c r="AE601" s="48">
        <f t="array" ref="AE601">MIN((AB589:AB598 - MIN(D589:D598,L589:L598,T589:T598,AB589:AB598,AJ589:AJ598))/MIN(D589:D598,L589:L598,T589:T598,AB589:AB598,AJ589:AJ598)*100%)</f>
        <v>5.1376630219997438E-3</v>
      </c>
      <c r="AF601" s="48">
        <f t="array" ref="AF601">AVERAGE((AB589:AB598 - MIN(D589:D598,L589:L598,T589:T598,AB589:AB598,AJ589:AJ598))/MIN(D589:D598,L589:L598,T589:T598,AB589:AB598,AJ589:AJ598)*100%)</f>
        <v>2.0115926755368253E-2</v>
      </c>
      <c r="AG601" s="44"/>
      <c r="AH601" s="51"/>
      <c r="AI601" s="54" t="s">
        <v>20</v>
      </c>
      <c r="AJ601" s="48">
        <f>AVERAGE(AJ589:AJ598)</f>
        <v>156.39099999999999</v>
      </c>
      <c r="AK601" s="47"/>
      <c r="AL601" s="48">
        <f>_xlfn.STDEV.S(AJ589:AJ598) / AVERAGE(AJ589:AJ598) * 100%</f>
        <v>5.6260704442447117E-3</v>
      </c>
      <c r="AM601" s="48">
        <f t="array" ref="AM601">MIN((AJ589:AJ598 - MIN(D589:D598,L589:L598,T589:T598,AB589:AB598,AJ589:AJ598))/MIN(D589:D598,L589:L598,T589:T598,AB589:AB598,AJ589:AJ598)*100%)</f>
        <v>1.5083651692794233E-2</v>
      </c>
      <c r="AN601" s="48">
        <f t="array" ref="AN601">AVERAGE((AJ589:AJ598 - MIN(D589:D598,L589:L598,T589:T598,AB589:AB598,AJ589:AJ598))/MIN(D589:D598,L589:L598,T589:T598,AB589:AB598,AJ589:AJ598)*100%)</f>
        <v>3.0108022658411344E-2</v>
      </c>
      <c r="AO601" s="44"/>
      <c r="AP601" s="51"/>
    </row>
    <row r="602" spans="1:42" ht="21" customHeight="1" thickTop="1" thickBot="1" x14ac:dyDescent="0.35">
      <c r="A602" s="64"/>
      <c r="B602" s="79"/>
      <c r="C602" s="53"/>
      <c r="D602" s="44"/>
      <c r="E602" s="44"/>
      <c r="F602" s="44"/>
      <c r="G602" s="44"/>
      <c r="H602" s="44"/>
      <c r="I602" s="44"/>
      <c r="J602" s="51"/>
      <c r="K602" s="53"/>
      <c r="L602" s="44"/>
      <c r="M602" s="44"/>
      <c r="N602" s="44"/>
      <c r="O602" s="44"/>
      <c r="P602" s="44"/>
      <c r="Q602" s="44"/>
      <c r="R602" s="51"/>
      <c r="S602" s="53"/>
      <c r="T602" s="44"/>
      <c r="U602" s="44"/>
      <c r="V602" s="44"/>
      <c r="W602" s="44"/>
      <c r="X602" s="44"/>
      <c r="Y602" s="44"/>
      <c r="Z602" s="51"/>
      <c r="AA602" s="53"/>
      <c r="AB602" s="44"/>
      <c r="AC602" s="44"/>
      <c r="AD602" s="44"/>
      <c r="AE602" s="44"/>
      <c r="AF602" s="44"/>
      <c r="AG602" s="44"/>
      <c r="AH602" s="51"/>
      <c r="AI602" s="53"/>
      <c r="AJ602" s="44"/>
      <c r="AK602" s="44"/>
      <c r="AL602" s="44"/>
      <c r="AM602" s="44"/>
      <c r="AN602" s="44"/>
      <c r="AO602" s="44"/>
      <c r="AP602" s="51"/>
    </row>
    <row r="603" spans="1:42" ht="14.5" customHeight="1" thickTop="1" x14ac:dyDescent="0.3"/>
  </sheetData>
  <mergeCells count="52">
    <mergeCell ref="A483:A602"/>
    <mergeCell ref="A1:A2"/>
    <mergeCell ref="AI1:AP2"/>
    <mergeCell ref="B453:B467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3"/>
  <sheetViews>
    <sheetView topLeftCell="A307" zoomScale="55" zoomScaleNormal="55" workbookViewId="0">
      <selection activeCell="I371" sqref="I371"/>
    </sheetView>
  </sheetViews>
  <sheetFormatPr defaultRowHeight="14" x14ac:dyDescent="0.3"/>
  <cols>
    <col min="2" max="2" width="27" customWidth="1"/>
    <col min="3" max="3" width="17.1640625" customWidth="1"/>
    <col min="4" max="4" width="17.33203125" bestFit="1" customWidth="1"/>
    <col min="5" max="5" width="19.6640625" bestFit="1" customWidth="1"/>
    <col min="6" max="6" width="38.4140625" bestFit="1" customWidth="1"/>
    <col min="7" max="7" width="18.58203125" bestFit="1" customWidth="1"/>
    <col min="8" max="8" width="8.25" customWidth="1"/>
    <col min="9" max="9" width="18.08203125" bestFit="1" customWidth="1"/>
    <col min="10" max="10" width="6.83203125" bestFit="1" customWidth="1"/>
    <col min="11" max="11" width="15.9140625" bestFit="1" customWidth="1"/>
    <col min="12" max="12" width="16" bestFit="1" customWidth="1"/>
    <col min="13" max="13" width="18.08203125" bestFit="1" customWidth="1"/>
    <col min="14" max="14" width="35.25" bestFit="1" customWidth="1"/>
    <col min="15" max="15" width="17.83203125" bestFit="1" customWidth="1"/>
    <col min="16" max="16" width="17.58203125" bestFit="1" customWidth="1"/>
    <col min="17" max="17" width="18.08203125" bestFit="1" customWidth="1"/>
    <col min="18" max="18" width="6.83203125" bestFit="1" customWidth="1"/>
    <col min="19" max="19" width="15.9140625" bestFit="1" customWidth="1"/>
    <col min="20" max="20" width="16" bestFit="1" customWidth="1"/>
    <col min="21" max="21" width="18.08203125" bestFit="1" customWidth="1"/>
    <col min="22" max="22" width="35.25" bestFit="1" customWidth="1"/>
    <col min="23" max="23" width="17.58203125" bestFit="1" customWidth="1"/>
    <col min="24" max="24" width="8.9140625" customWidth="1"/>
    <col min="25" max="25" width="18.08203125" bestFit="1" customWidth="1"/>
    <col min="26" max="26" width="6.83203125" bestFit="1" customWidth="1"/>
    <col min="27" max="27" width="15.9140625" bestFit="1" customWidth="1"/>
    <col min="28" max="28" width="16" bestFit="1" customWidth="1"/>
    <col min="29" max="29" width="18.08203125" bestFit="1" customWidth="1"/>
    <col min="30" max="30" width="35.25" bestFit="1" customWidth="1"/>
    <col min="31" max="31" width="17.83203125" bestFit="1" customWidth="1"/>
    <col min="32" max="32" width="14.5" customWidth="1"/>
    <col min="33" max="33" width="19.6640625" bestFit="1" customWidth="1"/>
    <col min="34" max="34" width="7.5" bestFit="1" customWidth="1"/>
    <col min="35" max="35" width="17.1640625" bestFit="1" customWidth="1"/>
    <col min="36" max="36" width="17.33203125" style="42" bestFit="1" customWidth="1"/>
    <col min="37" max="37" width="19.6640625" bestFit="1" customWidth="1"/>
    <col min="38" max="38" width="38.4140625" bestFit="1" customWidth="1"/>
    <col min="39" max="39" width="18.58203125" bestFit="1" customWidth="1"/>
    <col min="40" max="40" width="9.25" customWidth="1"/>
  </cols>
  <sheetData>
    <row r="1" spans="1:42" ht="15" customHeight="1" thickTop="1" thickBot="1" x14ac:dyDescent="0.35">
      <c r="A1" s="75" t="s">
        <v>25</v>
      </c>
      <c r="B1" s="74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5" customHeight="1" thickTop="1" thickBot="1" x14ac:dyDescent="0.35">
      <c r="A2" s="76"/>
      <c r="B2" s="66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65" t="s">
        <v>66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66"/>
      <c r="C4" s="52">
        <v>1</v>
      </c>
      <c r="D4" s="44">
        <v>218.91</v>
      </c>
      <c r="E4" s="44"/>
      <c r="F4" s="44"/>
      <c r="G4" s="44"/>
      <c r="H4" s="44"/>
      <c r="I4" s="44"/>
      <c r="J4" s="51"/>
      <c r="K4" s="52">
        <v>1</v>
      </c>
      <c r="L4" s="44">
        <v>218.79</v>
      </c>
      <c r="M4" s="44"/>
      <c r="N4" s="44"/>
      <c r="O4" s="44"/>
      <c r="P4" s="44"/>
      <c r="Q4" s="44"/>
      <c r="R4" s="51"/>
      <c r="S4" s="52">
        <v>1</v>
      </c>
      <c r="T4" s="44">
        <v>219.83</v>
      </c>
      <c r="U4" s="44"/>
      <c r="V4" s="44"/>
      <c r="W4" s="44"/>
      <c r="X4" s="44"/>
      <c r="Y4" s="44"/>
      <c r="Z4" s="51"/>
      <c r="AA4" s="52">
        <v>1</v>
      </c>
      <c r="AB4" s="44">
        <v>220.35</v>
      </c>
      <c r="AC4" s="44"/>
      <c r="AD4" s="44"/>
      <c r="AE4" s="44"/>
      <c r="AF4" s="44"/>
      <c r="AG4" s="44"/>
      <c r="AH4" s="51"/>
      <c r="AI4" s="52">
        <v>1</v>
      </c>
      <c r="AJ4" s="44">
        <v>220.25</v>
      </c>
      <c r="AK4" s="44"/>
      <c r="AL4" s="44"/>
      <c r="AM4" s="44"/>
      <c r="AN4" s="44"/>
      <c r="AO4" s="44"/>
      <c r="AP4" s="51"/>
    </row>
    <row r="5" spans="1:42" ht="21" customHeight="1" thickTop="1" thickBot="1" x14ac:dyDescent="0.35">
      <c r="A5" s="63"/>
      <c r="B5" s="66"/>
      <c r="C5" s="53">
        <v>2</v>
      </c>
      <c r="D5" s="45">
        <v>216.56</v>
      </c>
      <c r="E5" s="45"/>
      <c r="F5" s="45"/>
      <c r="G5" s="45"/>
      <c r="H5" s="45"/>
      <c r="I5" s="45"/>
      <c r="J5" s="51"/>
      <c r="K5" s="53">
        <v>2</v>
      </c>
      <c r="L5" s="45">
        <v>219.16</v>
      </c>
      <c r="M5" s="45"/>
      <c r="N5" s="45"/>
      <c r="O5" s="45"/>
      <c r="P5" s="45"/>
      <c r="Q5" s="45"/>
      <c r="R5" s="51"/>
      <c r="S5" s="53">
        <v>2</v>
      </c>
      <c r="T5" s="45">
        <v>222.97</v>
      </c>
      <c r="U5" s="45"/>
      <c r="V5" s="45"/>
      <c r="W5" s="45"/>
      <c r="X5" s="45"/>
      <c r="Y5" s="45"/>
      <c r="Z5" s="51"/>
      <c r="AA5" s="53">
        <v>2</v>
      </c>
      <c r="AB5" s="45">
        <v>219</v>
      </c>
      <c r="AC5" s="45"/>
      <c r="AD5" s="45"/>
      <c r="AE5" s="45"/>
      <c r="AF5" s="45"/>
      <c r="AG5" s="45"/>
      <c r="AH5" s="51"/>
      <c r="AI5" s="53">
        <v>2</v>
      </c>
      <c r="AJ5" s="45">
        <v>218.36</v>
      </c>
      <c r="AK5" s="45"/>
      <c r="AL5" s="45"/>
      <c r="AM5" s="45"/>
      <c r="AN5" s="45"/>
      <c r="AO5" s="45"/>
      <c r="AP5" s="51"/>
    </row>
    <row r="6" spans="1:42" ht="21" customHeight="1" thickTop="1" thickBot="1" x14ac:dyDescent="0.35">
      <c r="A6" s="63"/>
      <c r="B6" s="66"/>
      <c r="C6" s="53">
        <v>3</v>
      </c>
      <c r="D6" s="45">
        <v>217.3</v>
      </c>
      <c r="E6" s="45"/>
      <c r="F6" s="45"/>
      <c r="G6" s="44"/>
      <c r="H6" s="44"/>
      <c r="I6" s="44"/>
      <c r="J6" s="51"/>
      <c r="K6" s="53">
        <v>3</v>
      </c>
      <c r="L6" s="45">
        <v>220.53</v>
      </c>
      <c r="M6" s="45"/>
      <c r="N6" s="45"/>
      <c r="O6" s="44"/>
      <c r="P6" s="44"/>
      <c r="Q6" s="44"/>
      <c r="R6" s="51"/>
      <c r="S6" s="53">
        <v>3</v>
      </c>
      <c r="T6" s="45">
        <v>223.93</v>
      </c>
      <c r="U6" s="45"/>
      <c r="V6" s="45"/>
      <c r="W6" s="44"/>
      <c r="X6" s="44"/>
      <c r="Y6" s="44"/>
      <c r="Z6" s="51"/>
      <c r="AA6" s="53">
        <v>3</v>
      </c>
      <c r="AB6" s="45">
        <v>219.59</v>
      </c>
      <c r="AC6" s="45"/>
      <c r="AD6" s="45"/>
      <c r="AE6" s="44"/>
      <c r="AF6" s="44"/>
      <c r="AG6" s="44"/>
      <c r="AH6" s="51"/>
      <c r="AI6" s="53">
        <v>3</v>
      </c>
      <c r="AJ6" s="45">
        <v>220.43</v>
      </c>
      <c r="AK6" s="45"/>
      <c r="AL6" s="45"/>
      <c r="AM6" s="44"/>
      <c r="AN6" s="44"/>
      <c r="AO6" s="44"/>
      <c r="AP6" s="51"/>
    </row>
    <row r="7" spans="1:42" ht="21" customHeight="1" thickTop="1" thickBot="1" x14ac:dyDescent="0.35">
      <c r="A7" s="63"/>
      <c r="B7" s="66"/>
      <c r="C7" s="53">
        <v>4</v>
      </c>
      <c r="D7" s="45">
        <v>218.19</v>
      </c>
      <c r="E7" s="45"/>
      <c r="F7" s="45"/>
      <c r="G7" s="45"/>
      <c r="H7" s="45"/>
      <c r="I7" s="45"/>
      <c r="J7" s="51"/>
      <c r="K7" s="53">
        <v>4</v>
      </c>
      <c r="L7" s="45">
        <v>218.94</v>
      </c>
      <c r="M7" s="45"/>
      <c r="N7" s="45"/>
      <c r="O7" s="45"/>
      <c r="P7" s="45"/>
      <c r="Q7" s="45"/>
      <c r="R7" s="51"/>
      <c r="S7" s="53">
        <v>4</v>
      </c>
      <c r="T7" s="45">
        <v>222.12</v>
      </c>
      <c r="U7" s="45"/>
      <c r="V7" s="45"/>
      <c r="W7" s="45"/>
      <c r="X7" s="45"/>
      <c r="Y7" s="45"/>
      <c r="Z7" s="51"/>
      <c r="AA7" s="53">
        <v>4</v>
      </c>
      <c r="AB7" s="45">
        <v>222.1</v>
      </c>
      <c r="AC7" s="45"/>
      <c r="AD7" s="45"/>
      <c r="AE7" s="45"/>
      <c r="AF7" s="45"/>
      <c r="AG7" s="45"/>
      <c r="AH7" s="51"/>
      <c r="AI7" s="53">
        <v>4</v>
      </c>
      <c r="AJ7" s="45">
        <v>220.54</v>
      </c>
      <c r="AK7" s="45"/>
      <c r="AL7" s="45"/>
      <c r="AM7" s="45"/>
      <c r="AN7" s="45"/>
      <c r="AO7" s="45"/>
      <c r="AP7" s="51"/>
    </row>
    <row r="8" spans="1:42" ht="21" customHeight="1" thickTop="1" thickBot="1" x14ac:dyDescent="0.35">
      <c r="A8" s="63"/>
      <c r="B8" s="66"/>
      <c r="C8" s="53">
        <v>5</v>
      </c>
      <c r="D8" s="45">
        <v>218.28</v>
      </c>
      <c r="E8" s="45"/>
      <c r="F8" s="45"/>
      <c r="G8" s="45"/>
      <c r="H8" s="45"/>
      <c r="I8" s="45"/>
      <c r="J8" s="51"/>
      <c r="K8" s="53">
        <v>5</v>
      </c>
      <c r="L8" s="45">
        <v>219.84</v>
      </c>
      <c r="M8" s="45"/>
      <c r="N8" s="45"/>
      <c r="O8" s="45"/>
      <c r="P8" s="45"/>
      <c r="Q8" s="45"/>
      <c r="R8" s="51"/>
      <c r="S8" s="53">
        <v>5</v>
      </c>
      <c r="T8" s="45">
        <v>221.89</v>
      </c>
      <c r="U8" s="45"/>
      <c r="V8" s="45"/>
      <c r="W8" s="45"/>
      <c r="X8" s="45"/>
      <c r="Y8" s="45"/>
      <c r="Z8" s="51"/>
      <c r="AA8" s="53">
        <v>5</v>
      </c>
      <c r="AB8" s="45">
        <v>218.28</v>
      </c>
      <c r="AC8" s="45"/>
      <c r="AD8" s="45"/>
      <c r="AE8" s="45"/>
      <c r="AF8" s="45"/>
      <c r="AG8" s="45"/>
      <c r="AH8" s="51"/>
      <c r="AI8" s="53">
        <v>5</v>
      </c>
      <c r="AJ8" s="45">
        <v>219.37</v>
      </c>
      <c r="AK8" s="45"/>
      <c r="AL8" s="45"/>
      <c r="AM8" s="45"/>
      <c r="AN8" s="45"/>
      <c r="AO8" s="45"/>
      <c r="AP8" s="51"/>
    </row>
    <row r="9" spans="1:42" ht="21" customHeight="1" thickTop="1" thickBot="1" x14ac:dyDescent="0.35">
      <c r="A9" s="63"/>
      <c r="B9" s="66"/>
      <c r="C9" s="53">
        <v>6</v>
      </c>
      <c r="D9" s="45">
        <v>220.09</v>
      </c>
      <c r="E9" s="45"/>
      <c r="F9" s="45"/>
      <c r="G9" s="45"/>
      <c r="H9" s="45"/>
      <c r="I9" s="45"/>
      <c r="J9" s="51"/>
      <c r="K9" s="53">
        <v>6</v>
      </c>
      <c r="L9" s="45">
        <v>220.42</v>
      </c>
      <c r="M9" s="45"/>
      <c r="N9" s="45"/>
      <c r="O9" s="45"/>
      <c r="P9" s="45"/>
      <c r="Q9" s="45"/>
      <c r="R9" s="51"/>
      <c r="S9" s="53">
        <v>6</v>
      </c>
      <c r="T9" s="45">
        <v>222.1</v>
      </c>
      <c r="U9" s="45"/>
      <c r="V9" s="45"/>
      <c r="W9" s="45"/>
      <c r="X9" s="45"/>
      <c r="Y9" s="45"/>
      <c r="Z9" s="51"/>
      <c r="AA9" s="53">
        <v>6</v>
      </c>
      <c r="AB9" s="45">
        <v>219.76</v>
      </c>
      <c r="AC9" s="45"/>
      <c r="AD9" s="45"/>
      <c r="AE9" s="45"/>
      <c r="AF9" s="45"/>
      <c r="AG9" s="45"/>
      <c r="AH9" s="51"/>
      <c r="AI9" s="53">
        <v>6</v>
      </c>
      <c r="AJ9" s="45">
        <v>219.41</v>
      </c>
      <c r="AK9" s="45"/>
      <c r="AL9" s="45"/>
      <c r="AM9" s="45"/>
      <c r="AN9" s="45"/>
      <c r="AO9" s="45"/>
      <c r="AP9" s="51"/>
    </row>
    <row r="10" spans="1:42" ht="21" customHeight="1" thickTop="1" thickBot="1" x14ac:dyDescent="0.35">
      <c r="A10" s="63"/>
      <c r="B10" s="66"/>
      <c r="C10" s="53">
        <v>7</v>
      </c>
      <c r="D10" s="45">
        <v>219.83</v>
      </c>
      <c r="E10" s="45"/>
      <c r="F10" s="45"/>
      <c r="G10" s="45"/>
      <c r="H10" s="45"/>
      <c r="I10" s="45"/>
      <c r="J10" s="51"/>
      <c r="K10" s="53">
        <v>7</v>
      </c>
      <c r="L10" s="45">
        <v>220.53</v>
      </c>
      <c r="M10" s="45"/>
      <c r="N10" s="45"/>
      <c r="O10" s="45"/>
      <c r="P10" s="45"/>
      <c r="Q10" s="45"/>
      <c r="R10" s="51"/>
      <c r="S10" s="53">
        <v>7</v>
      </c>
      <c r="T10" s="45">
        <v>223.17</v>
      </c>
      <c r="U10" s="45"/>
      <c r="V10" s="45"/>
      <c r="W10" s="45"/>
      <c r="X10" s="45"/>
      <c r="Y10" s="45"/>
      <c r="Z10" s="51"/>
      <c r="AA10" s="53">
        <v>7</v>
      </c>
      <c r="AB10" s="45">
        <v>218.37</v>
      </c>
      <c r="AC10" s="45"/>
      <c r="AD10" s="45"/>
      <c r="AE10" s="45"/>
      <c r="AF10" s="45"/>
      <c r="AG10" s="45"/>
      <c r="AH10" s="51"/>
      <c r="AI10" s="53">
        <v>7</v>
      </c>
      <c r="AJ10" s="45">
        <v>219.42</v>
      </c>
      <c r="AK10" s="45"/>
      <c r="AL10" s="45"/>
      <c r="AM10" s="45"/>
      <c r="AN10" s="45"/>
      <c r="AO10" s="45"/>
      <c r="AP10" s="51"/>
    </row>
    <row r="11" spans="1:42" ht="21" customHeight="1" thickTop="1" thickBot="1" x14ac:dyDescent="0.35">
      <c r="A11" s="63"/>
      <c r="B11" s="66"/>
      <c r="C11" s="53">
        <v>8</v>
      </c>
      <c r="D11" s="45">
        <v>218.85</v>
      </c>
      <c r="E11" s="45"/>
      <c r="F11" s="45"/>
      <c r="G11" s="45"/>
      <c r="H11" s="45"/>
      <c r="I11" s="45"/>
      <c r="J11" s="51"/>
      <c r="K11" s="53">
        <v>8</v>
      </c>
      <c r="L11" s="45">
        <v>219.73</v>
      </c>
      <c r="M11" s="45"/>
      <c r="N11" s="45"/>
      <c r="O11" s="45"/>
      <c r="P11" s="45"/>
      <c r="Q11" s="45"/>
      <c r="R11" s="51"/>
      <c r="S11" s="53">
        <v>8</v>
      </c>
      <c r="T11" s="45">
        <v>219.62</v>
      </c>
      <c r="U11" s="45"/>
      <c r="V11" s="45"/>
      <c r="W11" s="45"/>
      <c r="X11" s="45"/>
      <c r="Y11" s="45"/>
      <c r="Z11" s="51"/>
      <c r="AA11" s="53">
        <v>8</v>
      </c>
      <c r="AB11" s="45">
        <v>219</v>
      </c>
      <c r="AC11" s="45"/>
      <c r="AD11" s="45"/>
      <c r="AE11" s="45"/>
      <c r="AF11" s="45"/>
      <c r="AG11" s="45"/>
      <c r="AH11" s="51"/>
      <c r="AI11" s="53">
        <v>8</v>
      </c>
      <c r="AJ11" s="45">
        <v>220.37</v>
      </c>
      <c r="AK11" s="45"/>
      <c r="AL11" s="45"/>
      <c r="AM11" s="45"/>
      <c r="AN11" s="45"/>
      <c r="AO11" s="45"/>
      <c r="AP11" s="51"/>
    </row>
    <row r="12" spans="1:42" ht="21" customHeight="1" thickTop="1" thickBot="1" x14ac:dyDescent="0.35">
      <c r="A12" s="63"/>
      <c r="B12" s="66"/>
      <c r="C12" s="53">
        <v>9</v>
      </c>
      <c r="D12" s="45">
        <v>219.71</v>
      </c>
      <c r="E12" s="45"/>
      <c r="F12" s="45"/>
      <c r="G12" s="45"/>
      <c r="H12" s="45"/>
      <c r="I12" s="45"/>
      <c r="J12" s="51"/>
      <c r="K12" s="53">
        <v>9</v>
      </c>
      <c r="L12" s="45">
        <v>219.76</v>
      </c>
      <c r="M12" s="45"/>
      <c r="N12" s="45"/>
      <c r="O12" s="45"/>
      <c r="P12" s="45"/>
      <c r="Q12" s="45"/>
      <c r="R12" s="51"/>
      <c r="S12" s="53">
        <v>9</v>
      </c>
      <c r="T12" s="45">
        <v>220.81</v>
      </c>
      <c r="U12" s="45"/>
      <c r="V12" s="45"/>
      <c r="W12" s="45"/>
      <c r="X12" s="45"/>
      <c r="Y12" s="45"/>
      <c r="Z12" s="51"/>
      <c r="AA12" s="53">
        <v>9</v>
      </c>
      <c r="AB12" s="45">
        <v>221.18</v>
      </c>
      <c r="AC12" s="45"/>
      <c r="AD12" s="45"/>
      <c r="AE12" s="45"/>
      <c r="AF12" s="45"/>
      <c r="AG12" s="45"/>
      <c r="AH12" s="51"/>
      <c r="AI12" s="53">
        <v>9</v>
      </c>
      <c r="AJ12" s="45">
        <v>220.39</v>
      </c>
      <c r="AK12" s="45"/>
      <c r="AL12" s="45"/>
      <c r="AM12" s="45"/>
      <c r="AN12" s="45"/>
      <c r="AO12" s="45"/>
      <c r="AP12" s="51"/>
    </row>
    <row r="13" spans="1:42" ht="21" customHeight="1" thickTop="1" thickBot="1" x14ac:dyDescent="0.35">
      <c r="A13" s="63"/>
      <c r="B13" s="66"/>
      <c r="C13" s="53">
        <v>10</v>
      </c>
      <c r="D13" s="45">
        <v>219.14</v>
      </c>
      <c r="E13" s="45"/>
      <c r="F13" s="45"/>
      <c r="G13" s="45"/>
      <c r="H13" s="45"/>
      <c r="I13" s="45"/>
      <c r="J13" s="51"/>
      <c r="K13" s="53">
        <v>10</v>
      </c>
      <c r="L13" s="45">
        <v>219.06</v>
      </c>
      <c r="M13" s="45"/>
      <c r="N13" s="45"/>
      <c r="O13" s="45"/>
      <c r="P13" s="45"/>
      <c r="Q13" s="45"/>
      <c r="R13" s="51"/>
      <c r="S13" s="53">
        <v>10</v>
      </c>
      <c r="T13" s="45">
        <v>220.03</v>
      </c>
      <c r="U13" s="45"/>
      <c r="V13" s="45"/>
      <c r="W13" s="45"/>
      <c r="X13" s="45"/>
      <c r="Y13" s="45"/>
      <c r="Z13" s="51"/>
      <c r="AA13" s="53">
        <v>10</v>
      </c>
      <c r="AB13" s="45">
        <v>221.25</v>
      </c>
      <c r="AC13" s="45"/>
      <c r="AD13" s="45"/>
      <c r="AE13" s="45"/>
      <c r="AF13" s="45"/>
      <c r="AG13" s="45"/>
      <c r="AH13" s="51"/>
      <c r="AI13" s="53">
        <v>10</v>
      </c>
      <c r="AJ13" s="45">
        <v>220.86</v>
      </c>
      <c r="AK13" s="45"/>
      <c r="AL13" s="45"/>
      <c r="AM13" s="45"/>
      <c r="AN13" s="45"/>
      <c r="AO13" s="45"/>
      <c r="AP13" s="51"/>
    </row>
    <row r="14" spans="1:42" ht="21" customHeight="1" thickTop="1" thickBot="1" x14ac:dyDescent="0.35">
      <c r="A14" s="63"/>
      <c r="B14" s="66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66"/>
      <c r="C15" s="54" t="s">
        <v>16</v>
      </c>
      <c r="D15" s="49">
        <f>MIN(D4:D13)</f>
        <v>216.56</v>
      </c>
      <c r="E15" s="45"/>
      <c r="F15" s="55" t="s">
        <v>17</v>
      </c>
      <c r="G15" s="49" t="s">
        <v>18</v>
      </c>
      <c r="H15" s="49" t="s">
        <v>19</v>
      </c>
      <c r="I15" s="45"/>
      <c r="J15" s="51"/>
      <c r="K15" s="54" t="s">
        <v>16</v>
      </c>
      <c r="L15" s="49">
        <f>MIN(L4:L13)</f>
        <v>218.79</v>
      </c>
      <c r="M15" s="45"/>
      <c r="N15" s="55" t="s">
        <v>17</v>
      </c>
      <c r="O15" s="49" t="s">
        <v>18</v>
      </c>
      <c r="P15" s="49" t="s">
        <v>19</v>
      </c>
      <c r="Q15" s="45"/>
      <c r="R15" s="51"/>
      <c r="S15" s="54" t="s">
        <v>16</v>
      </c>
      <c r="T15" s="49">
        <f>MIN(T4:T13)</f>
        <v>219.62</v>
      </c>
      <c r="U15" s="45"/>
      <c r="V15" s="55" t="s">
        <v>17</v>
      </c>
      <c r="W15" s="49" t="s">
        <v>18</v>
      </c>
      <c r="X15" s="49" t="s">
        <v>19</v>
      </c>
      <c r="Y15" s="45"/>
      <c r="Z15" s="51"/>
      <c r="AA15" s="54" t="s">
        <v>16</v>
      </c>
      <c r="AB15" s="49">
        <f>MIN(AB4:AB13)</f>
        <v>218.28</v>
      </c>
      <c r="AC15" s="45"/>
      <c r="AD15" s="55" t="s">
        <v>17</v>
      </c>
      <c r="AE15" s="49" t="s">
        <v>18</v>
      </c>
      <c r="AF15" s="49" t="s">
        <v>19</v>
      </c>
      <c r="AG15" s="45"/>
      <c r="AH15" s="51"/>
      <c r="AI15" s="54" t="s">
        <v>16</v>
      </c>
      <c r="AJ15" s="49">
        <f>MIN(AJ4:AJ13)</f>
        <v>218.36</v>
      </c>
      <c r="AK15" s="45"/>
      <c r="AL15" s="55" t="s">
        <v>17</v>
      </c>
      <c r="AM15" s="49" t="s">
        <v>18</v>
      </c>
      <c r="AN15" s="49" t="s">
        <v>19</v>
      </c>
      <c r="AO15" s="45"/>
      <c r="AP15" s="51"/>
    </row>
    <row r="16" spans="1:42" ht="21" customHeight="1" thickTop="1" thickBot="1" x14ac:dyDescent="0.35">
      <c r="A16" s="63"/>
      <c r="B16" s="66"/>
      <c r="C16" s="54" t="s">
        <v>20</v>
      </c>
      <c r="D16" s="48">
        <f>AVERAGE(D4:D13)</f>
        <v>218.68599999999998</v>
      </c>
      <c r="E16" s="47"/>
      <c r="F16" s="48">
        <f>_xlfn.STDEV.S(D4:D13) / AVERAGE(D4:D13) * 100%</f>
        <v>5.160778807001578E-3</v>
      </c>
      <c r="G16" s="48">
        <f t="array" ref="G16">MIN((D4:D13 - MIN(D4:D13,L4:L13,T4:T13,AB4:AB13,AJ4:AJ13))/MIN(D4:D13,L4:L13,T4:T13,AB4:AB13,AJ4:AJ13)*100%)</f>
        <v>0</v>
      </c>
      <c r="H16" s="48">
        <f t="array" ref="H16">AVERAGE((D4:D13 - MIN(D4:D13,L4:L13,T4:T13,AB4:AB13,AJ4:AJ13))/MIN(D4:D13,L4:L13,T4:T13,AB4:AB13,AJ4:AJ13)*100%)</f>
        <v>9.8171407462135166E-3</v>
      </c>
      <c r="I16" s="45"/>
      <c r="J16" s="51"/>
      <c r="K16" s="54" t="s">
        <v>20</v>
      </c>
      <c r="L16" s="48">
        <f>AVERAGE(L4:L13)</f>
        <v>219.67600000000002</v>
      </c>
      <c r="M16" s="47"/>
      <c r="N16" s="48">
        <f>_xlfn.STDEV.S(L4:L13) / AVERAGE(L4:L13) * 100%</f>
        <v>3.0428947431438264E-3</v>
      </c>
      <c r="O16" s="48">
        <f t="array" ref="O16">MIN((L4:L13 - MIN(D4:D13,L4:L13,T4:T13,AB4:AB13,AJ4:AJ13))/MIN(D4:D13,L4:L13,T4:T13,AB4:AB13,AJ4:AJ13)*100%)</f>
        <v>1.0297377170299177E-2</v>
      </c>
      <c r="P16" s="48">
        <f t="array" ref="P16">AVERAGE((L4:L13 - MIN(D4:D13,L4:L13,T4:T13,AB4:AB13,AJ4:AJ13))/MIN(D4:D13,L4:L13,T4:T13,AB4:AB13,AJ4:AJ13)*100%)</f>
        <v>1.4388622090875481E-2</v>
      </c>
      <c r="Q16" s="44"/>
      <c r="R16" s="51"/>
      <c r="S16" s="54" t="s">
        <v>20</v>
      </c>
      <c r="T16" s="48">
        <f>AVERAGE(T4:T13)</f>
        <v>221.64700000000002</v>
      </c>
      <c r="U16" s="47"/>
      <c r="V16" s="48">
        <f>_xlfn.STDEV.S(T4:T13) / AVERAGE(T4:T13) * 100%</f>
        <v>6.8084020386588902E-3</v>
      </c>
      <c r="W16" s="48">
        <f t="array" ref="W16">MIN((T4:T13 - MIN(D4:D13,L4:L13,T4:T13,AB4:AB13,AJ4:AJ13))/MIN(D4:D13,L4:L13,T4:T13,AB4:AB13,AJ4:AJ13)*100%)</f>
        <v>1.4130033247137063E-2</v>
      </c>
      <c r="X16" s="48">
        <f t="array" ref="X16">AVERAGE((T4:T13 - MIN(D4:D13,L4:L13,T4:T13,AB4:AB13,AJ4:AJ13))/MIN(D4:D13,L4:L13,T4:T13,AB4:AB13,AJ4:AJ13)*100%)</f>
        <v>2.3490025858884361E-2</v>
      </c>
      <c r="Y16" s="44"/>
      <c r="Z16" s="51"/>
      <c r="AA16" s="54" t="s">
        <v>20</v>
      </c>
      <c r="AB16" s="48">
        <f>AVERAGE(AB4:AB13)</f>
        <v>219.88800000000001</v>
      </c>
      <c r="AC16" s="47"/>
      <c r="AD16" s="48">
        <f>_xlfn.STDEV.S(AB4:AB13) / AVERAGE(AB4:AB13) * 100%</f>
        <v>5.9107323295413154E-3</v>
      </c>
      <c r="AE16" s="48">
        <f t="array" ref="AE16">MIN((AB4:AB13 - MIN(D4:D13,L4:L13,T4:T13,AB4:AB13,AJ4:AJ13))/MIN(D4:D13,L4:L13,T4:T13,AB4:AB13,AJ4:AJ13)*100%)</f>
        <v>7.9423716291097107E-3</v>
      </c>
      <c r="AF16" s="48">
        <f t="array" ref="AF16">AVERAGE((AB4:AB13 - MIN(D4:D13,L4:L13,T4:T13,AB4:AB13,AJ4:AJ13))/MIN(D4:D13,L4:L13,T4:T13,AB4:AB13,AJ4:AJ13)*100%)</f>
        <v>1.5367565570742505E-2</v>
      </c>
      <c r="AG16" s="44"/>
      <c r="AH16" s="51"/>
      <c r="AI16" s="54" t="s">
        <v>20</v>
      </c>
      <c r="AJ16" s="48">
        <f>AVERAGE(AJ4:AJ13)</f>
        <v>219.94</v>
      </c>
      <c r="AK16" s="47"/>
      <c r="AL16" s="48">
        <f>_xlfn.STDEV.S(AJ4:AJ13) / AVERAGE(AJ4:AJ13) * 100%</f>
        <v>3.4899480181309291E-3</v>
      </c>
      <c r="AM16" s="48">
        <f t="array" ref="AM16">MIN((AJ4:AJ13 - MIN(D4:D13,L4:L13,T4:T13,AB4:AB13,AJ4:AJ13))/MIN(D4:D13,L4:L13,T4:T13,AB4:AB13,AJ4:AJ13)*100%)</f>
        <v>8.3117842630218482E-3</v>
      </c>
      <c r="AN16" s="48">
        <f t="array" ref="AN16">AVERAGE((AJ4:AJ13 - MIN(D4:D13,L4:L13,T4:T13,AB4:AB13,AJ4:AJ13))/MIN(D4:D13,L4:L13,T4:T13,AB4:AB13,AJ4:AJ13)*100%)</f>
        <v>1.5607683782785365E-2</v>
      </c>
      <c r="AO16" s="44"/>
      <c r="AP16" s="51"/>
    </row>
    <row r="17" spans="1:42" ht="21" customHeight="1" thickTop="1" thickBot="1" x14ac:dyDescent="0.35">
      <c r="A17" s="63"/>
      <c r="B17" s="67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3"/>
      <c r="B18" s="65" t="s">
        <v>67</v>
      </c>
      <c r="C18" s="59" t="s">
        <v>8</v>
      </c>
      <c r="D18" s="46" t="s">
        <v>9</v>
      </c>
      <c r="E18" s="46" t="s">
        <v>10</v>
      </c>
      <c r="F18" s="46" t="s">
        <v>11</v>
      </c>
      <c r="G18" s="46" t="s">
        <v>12</v>
      </c>
      <c r="H18" s="46" t="s">
        <v>13</v>
      </c>
      <c r="I18" s="46" t="s">
        <v>14</v>
      </c>
      <c r="J18" s="60" t="s">
        <v>15</v>
      </c>
      <c r="K18" s="59" t="s">
        <v>8</v>
      </c>
      <c r="L18" s="46" t="s">
        <v>9</v>
      </c>
      <c r="M18" s="46" t="s">
        <v>10</v>
      </c>
      <c r="N18" s="46" t="s">
        <v>11</v>
      </c>
      <c r="O18" s="46" t="s">
        <v>12</v>
      </c>
      <c r="P18" s="46" t="s">
        <v>13</v>
      </c>
      <c r="Q18" s="46" t="s">
        <v>14</v>
      </c>
      <c r="R18" s="60" t="s">
        <v>15</v>
      </c>
      <c r="S18" s="59" t="s">
        <v>8</v>
      </c>
      <c r="T18" s="46" t="s">
        <v>9</v>
      </c>
      <c r="U18" s="46" t="s">
        <v>10</v>
      </c>
      <c r="V18" s="46" t="s">
        <v>11</v>
      </c>
      <c r="W18" s="46" t="s">
        <v>12</v>
      </c>
      <c r="X18" s="46" t="s">
        <v>13</v>
      </c>
      <c r="Y18" s="46" t="s">
        <v>14</v>
      </c>
      <c r="Z18" s="60" t="s">
        <v>15</v>
      </c>
      <c r="AA18" s="59" t="s">
        <v>8</v>
      </c>
      <c r="AB18" s="46" t="s">
        <v>9</v>
      </c>
      <c r="AC18" s="46" t="s">
        <v>10</v>
      </c>
      <c r="AD18" s="46" t="s">
        <v>11</v>
      </c>
      <c r="AE18" s="46" t="s">
        <v>12</v>
      </c>
      <c r="AF18" s="46" t="s">
        <v>13</v>
      </c>
      <c r="AG18" s="46" t="s">
        <v>14</v>
      </c>
      <c r="AH18" s="60" t="s">
        <v>15</v>
      </c>
      <c r="AI18" s="59" t="s">
        <v>8</v>
      </c>
      <c r="AJ18" s="46" t="s">
        <v>9</v>
      </c>
      <c r="AK18" s="46" t="s">
        <v>10</v>
      </c>
      <c r="AL18" s="46" t="s">
        <v>11</v>
      </c>
      <c r="AM18" s="46" t="s">
        <v>12</v>
      </c>
      <c r="AN18" s="46" t="s">
        <v>13</v>
      </c>
      <c r="AO18" s="46" t="s">
        <v>14</v>
      </c>
      <c r="AP18" s="60" t="s">
        <v>15</v>
      </c>
    </row>
    <row r="19" spans="1:42" ht="21" customHeight="1" thickTop="1" thickBot="1" x14ac:dyDescent="0.35">
      <c r="A19" s="63"/>
      <c r="B19" s="66"/>
      <c r="C19" s="52">
        <v>1</v>
      </c>
      <c r="D19" s="44">
        <v>238.19</v>
      </c>
      <c r="E19" s="44"/>
      <c r="F19" s="44"/>
      <c r="G19" s="44"/>
      <c r="H19" s="44"/>
      <c r="I19" s="44"/>
      <c r="J19" s="51"/>
      <c r="K19" s="52">
        <v>1</v>
      </c>
      <c r="L19" s="44">
        <v>240.24</v>
      </c>
      <c r="M19" s="44"/>
      <c r="N19" s="44"/>
      <c r="O19" s="44"/>
      <c r="P19" s="44"/>
      <c r="Q19" s="44"/>
      <c r="R19" s="51"/>
      <c r="S19" s="52">
        <v>1</v>
      </c>
      <c r="T19" s="44">
        <v>243.43</v>
      </c>
      <c r="U19" s="44"/>
      <c r="V19" s="44"/>
      <c r="W19" s="44"/>
      <c r="X19" s="44"/>
      <c r="Y19" s="44"/>
      <c r="Z19" s="51"/>
      <c r="AA19" s="52">
        <v>1</v>
      </c>
      <c r="AB19" s="44">
        <v>240.39</v>
      </c>
      <c r="AC19" s="44"/>
      <c r="AD19" s="44"/>
      <c r="AE19" s="44"/>
      <c r="AF19" s="44"/>
      <c r="AG19" s="44"/>
      <c r="AH19" s="51"/>
      <c r="AI19" s="52">
        <v>1</v>
      </c>
      <c r="AJ19" s="44">
        <v>241.77</v>
      </c>
      <c r="AK19" s="44"/>
      <c r="AL19" s="44"/>
      <c r="AM19" s="44"/>
      <c r="AN19" s="44"/>
      <c r="AO19" s="44"/>
      <c r="AP19" s="51"/>
    </row>
    <row r="20" spans="1:42" ht="21" customHeight="1" thickTop="1" thickBot="1" x14ac:dyDescent="0.35">
      <c r="A20" s="63"/>
      <c r="B20" s="66"/>
      <c r="C20" s="53">
        <v>2</v>
      </c>
      <c r="D20" s="45">
        <v>240.62</v>
      </c>
      <c r="E20" s="45"/>
      <c r="F20" s="45"/>
      <c r="G20" s="45"/>
      <c r="H20" s="45"/>
      <c r="I20" s="45"/>
      <c r="J20" s="51"/>
      <c r="K20" s="53">
        <v>2</v>
      </c>
      <c r="L20" s="45">
        <v>241.1</v>
      </c>
      <c r="M20" s="45"/>
      <c r="N20" s="45"/>
      <c r="O20" s="45"/>
      <c r="P20" s="45"/>
      <c r="Q20" s="45"/>
      <c r="R20" s="51"/>
      <c r="S20" s="53">
        <v>2</v>
      </c>
      <c r="T20" s="45">
        <v>242.99</v>
      </c>
      <c r="U20" s="45"/>
      <c r="V20" s="45"/>
      <c r="W20" s="45"/>
      <c r="X20" s="45"/>
      <c r="Y20" s="45"/>
      <c r="Z20" s="51"/>
      <c r="AA20" s="53">
        <v>2</v>
      </c>
      <c r="AB20" s="45">
        <v>242.36</v>
      </c>
      <c r="AC20" s="45"/>
      <c r="AD20" s="45"/>
      <c r="AE20" s="45"/>
      <c r="AF20" s="45"/>
      <c r="AG20" s="45"/>
      <c r="AH20" s="51"/>
      <c r="AI20" s="53">
        <v>2</v>
      </c>
      <c r="AJ20" s="45">
        <v>241.36</v>
      </c>
      <c r="AK20" s="45"/>
      <c r="AL20" s="45"/>
      <c r="AM20" s="45"/>
      <c r="AN20" s="45"/>
      <c r="AO20" s="45"/>
      <c r="AP20" s="51"/>
    </row>
    <row r="21" spans="1:42" ht="21" customHeight="1" thickTop="1" thickBot="1" x14ac:dyDescent="0.35">
      <c r="A21" s="63"/>
      <c r="B21" s="66"/>
      <c r="C21" s="53">
        <v>3</v>
      </c>
      <c r="D21" s="45">
        <v>239.13</v>
      </c>
      <c r="E21" s="45"/>
      <c r="F21" s="45"/>
      <c r="G21" s="44"/>
      <c r="H21" s="44"/>
      <c r="I21" s="44"/>
      <c r="J21" s="51"/>
      <c r="K21" s="53">
        <v>3</v>
      </c>
      <c r="L21" s="45">
        <v>241.47</v>
      </c>
      <c r="M21" s="45"/>
      <c r="N21" s="45"/>
      <c r="O21" s="44"/>
      <c r="P21" s="44"/>
      <c r="Q21" s="44"/>
      <c r="R21" s="51"/>
      <c r="S21" s="53">
        <v>3</v>
      </c>
      <c r="T21" s="45">
        <v>241.97</v>
      </c>
      <c r="U21" s="45"/>
      <c r="V21" s="45"/>
      <c r="W21" s="44"/>
      <c r="X21" s="44"/>
      <c r="Y21" s="44"/>
      <c r="Z21" s="51"/>
      <c r="AA21" s="53">
        <v>3</v>
      </c>
      <c r="AB21" s="45">
        <v>240.96</v>
      </c>
      <c r="AC21" s="45"/>
      <c r="AD21" s="45"/>
      <c r="AE21" s="44"/>
      <c r="AF21" s="44"/>
      <c r="AG21" s="44"/>
      <c r="AH21" s="51"/>
      <c r="AI21" s="53">
        <v>3</v>
      </c>
      <c r="AJ21" s="45">
        <v>241.85</v>
      </c>
      <c r="AK21" s="45"/>
      <c r="AL21" s="45"/>
      <c r="AM21" s="44"/>
      <c r="AN21" s="44"/>
      <c r="AO21" s="44"/>
      <c r="AP21" s="51"/>
    </row>
    <row r="22" spans="1:42" ht="21" customHeight="1" thickTop="1" thickBot="1" x14ac:dyDescent="0.35">
      <c r="A22" s="63"/>
      <c r="B22" s="66"/>
      <c r="C22" s="53">
        <v>4</v>
      </c>
      <c r="D22" s="45">
        <v>239.66</v>
      </c>
      <c r="E22" s="45"/>
      <c r="F22" s="45"/>
      <c r="G22" s="45"/>
      <c r="H22" s="45"/>
      <c r="I22" s="45"/>
      <c r="J22" s="51"/>
      <c r="K22" s="53">
        <v>4</v>
      </c>
      <c r="L22" s="45">
        <v>241.68</v>
      </c>
      <c r="M22" s="45"/>
      <c r="N22" s="45"/>
      <c r="O22" s="45"/>
      <c r="P22" s="45"/>
      <c r="Q22" s="45"/>
      <c r="R22" s="51"/>
      <c r="S22" s="53">
        <v>4</v>
      </c>
      <c r="T22" s="45">
        <v>242.08</v>
      </c>
      <c r="U22" s="45"/>
      <c r="V22" s="45"/>
      <c r="W22" s="45"/>
      <c r="X22" s="45"/>
      <c r="Y22" s="45"/>
      <c r="Z22" s="51"/>
      <c r="AA22" s="53">
        <v>4</v>
      </c>
      <c r="AB22" s="45">
        <v>240.87</v>
      </c>
      <c r="AC22" s="45"/>
      <c r="AD22" s="45"/>
      <c r="AE22" s="45"/>
      <c r="AF22" s="45"/>
      <c r="AG22" s="45"/>
      <c r="AH22" s="51"/>
      <c r="AI22" s="53">
        <v>4</v>
      </c>
      <c r="AJ22" s="45">
        <v>242.26</v>
      </c>
      <c r="AK22" s="45"/>
      <c r="AL22" s="45"/>
      <c r="AM22" s="45"/>
      <c r="AN22" s="45"/>
      <c r="AO22" s="45"/>
      <c r="AP22" s="51"/>
    </row>
    <row r="23" spans="1:42" ht="21" customHeight="1" thickTop="1" thickBot="1" x14ac:dyDescent="0.35">
      <c r="A23" s="63"/>
      <c r="B23" s="66"/>
      <c r="C23" s="53">
        <v>5</v>
      </c>
      <c r="D23" s="45">
        <v>239.84</v>
      </c>
      <c r="E23" s="45"/>
      <c r="F23" s="45"/>
      <c r="G23" s="45"/>
      <c r="H23" s="45"/>
      <c r="I23" s="45"/>
      <c r="J23" s="51"/>
      <c r="K23" s="53">
        <v>5</v>
      </c>
      <c r="L23" s="45">
        <v>240.16</v>
      </c>
      <c r="M23" s="45"/>
      <c r="N23" s="45"/>
      <c r="O23" s="45"/>
      <c r="P23" s="45"/>
      <c r="Q23" s="45"/>
      <c r="R23" s="51"/>
      <c r="S23" s="53">
        <v>5</v>
      </c>
      <c r="T23" s="45">
        <v>242.57</v>
      </c>
      <c r="U23" s="45"/>
      <c r="V23" s="45"/>
      <c r="W23" s="45"/>
      <c r="X23" s="45"/>
      <c r="Y23" s="45"/>
      <c r="Z23" s="51"/>
      <c r="AA23" s="53">
        <v>5</v>
      </c>
      <c r="AB23" s="45">
        <v>243.36</v>
      </c>
      <c r="AC23" s="45"/>
      <c r="AD23" s="45"/>
      <c r="AE23" s="45"/>
      <c r="AF23" s="45"/>
      <c r="AG23" s="45"/>
      <c r="AH23" s="51"/>
      <c r="AI23" s="53">
        <v>5</v>
      </c>
      <c r="AJ23" s="45">
        <v>241.4</v>
      </c>
      <c r="AK23" s="45"/>
      <c r="AL23" s="45"/>
      <c r="AM23" s="45"/>
      <c r="AN23" s="45"/>
      <c r="AO23" s="45"/>
      <c r="AP23" s="51"/>
    </row>
    <row r="24" spans="1:42" ht="21" customHeight="1" thickTop="1" thickBot="1" x14ac:dyDescent="0.35">
      <c r="A24" s="63"/>
      <c r="B24" s="66"/>
      <c r="C24" s="53">
        <v>6</v>
      </c>
      <c r="D24" s="45">
        <v>238.58</v>
      </c>
      <c r="E24" s="45"/>
      <c r="F24" s="45"/>
      <c r="G24" s="45"/>
      <c r="H24" s="45"/>
      <c r="I24" s="45"/>
      <c r="J24" s="51"/>
      <c r="K24" s="53">
        <v>6</v>
      </c>
      <c r="L24" s="45">
        <v>242.04</v>
      </c>
      <c r="M24" s="45"/>
      <c r="N24" s="45"/>
      <c r="O24" s="45"/>
      <c r="P24" s="45"/>
      <c r="Q24" s="45"/>
      <c r="R24" s="51"/>
      <c r="S24" s="53">
        <v>6</v>
      </c>
      <c r="T24" s="45">
        <v>242.1</v>
      </c>
      <c r="U24" s="45"/>
      <c r="V24" s="45"/>
      <c r="W24" s="45"/>
      <c r="X24" s="45"/>
      <c r="Y24" s="45"/>
      <c r="Z24" s="51"/>
      <c r="AA24" s="53">
        <v>6</v>
      </c>
      <c r="AB24" s="45">
        <v>240.54</v>
      </c>
      <c r="AC24" s="45"/>
      <c r="AD24" s="45"/>
      <c r="AE24" s="45"/>
      <c r="AF24" s="45"/>
      <c r="AG24" s="45"/>
      <c r="AH24" s="51"/>
      <c r="AI24" s="53">
        <v>6</v>
      </c>
      <c r="AJ24" s="45">
        <v>241.36</v>
      </c>
      <c r="AK24" s="45"/>
      <c r="AL24" s="45"/>
      <c r="AM24" s="45"/>
      <c r="AN24" s="45"/>
      <c r="AO24" s="45"/>
      <c r="AP24" s="51"/>
    </row>
    <row r="25" spans="1:42" ht="21" customHeight="1" thickTop="1" thickBot="1" x14ac:dyDescent="0.35">
      <c r="A25" s="63"/>
      <c r="B25" s="66"/>
      <c r="C25" s="53">
        <v>7</v>
      </c>
      <c r="D25" s="45">
        <v>238.57</v>
      </c>
      <c r="E25" s="45"/>
      <c r="F25" s="45"/>
      <c r="G25" s="45"/>
      <c r="H25" s="45"/>
      <c r="I25" s="45"/>
      <c r="J25" s="51"/>
      <c r="K25" s="53">
        <v>7</v>
      </c>
      <c r="L25" s="45">
        <v>241.03</v>
      </c>
      <c r="M25" s="45"/>
      <c r="N25" s="45"/>
      <c r="O25" s="45"/>
      <c r="P25" s="45"/>
      <c r="Q25" s="45"/>
      <c r="R25" s="51"/>
      <c r="S25" s="53">
        <v>7</v>
      </c>
      <c r="T25" s="45">
        <v>242.63</v>
      </c>
      <c r="U25" s="45"/>
      <c r="V25" s="45"/>
      <c r="W25" s="45"/>
      <c r="X25" s="45"/>
      <c r="Y25" s="45"/>
      <c r="Z25" s="51"/>
      <c r="AA25" s="53">
        <v>7</v>
      </c>
      <c r="AB25" s="45">
        <v>241.25</v>
      </c>
      <c r="AC25" s="45"/>
      <c r="AD25" s="45"/>
      <c r="AE25" s="45"/>
      <c r="AF25" s="45"/>
      <c r="AG25" s="45"/>
      <c r="AH25" s="51"/>
      <c r="AI25" s="53">
        <v>7</v>
      </c>
      <c r="AJ25" s="45">
        <v>241.69</v>
      </c>
      <c r="AK25" s="45"/>
      <c r="AL25" s="45"/>
      <c r="AM25" s="45"/>
      <c r="AN25" s="45"/>
      <c r="AO25" s="45"/>
      <c r="AP25" s="51"/>
    </row>
    <row r="26" spans="1:42" ht="21" customHeight="1" thickTop="1" thickBot="1" x14ac:dyDescent="0.35">
      <c r="A26" s="63"/>
      <c r="B26" s="66"/>
      <c r="C26" s="53">
        <v>8</v>
      </c>
      <c r="D26" s="45">
        <v>240.87</v>
      </c>
      <c r="E26" s="45"/>
      <c r="F26" s="45"/>
      <c r="G26" s="45"/>
      <c r="H26" s="45"/>
      <c r="I26" s="45"/>
      <c r="J26" s="51"/>
      <c r="K26" s="53">
        <v>8</v>
      </c>
      <c r="L26" s="45">
        <v>240.83</v>
      </c>
      <c r="M26" s="45"/>
      <c r="N26" s="45"/>
      <c r="O26" s="45"/>
      <c r="P26" s="45"/>
      <c r="Q26" s="45"/>
      <c r="R26" s="51"/>
      <c r="S26" s="53">
        <v>8</v>
      </c>
      <c r="T26" s="45">
        <v>241.74</v>
      </c>
      <c r="U26" s="45"/>
      <c r="V26" s="45"/>
      <c r="W26" s="45"/>
      <c r="X26" s="45"/>
      <c r="Y26" s="45"/>
      <c r="Z26" s="51"/>
      <c r="AA26" s="53">
        <v>8</v>
      </c>
      <c r="AB26" s="45">
        <v>241.51</v>
      </c>
      <c r="AC26" s="45"/>
      <c r="AD26" s="45"/>
      <c r="AE26" s="45"/>
      <c r="AF26" s="45"/>
      <c r="AG26" s="45"/>
      <c r="AH26" s="51"/>
      <c r="AI26" s="53">
        <v>8</v>
      </c>
      <c r="AJ26" s="45">
        <v>241.26</v>
      </c>
      <c r="AK26" s="45"/>
      <c r="AL26" s="45"/>
      <c r="AM26" s="45"/>
      <c r="AN26" s="45"/>
      <c r="AO26" s="45"/>
      <c r="AP26" s="51"/>
    </row>
    <row r="27" spans="1:42" ht="21" customHeight="1" thickTop="1" thickBot="1" x14ac:dyDescent="0.35">
      <c r="A27" s="63"/>
      <c r="B27" s="66"/>
      <c r="C27" s="53">
        <v>9</v>
      </c>
      <c r="D27" s="45">
        <v>239.14</v>
      </c>
      <c r="E27" s="45"/>
      <c r="F27" s="45"/>
      <c r="G27" s="45"/>
      <c r="H27" s="45"/>
      <c r="I27" s="45"/>
      <c r="J27" s="51"/>
      <c r="K27" s="53">
        <v>9</v>
      </c>
      <c r="L27" s="45">
        <v>239.98</v>
      </c>
      <c r="M27" s="45"/>
      <c r="N27" s="45"/>
      <c r="O27" s="45"/>
      <c r="P27" s="45"/>
      <c r="Q27" s="45"/>
      <c r="R27" s="51"/>
      <c r="S27" s="53">
        <v>9</v>
      </c>
      <c r="T27" s="45">
        <v>243.43</v>
      </c>
      <c r="U27" s="45"/>
      <c r="V27" s="45"/>
      <c r="W27" s="45"/>
      <c r="X27" s="45"/>
      <c r="Y27" s="45"/>
      <c r="Z27" s="51"/>
      <c r="AA27" s="53">
        <v>9</v>
      </c>
      <c r="AB27" s="45">
        <v>242.21</v>
      </c>
      <c r="AC27" s="45"/>
      <c r="AD27" s="45"/>
      <c r="AE27" s="45"/>
      <c r="AF27" s="45"/>
      <c r="AG27" s="45"/>
      <c r="AH27" s="51"/>
      <c r="AI27" s="53">
        <v>9</v>
      </c>
      <c r="AJ27" s="45">
        <v>241.7</v>
      </c>
      <c r="AK27" s="45"/>
      <c r="AL27" s="45"/>
      <c r="AM27" s="45"/>
      <c r="AN27" s="45"/>
      <c r="AO27" s="45"/>
      <c r="AP27" s="51"/>
    </row>
    <row r="28" spans="1:42" ht="21" customHeight="1" thickTop="1" thickBot="1" x14ac:dyDescent="0.35">
      <c r="A28" s="63"/>
      <c r="B28" s="66"/>
      <c r="C28" s="53">
        <v>10</v>
      </c>
      <c r="D28" s="45">
        <v>240.28</v>
      </c>
      <c r="E28" s="45"/>
      <c r="F28" s="45"/>
      <c r="G28" s="45"/>
      <c r="H28" s="45"/>
      <c r="I28" s="45"/>
      <c r="J28" s="51"/>
      <c r="K28" s="53">
        <v>10</v>
      </c>
      <c r="L28" s="45">
        <v>239.59</v>
      </c>
      <c r="M28" s="45"/>
      <c r="N28" s="45"/>
      <c r="O28" s="45"/>
      <c r="P28" s="45"/>
      <c r="Q28" s="45"/>
      <c r="R28" s="51"/>
      <c r="S28" s="53">
        <v>10</v>
      </c>
      <c r="T28" s="45">
        <v>241.71</v>
      </c>
      <c r="U28" s="45"/>
      <c r="V28" s="45"/>
      <c r="W28" s="45"/>
      <c r="X28" s="45"/>
      <c r="Y28" s="45"/>
      <c r="Z28" s="51"/>
      <c r="AA28" s="53">
        <v>10</v>
      </c>
      <c r="AB28" s="45">
        <v>241.85</v>
      </c>
      <c r="AC28" s="45"/>
      <c r="AD28" s="45"/>
      <c r="AE28" s="45"/>
      <c r="AF28" s="45"/>
      <c r="AG28" s="45"/>
      <c r="AH28" s="51"/>
      <c r="AI28" s="53">
        <v>10</v>
      </c>
      <c r="AJ28" s="45">
        <v>241.01</v>
      </c>
      <c r="AK28" s="45"/>
      <c r="AL28" s="45"/>
      <c r="AM28" s="45"/>
      <c r="AN28" s="45"/>
      <c r="AO28" s="45"/>
      <c r="AP28" s="51"/>
    </row>
    <row r="29" spans="1:42" ht="21" customHeight="1" thickTop="1" thickBot="1" x14ac:dyDescent="0.35">
      <c r="A29" s="63"/>
      <c r="B29" s="66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66"/>
      <c r="C30" s="54" t="s">
        <v>16</v>
      </c>
      <c r="D30" s="49">
        <f>MIN(D19:D28)</f>
        <v>238.19</v>
      </c>
      <c r="E30" s="45"/>
      <c r="F30" s="55" t="s">
        <v>17</v>
      </c>
      <c r="G30" s="49" t="s">
        <v>18</v>
      </c>
      <c r="H30" s="49" t="s">
        <v>19</v>
      </c>
      <c r="I30" s="45"/>
      <c r="J30" s="51"/>
      <c r="K30" s="54" t="s">
        <v>16</v>
      </c>
      <c r="L30" s="49">
        <f>MIN(L19:L28)</f>
        <v>239.59</v>
      </c>
      <c r="M30" s="45"/>
      <c r="N30" s="55" t="s">
        <v>17</v>
      </c>
      <c r="O30" s="49" t="s">
        <v>18</v>
      </c>
      <c r="P30" s="49" t="s">
        <v>19</v>
      </c>
      <c r="Q30" s="45"/>
      <c r="R30" s="51"/>
      <c r="S30" s="54" t="s">
        <v>16</v>
      </c>
      <c r="T30" s="49">
        <f>MIN(T19:T28)</f>
        <v>241.71</v>
      </c>
      <c r="U30" s="45"/>
      <c r="V30" s="55" t="s">
        <v>17</v>
      </c>
      <c r="W30" s="49" t="s">
        <v>18</v>
      </c>
      <c r="X30" s="49" t="s">
        <v>19</v>
      </c>
      <c r="Y30" s="45"/>
      <c r="Z30" s="51"/>
      <c r="AA30" s="54" t="s">
        <v>16</v>
      </c>
      <c r="AB30" s="49">
        <f>MIN(AB19:AB28)</f>
        <v>240.39</v>
      </c>
      <c r="AC30" s="45"/>
      <c r="AD30" s="55" t="s">
        <v>17</v>
      </c>
      <c r="AE30" s="49" t="s">
        <v>18</v>
      </c>
      <c r="AF30" s="49" t="s">
        <v>19</v>
      </c>
      <c r="AG30" s="45"/>
      <c r="AH30" s="51"/>
      <c r="AI30" s="54" t="s">
        <v>16</v>
      </c>
      <c r="AJ30" s="49">
        <f>MIN(AJ19:AJ28)</f>
        <v>241.01</v>
      </c>
      <c r="AK30" s="45"/>
      <c r="AL30" s="55" t="s">
        <v>17</v>
      </c>
      <c r="AM30" s="49" t="s">
        <v>18</v>
      </c>
      <c r="AN30" s="49" t="s">
        <v>19</v>
      </c>
      <c r="AO30" s="45"/>
      <c r="AP30" s="51"/>
    </row>
    <row r="31" spans="1:42" ht="21" customHeight="1" thickTop="1" thickBot="1" x14ac:dyDescent="0.35">
      <c r="A31" s="63"/>
      <c r="B31" s="66"/>
      <c r="C31" s="54" t="s">
        <v>20</v>
      </c>
      <c r="D31" s="48">
        <f>AVERAGE(D19:D28)</f>
        <v>239.488</v>
      </c>
      <c r="E31" s="47"/>
      <c r="F31" s="48">
        <f>_xlfn.STDEV.S(D19:D28) / AVERAGE(D19:D28) * 100%</f>
        <v>3.8303573137762571E-3</v>
      </c>
      <c r="G31" s="48">
        <f t="array" ref="G31">MIN((D19:D28 - MIN(D19:D28,L19:L28,T19:T28,AB19:AB28,AJ19:AJ28))/MIN(D19:D28,L19:L28,T19:T28,AB19:AB28,AJ19:AJ28)*100%)</f>
        <v>0</v>
      </c>
      <c r="H31" s="48">
        <f t="array" ref="H31">AVERAGE((D19:D28 - MIN(D19:D28,L19:L28,T19:T28,AB19:AB28,AJ19:AJ28))/MIN(D19:D28,L19:L28,T19:T28,AB19:AB28,AJ19:AJ28)*100%)</f>
        <v>5.4494311264116965E-3</v>
      </c>
      <c r="I31" s="45"/>
      <c r="J31" s="51"/>
      <c r="K31" s="54" t="s">
        <v>20</v>
      </c>
      <c r="L31" s="48">
        <f>AVERAGE(L19:L28)</f>
        <v>240.81199999999998</v>
      </c>
      <c r="M31" s="47"/>
      <c r="N31" s="48">
        <f>_xlfn.STDEV.S(L19:L28) / AVERAGE(L19:L28) * 100%</f>
        <v>3.3229470672315304E-3</v>
      </c>
      <c r="O31" s="48">
        <f t="array" ref="O31">MIN((L19:L28 - MIN(D19:D28,L19:L28,T19:T28,AB19:AB28,AJ19:AJ28))/MIN(D19:D28,L19:L28,T19:T28,AB19:AB28,AJ19:AJ28)*100%)</f>
        <v>5.8776606910449884E-3</v>
      </c>
      <c r="P31" s="48">
        <f t="array" ref="P31">AVERAGE((L19:L28 - MIN(D19:D28,L19:L28,T19:T28,AB19:AB28,AJ19:AJ28))/MIN(D19:D28,L19:L28,T19:T28,AB19:AB28,AJ19:AJ28)*100%)</f>
        <v>1.1008018808514226E-2</v>
      </c>
      <c r="Q31" s="44"/>
      <c r="R31" s="51"/>
      <c r="S31" s="54" t="s">
        <v>20</v>
      </c>
      <c r="T31" s="48">
        <f>AVERAGE(T19:T28)</f>
        <v>242.465</v>
      </c>
      <c r="U31" s="47"/>
      <c r="V31" s="48">
        <f>_xlfn.STDEV.S(T19:T28) / AVERAGE(T19:T28) * 100%</f>
        <v>2.6793712656819997E-3</v>
      </c>
      <c r="W31" s="48">
        <f t="array" ref="W31">MIN((T19:T28 - MIN(D19:D28,L19:L28,T19:T28,AB19:AB28,AJ19:AJ28))/MIN(D19:D28,L19:L28,T19:T28,AB19:AB28,AJ19:AJ28)*100%)</f>
        <v>1.4778118308913096E-2</v>
      </c>
      <c r="X31" s="48">
        <f t="array" ref="X31">AVERAGE((T19:T28 - MIN(D19:D28,L19:L28,T19:T28,AB19:AB28,AJ19:AJ28))/MIN(D19:D28,L19:L28,T19:T28,AB19:AB28,AJ19:AJ28)*100%)</f>
        <v>1.7947856753012324E-2</v>
      </c>
      <c r="Y31" s="44"/>
      <c r="Z31" s="51"/>
      <c r="AA31" s="54" t="s">
        <v>20</v>
      </c>
      <c r="AB31" s="48">
        <f>AVERAGE(AB19:AB28)</f>
        <v>241.52999999999997</v>
      </c>
      <c r="AC31" s="47"/>
      <c r="AD31" s="48">
        <f>_xlfn.STDEV.S(AB19:AB28) / AVERAGE(AB19:AB28) * 100%</f>
        <v>3.8349641994415676E-3</v>
      </c>
      <c r="AE31" s="48">
        <f t="array" ref="AE31">MIN((AB19:AB28 - MIN(D19:D28,L19:L28,T19:T28,AB19:AB28,AJ19:AJ28))/MIN(D19:D28,L19:L28,T19:T28,AB19:AB28,AJ19:AJ28)*100%)</f>
        <v>9.2363239430706106E-3</v>
      </c>
      <c r="AF31" s="48">
        <f t="array" ref="AF31">AVERAGE((AB19:AB28 - MIN(D19:D28,L19:L28,T19:T28,AB19:AB28,AJ19:AJ28))/MIN(D19:D28,L19:L28,T19:T28,AB19:AB28,AJ19:AJ28)*100%)</f>
        <v>1.4022419077207285E-2</v>
      </c>
      <c r="AG31" s="44"/>
      <c r="AH31" s="51"/>
      <c r="AI31" s="54" t="s">
        <v>20</v>
      </c>
      <c r="AJ31" s="48">
        <f>AVERAGE(AJ19:AJ28)</f>
        <v>241.56599999999997</v>
      </c>
      <c r="AK31" s="47"/>
      <c r="AL31" s="48">
        <f>_xlfn.STDEV.S(AJ19:AJ28) / AVERAGE(AJ19:AJ28) * 100%</f>
        <v>1.481330957901778E-3</v>
      </c>
      <c r="AM31" s="48">
        <f t="array" ref="AM31">MIN((AJ19:AJ28 - MIN(D19:D28,L19:L28,T19:T28,AB19:AB28,AJ19:AJ28))/MIN(D19:D28,L19:L28,T19:T28,AB19:AB28,AJ19:AJ28)*100%)</f>
        <v>1.1839287963390541E-2</v>
      </c>
      <c r="AN31" s="48">
        <f t="array" ref="AN31">AVERAGE((AJ19:AJ28 - MIN(D19:D28,L19:L28,T19:T28,AB19:AB28,AJ19:AJ28))/MIN(D19:D28,L19:L28,T19:T28,AB19:AB28,AJ19:AJ28)*100%)</f>
        <v>1.4173558923548435E-2</v>
      </c>
      <c r="AO31" s="44"/>
      <c r="AP31" s="51"/>
    </row>
    <row r="32" spans="1:42" ht="21" customHeight="1" thickTop="1" thickBot="1" x14ac:dyDescent="0.35">
      <c r="A32" s="63"/>
      <c r="B32" s="67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3"/>
      <c r="B33" s="65" t="s">
        <v>68</v>
      </c>
      <c r="C33" s="59" t="s">
        <v>8</v>
      </c>
      <c r="D33" s="46" t="s">
        <v>9</v>
      </c>
      <c r="E33" s="46" t="s">
        <v>10</v>
      </c>
      <c r="F33" s="46" t="s">
        <v>11</v>
      </c>
      <c r="G33" s="46" t="s">
        <v>12</v>
      </c>
      <c r="H33" s="46" t="s">
        <v>13</v>
      </c>
      <c r="I33" s="46" t="s">
        <v>14</v>
      </c>
      <c r="J33" s="60" t="s">
        <v>15</v>
      </c>
      <c r="K33" s="59" t="s">
        <v>8</v>
      </c>
      <c r="L33" s="46" t="s">
        <v>9</v>
      </c>
      <c r="M33" s="46" t="s">
        <v>10</v>
      </c>
      <c r="N33" s="46" t="s">
        <v>11</v>
      </c>
      <c r="O33" s="46" t="s">
        <v>12</v>
      </c>
      <c r="P33" s="46" t="s">
        <v>13</v>
      </c>
      <c r="Q33" s="46" t="s">
        <v>14</v>
      </c>
      <c r="R33" s="60" t="s">
        <v>15</v>
      </c>
      <c r="S33" s="59" t="s">
        <v>8</v>
      </c>
      <c r="T33" s="46" t="s">
        <v>9</v>
      </c>
      <c r="U33" s="46" t="s">
        <v>10</v>
      </c>
      <c r="V33" s="46" t="s">
        <v>11</v>
      </c>
      <c r="W33" s="46" t="s">
        <v>12</v>
      </c>
      <c r="X33" s="46" t="s">
        <v>13</v>
      </c>
      <c r="Y33" s="46" t="s">
        <v>14</v>
      </c>
      <c r="Z33" s="60" t="s">
        <v>15</v>
      </c>
      <c r="AA33" s="59" t="s">
        <v>8</v>
      </c>
      <c r="AB33" s="46" t="s">
        <v>9</v>
      </c>
      <c r="AC33" s="46" t="s">
        <v>10</v>
      </c>
      <c r="AD33" s="46" t="s">
        <v>11</v>
      </c>
      <c r="AE33" s="46" t="s">
        <v>12</v>
      </c>
      <c r="AF33" s="46" t="s">
        <v>13</v>
      </c>
      <c r="AG33" s="46" t="s">
        <v>14</v>
      </c>
      <c r="AH33" s="60" t="s">
        <v>15</v>
      </c>
      <c r="AI33" s="59" t="s">
        <v>8</v>
      </c>
      <c r="AJ33" s="46" t="s">
        <v>9</v>
      </c>
      <c r="AK33" s="46" t="s">
        <v>10</v>
      </c>
      <c r="AL33" s="46" t="s">
        <v>11</v>
      </c>
      <c r="AM33" s="46" t="s">
        <v>12</v>
      </c>
      <c r="AN33" s="46" t="s">
        <v>13</v>
      </c>
      <c r="AO33" s="46" t="s">
        <v>14</v>
      </c>
      <c r="AP33" s="60" t="s">
        <v>15</v>
      </c>
    </row>
    <row r="34" spans="1:42" ht="21" customHeight="1" thickTop="1" thickBot="1" x14ac:dyDescent="0.35">
      <c r="A34" s="63"/>
      <c r="B34" s="66"/>
      <c r="C34" s="52">
        <v>1</v>
      </c>
      <c r="D34" s="44">
        <v>244.12</v>
      </c>
      <c r="E34" s="44"/>
      <c r="F34" s="44"/>
      <c r="G34" s="44"/>
      <c r="H34" s="44"/>
      <c r="I34" s="44"/>
      <c r="J34" s="51"/>
      <c r="K34" s="52">
        <v>1</v>
      </c>
      <c r="L34" s="44">
        <v>245.25</v>
      </c>
      <c r="M34" s="44"/>
      <c r="N34" s="44"/>
      <c r="O34" s="44"/>
      <c r="P34" s="44"/>
      <c r="Q34" s="44"/>
      <c r="R34" s="51"/>
      <c r="S34" s="52">
        <v>1</v>
      </c>
      <c r="T34" s="44">
        <v>245.72</v>
      </c>
      <c r="U34" s="44"/>
      <c r="V34" s="44"/>
      <c r="W34" s="44"/>
      <c r="X34" s="44"/>
      <c r="Y34" s="44"/>
      <c r="Z34" s="51"/>
      <c r="AA34" s="52">
        <v>1</v>
      </c>
      <c r="AB34" s="44">
        <v>245.5</v>
      </c>
      <c r="AC34" s="44"/>
      <c r="AD34" s="44"/>
      <c r="AE34" s="44"/>
      <c r="AF34" s="44"/>
      <c r="AG34" s="44"/>
      <c r="AH34" s="51"/>
      <c r="AI34" s="52">
        <v>1</v>
      </c>
      <c r="AJ34" s="44">
        <v>247.69</v>
      </c>
      <c r="AK34" s="44"/>
      <c r="AL34" s="44"/>
      <c r="AM34" s="44"/>
      <c r="AN34" s="44"/>
      <c r="AO34" s="44"/>
      <c r="AP34" s="51"/>
    </row>
    <row r="35" spans="1:42" ht="21" customHeight="1" thickTop="1" thickBot="1" x14ac:dyDescent="0.35">
      <c r="A35" s="63"/>
      <c r="B35" s="66"/>
      <c r="C35" s="53">
        <v>2</v>
      </c>
      <c r="D35" s="45">
        <v>244.07</v>
      </c>
      <c r="E35" s="45"/>
      <c r="F35" s="45"/>
      <c r="G35" s="45"/>
      <c r="H35" s="45"/>
      <c r="I35" s="45"/>
      <c r="J35" s="51"/>
      <c r="K35" s="53">
        <v>2</v>
      </c>
      <c r="L35" s="45">
        <v>245.23</v>
      </c>
      <c r="M35" s="45"/>
      <c r="N35" s="45"/>
      <c r="O35" s="45"/>
      <c r="P35" s="45"/>
      <c r="Q35" s="45"/>
      <c r="R35" s="51"/>
      <c r="S35" s="53">
        <v>2</v>
      </c>
      <c r="T35" s="45">
        <v>248.17</v>
      </c>
      <c r="U35" s="45"/>
      <c r="V35" s="45"/>
      <c r="W35" s="45"/>
      <c r="X35" s="45"/>
      <c r="Y35" s="45"/>
      <c r="Z35" s="51"/>
      <c r="AA35" s="53">
        <v>2</v>
      </c>
      <c r="AB35" s="45">
        <v>245.53</v>
      </c>
      <c r="AC35" s="45"/>
      <c r="AD35" s="45"/>
      <c r="AE35" s="45"/>
      <c r="AF35" s="45"/>
      <c r="AG35" s="45"/>
      <c r="AH35" s="51"/>
      <c r="AI35" s="53">
        <v>2</v>
      </c>
      <c r="AJ35" s="45">
        <v>246.92</v>
      </c>
      <c r="AK35" s="45"/>
      <c r="AL35" s="45"/>
      <c r="AM35" s="45"/>
      <c r="AN35" s="45"/>
      <c r="AO35" s="45"/>
      <c r="AP35" s="51"/>
    </row>
    <row r="36" spans="1:42" ht="21" customHeight="1" thickTop="1" thickBot="1" x14ac:dyDescent="0.35">
      <c r="A36" s="63"/>
      <c r="B36" s="66"/>
      <c r="C36" s="53">
        <v>3</v>
      </c>
      <c r="D36" s="45">
        <v>243.92</v>
      </c>
      <c r="E36" s="45"/>
      <c r="F36" s="45"/>
      <c r="G36" s="44"/>
      <c r="H36" s="44"/>
      <c r="I36" s="44"/>
      <c r="J36" s="51"/>
      <c r="K36" s="53">
        <v>3</v>
      </c>
      <c r="L36" s="45">
        <v>244.21</v>
      </c>
      <c r="M36" s="45"/>
      <c r="N36" s="45"/>
      <c r="O36" s="44"/>
      <c r="P36" s="44"/>
      <c r="Q36" s="44"/>
      <c r="R36" s="51"/>
      <c r="S36" s="53">
        <v>3</v>
      </c>
      <c r="T36" s="45">
        <v>248.35</v>
      </c>
      <c r="U36" s="45"/>
      <c r="V36" s="45"/>
      <c r="W36" s="44"/>
      <c r="X36" s="44"/>
      <c r="Y36" s="44"/>
      <c r="Z36" s="51"/>
      <c r="AA36" s="53">
        <v>3</v>
      </c>
      <c r="AB36" s="45">
        <v>244.69</v>
      </c>
      <c r="AC36" s="45"/>
      <c r="AD36" s="45"/>
      <c r="AE36" s="44"/>
      <c r="AF36" s="44"/>
      <c r="AG36" s="44"/>
      <c r="AH36" s="51"/>
      <c r="AI36" s="53">
        <v>3</v>
      </c>
      <c r="AJ36" s="45">
        <v>245.79</v>
      </c>
      <c r="AK36" s="45"/>
      <c r="AL36" s="45"/>
      <c r="AM36" s="44"/>
      <c r="AN36" s="44"/>
      <c r="AO36" s="44"/>
      <c r="AP36" s="51"/>
    </row>
    <row r="37" spans="1:42" ht="21" customHeight="1" thickTop="1" thickBot="1" x14ac:dyDescent="0.35">
      <c r="A37" s="63"/>
      <c r="B37" s="66"/>
      <c r="C37" s="53">
        <v>4</v>
      </c>
      <c r="D37" s="45">
        <v>243.93</v>
      </c>
      <c r="E37" s="45"/>
      <c r="F37" s="45"/>
      <c r="G37" s="45"/>
      <c r="H37" s="45"/>
      <c r="I37" s="45"/>
      <c r="J37" s="51"/>
      <c r="K37" s="53">
        <v>4</v>
      </c>
      <c r="L37" s="45">
        <v>245.27</v>
      </c>
      <c r="M37" s="45"/>
      <c r="N37" s="45"/>
      <c r="O37" s="45"/>
      <c r="P37" s="45"/>
      <c r="Q37" s="45"/>
      <c r="R37" s="51"/>
      <c r="S37" s="53">
        <v>4</v>
      </c>
      <c r="T37" s="45">
        <v>246.21</v>
      </c>
      <c r="U37" s="45"/>
      <c r="V37" s="45"/>
      <c r="W37" s="45"/>
      <c r="X37" s="45"/>
      <c r="Y37" s="45"/>
      <c r="Z37" s="51"/>
      <c r="AA37" s="53">
        <v>4</v>
      </c>
      <c r="AB37" s="45">
        <v>245.59</v>
      </c>
      <c r="AC37" s="45"/>
      <c r="AD37" s="45"/>
      <c r="AE37" s="45"/>
      <c r="AF37" s="45"/>
      <c r="AG37" s="45"/>
      <c r="AH37" s="51"/>
      <c r="AI37" s="53">
        <v>4</v>
      </c>
      <c r="AJ37" s="45">
        <v>247.65</v>
      </c>
      <c r="AK37" s="45"/>
      <c r="AL37" s="45"/>
      <c r="AM37" s="45"/>
      <c r="AN37" s="45"/>
      <c r="AO37" s="45"/>
      <c r="AP37" s="51"/>
    </row>
    <row r="38" spans="1:42" ht="21" customHeight="1" thickTop="1" thickBot="1" x14ac:dyDescent="0.35">
      <c r="A38" s="63"/>
      <c r="B38" s="66"/>
      <c r="C38" s="53">
        <v>5</v>
      </c>
      <c r="D38" s="45">
        <v>243.62</v>
      </c>
      <c r="E38" s="45"/>
      <c r="F38" s="45"/>
      <c r="G38" s="45"/>
      <c r="H38" s="45"/>
      <c r="I38" s="45"/>
      <c r="J38" s="51"/>
      <c r="K38" s="53">
        <v>5</v>
      </c>
      <c r="L38" s="45">
        <v>243.84</v>
      </c>
      <c r="M38" s="45"/>
      <c r="N38" s="45"/>
      <c r="O38" s="45"/>
      <c r="P38" s="45"/>
      <c r="Q38" s="45"/>
      <c r="R38" s="51"/>
      <c r="S38" s="53">
        <v>5</v>
      </c>
      <c r="T38" s="45">
        <v>244.76</v>
      </c>
      <c r="U38" s="45"/>
      <c r="V38" s="45"/>
      <c r="W38" s="45"/>
      <c r="X38" s="45"/>
      <c r="Y38" s="45"/>
      <c r="Z38" s="51"/>
      <c r="AA38" s="53">
        <v>5</v>
      </c>
      <c r="AB38" s="45">
        <v>244.03</v>
      </c>
      <c r="AC38" s="45"/>
      <c r="AD38" s="45"/>
      <c r="AE38" s="45"/>
      <c r="AF38" s="45"/>
      <c r="AG38" s="45"/>
      <c r="AH38" s="51"/>
      <c r="AI38" s="53">
        <v>5</v>
      </c>
      <c r="AJ38" s="45">
        <v>246.15</v>
      </c>
      <c r="AK38" s="45"/>
      <c r="AL38" s="45"/>
      <c r="AM38" s="45"/>
      <c r="AN38" s="45"/>
      <c r="AO38" s="45"/>
      <c r="AP38" s="51"/>
    </row>
    <row r="39" spans="1:42" ht="21" customHeight="1" thickTop="1" thickBot="1" x14ac:dyDescent="0.35">
      <c r="A39" s="63"/>
      <c r="B39" s="66"/>
      <c r="C39" s="53">
        <v>6</v>
      </c>
      <c r="D39" s="45">
        <v>244.49</v>
      </c>
      <c r="E39" s="45"/>
      <c r="F39" s="45"/>
      <c r="G39" s="45"/>
      <c r="H39" s="45"/>
      <c r="I39" s="45"/>
      <c r="J39" s="51"/>
      <c r="K39" s="53">
        <v>6</v>
      </c>
      <c r="L39" s="45">
        <v>243.75</v>
      </c>
      <c r="M39" s="45"/>
      <c r="N39" s="45"/>
      <c r="O39" s="45"/>
      <c r="P39" s="45"/>
      <c r="Q39" s="45"/>
      <c r="R39" s="51"/>
      <c r="S39" s="53">
        <v>6</v>
      </c>
      <c r="T39" s="45">
        <v>246.95</v>
      </c>
      <c r="U39" s="45"/>
      <c r="V39" s="45"/>
      <c r="W39" s="45"/>
      <c r="X39" s="45"/>
      <c r="Y39" s="45"/>
      <c r="Z39" s="51"/>
      <c r="AA39" s="53">
        <v>6</v>
      </c>
      <c r="AB39" s="45">
        <v>244.02</v>
      </c>
      <c r="AC39" s="45"/>
      <c r="AD39" s="45"/>
      <c r="AE39" s="45"/>
      <c r="AF39" s="45"/>
      <c r="AG39" s="45"/>
      <c r="AH39" s="51"/>
      <c r="AI39" s="53">
        <v>6</v>
      </c>
      <c r="AJ39" s="45">
        <v>246.28</v>
      </c>
      <c r="AK39" s="45"/>
      <c r="AL39" s="45"/>
      <c r="AM39" s="45"/>
      <c r="AN39" s="45"/>
      <c r="AO39" s="45"/>
      <c r="AP39" s="51"/>
    </row>
    <row r="40" spans="1:42" ht="21" customHeight="1" thickTop="1" thickBot="1" x14ac:dyDescent="0.35">
      <c r="A40" s="63"/>
      <c r="B40" s="66"/>
      <c r="C40" s="53">
        <v>7</v>
      </c>
      <c r="D40" s="45">
        <v>244.46</v>
      </c>
      <c r="E40" s="45"/>
      <c r="F40" s="45"/>
      <c r="G40" s="45"/>
      <c r="H40" s="45"/>
      <c r="I40" s="45"/>
      <c r="J40" s="51"/>
      <c r="K40" s="53">
        <v>7</v>
      </c>
      <c r="L40" s="45">
        <v>243.96</v>
      </c>
      <c r="M40" s="45"/>
      <c r="N40" s="45"/>
      <c r="O40" s="45"/>
      <c r="P40" s="45"/>
      <c r="Q40" s="45"/>
      <c r="R40" s="51"/>
      <c r="S40" s="53">
        <v>7</v>
      </c>
      <c r="T40" s="45">
        <v>246.46</v>
      </c>
      <c r="U40" s="45"/>
      <c r="V40" s="45"/>
      <c r="W40" s="45"/>
      <c r="X40" s="45"/>
      <c r="Y40" s="45"/>
      <c r="Z40" s="51"/>
      <c r="AA40" s="53">
        <v>7</v>
      </c>
      <c r="AB40" s="45">
        <v>244.02</v>
      </c>
      <c r="AC40" s="45"/>
      <c r="AD40" s="45"/>
      <c r="AE40" s="45"/>
      <c r="AF40" s="45"/>
      <c r="AG40" s="45"/>
      <c r="AH40" s="51"/>
      <c r="AI40" s="53">
        <v>7</v>
      </c>
      <c r="AJ40" s="45">
        <v>247.28</v>
      </c>
      <c r="AK40" s="45"/>
      <c r="AL40" s="45"/>
      <c r="AM40" s="45"/>
      <c r="AN40" s="45"/>
      <c r="AO40" s="45"/>
      <c r="AP40" s="51"/>
    </row>
    <row r="41" spans="1:42" ht="21" customHeight="1" thickTop="1" thickBot="1" x14ac:dyDescent="0.35">
      <c r="A41" s="63"/>
      <c r="B41" s="66"/>
      <c r="C41" s="53">
        <v>8</v>
      </c>
      <c r="D41" s="45">
        <v>243</v>
      </c>
      <c r="E41" s="45"/>
      <c r="F41" s="45"/>
      <c r="G41" s="45"/>
      <c r="H41" s="45"/>
      <c r="I41" s="45"/>
      <c r="J41" s="51"/>
      <c r="K41" s="53">
        <v>8</v>
      </c>
      <c r="L41" s="45">
        <v>245.28</v>
      </c>
      <c r="M41" s="45"/>
      <c r="N41" s="45"/>
      <c r="O41" s="45"/>
      <c r="P41" s="45"/>
      <c r="Q41" s="45"/>
      <c r="R41" s="51"/>
      <c r="S41" s="53">
        <v>8</v>
      </c>
      <c r="T41" s="45">
        <v>247.11</v>
      </c>
      <c r="U41" s="45"/>
      <c r="V41" s="45"/>
      <c r="W41" s="45"/>
      <c r="X41" s="45"/>
      <c r="Y41" s="45"/>
      <c r="Z41" s="51"/>
      <c r="AA41" s="53">
        <v>8</v>
      </c>
      <c r="AB41" s="45">
        <v>244.83</v>
      </c>
      <c r="AC41" s="45"/>
      <c r="AD41" s="45"/>
      <c r="AE41" s="45"/>
      <c r="AF41" s="45"/>
      <c r="AG41" s="45"/>
      <c r="AH41" s="51"/>
      <c r="AI41" s="53">
        <v>8</v>
      </c>
      <c r="AJ41" s="45">
        <v>246.02</v>
      </c>
      <c r="AK41" s="45"/>
      <c r="AL41" s="45"/>
      <c r="AM41" s="45"/>
      <c r="AN41" s="45"/>
      <c r="AO41" s="45"/>
      <c r="AP41" s="51"/>
    </row>
    <row r="42" spans="1:42" ht="21" customHeight="1" thickTop="1" thickBot="1" x14ac:dyDescent="0.35">
      <c r="A42" s="63"/>
      <c r="B42" s="66"/>
      <c r="C42" s="53">
        <v>9</v>
      </c>
      <c r="D42" s="45">
        <v>241.38</v>
      </c>
      <c r="E42" s="45"/>
      <c r="F42" s="45"/>
      <c r="G42" s="45"/>
      <c r="H42" s="45"/>
      <c r="I42" s="45"/>
      <c r="J42" s="51"/>
      <c r="K42" s="53">
        <v>9</v>
      </c>
      <c r="L42" s="45">
        <v>245.16</v>
      </c>
      <c r="M42" s="45"/>
      <c r="N42" s="45"/>
      <c r="O42" s="45"/>
      <c r="P42" s="45"/>
      <c r="Q42" s="45"/>
      <c r="R42" s="51"/>
      <c r="S42" s="53">
        <v>9</v>
      </c>
      <c r="T42" s="45">
        <v>243.79</v>
      </c>
      <c r="U42" s="45"/>
      <c r="V42" s="45"/>
      <c r="W42" s="45"/>
      <c r="X42" s="45"/>
      <c r="Y42" s="45"/>
      <c r="Z42" s="51"/>
      <c r="AA42" s="53">
        <v>9</v>
      </c>
      <c r="AB42" s="45">
        <v>245.36</v>
      </c>
      <c r="AC42" s="45"/>
      <c r="AD42" s="45"/>
      <c r="AE42" s="45"/>
      <c r="AF42" s="45"/>
      <c r="AG42" s="45"/>
      <c r="AH42" s="51"/>
      <c r="AI42" s="53">
        <v>9</v>
      </c>
      <c r="AJ42" s="45">
        <v>247</v>
      </c>
      <c r="AK42" s="45"/>
      <c r="AL42" s="45"/>
      <c r="AM42" s="45"/>
      <c r="AN42" s="45"/>
      <c r="AO42" s="45"/>
      <c r="AP42" s="51"/>
    </row>
    <row r="43" spans="1:42" ht="21" customHeight="1" thickTop="1" thickBot="1" x14ac:dyDescent="0.35">
      <c r="A43" s="63"/>
      <c r="B43" s="66"/>
      <c r="C43" s="53">
        <v>10</v>
      </c>
      <c r="D43" s="45">
        <v>243.21</v>
      </c>
      <c r="E43" s="45"/>
      <c r="F43" s="45"/>
      <c r="G43" s="45"/>
      <c r="H43" s="45"/>
      <c r="I43" s="45"/>
      <c r="J43" s="51"/>
      <c r="K43" s="53">
        <v>10</v>
      </c>
      <c r="L43" s="45">
        <v>242.96</v>
      </c>
      <c r="M43" s="45"/>
      <c r="N43" s="45"/>
      <c r="O43" s="45"/>
      <c r="P43" s="45"/>
      <c r="Q43" s="45"/>
      <c r="R43" s="51"/>
      <c r="S43" s="53">
        <v>10</v>
      </c>
      <c r="T43" s="45">
        <v>245.74</v>
      </c>
      <c r="U43" s="45"/>
      <c r="V43" s="45"/>
      <c r="W43" s="45"/>
      <c r="X43" s="45"/>
      <c r="Y43" s="45"/>
      <c r="Z43" s="51"/>
      <c r="AA43" s="53">
        <v>10</v>
      </c>
      <c r="AB43" s="45">
        <v>245.72</v>
      </c>
      <c r="AC43" s="45"/>
      <c r="AD43" s="45"/>
      <c r="AE43" s="45"/>
      <c r="AF43" s="45"/>
      <c r="AG43" s="45"/>
      <c r="AH43" s="51"/>
      <c r="AI43" s="53">
        <v>10</v>
      </c>
      <c r="AJ43" s="45">
        <v>247.37</v>
      </c>
      <c r="AK43" s="45"/>
      <c r="AL43" s="45"/>
      <c r="AM43" s="45"/>
      <c r="AN43" s="45"/>
      <c r="AO43" s="45"/>
      <c r="AP43" s="51"/>
    </row>
    <row r="44" spans="1:42" ht="21" customHeight="1" thickTop="1" thickBot="1" x14ac:dyDescent="0.35">
      <c r="A44" s="63"/>
      <c r="B44" s="66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66"/>
      <c r="C45" s="54" t="s">
        <v>16</v>
      </c>
      <c r="D45" s="49">
        <f>MIN(D34:D43)</f>
        <v>241.38</v>
      </c>
      <c r="E45" s="45"/>
      <c r="F45" s="55" t="s">
        <v>17</v>
      </c>
      <c r="G45" s="49" t="s">
        <v>18</v>
      </c>
      <c r="H45" s="49" t="s">
        <v>19</v>
      </c>
      <c r="I45" s="45"/>
      <c r="J45" s="51"/>
      <c r="K45" s="54" t="s">
        <v>16</v>
      </c>
      <c r="L45" s="49">
        <f>MIN(L34:L43)</f>
        <v>242.96</v>
      </c>
      <c r="M45" s="45"/>
      <c r="N45" s="55" t="s">
        <v>17</v>
      </c>
      <c r="O45" s="49" t="s">
        <v>18</v>
      </c>
      <c r="P45" s="49" t="s">
        <v>19</v>
      </c>
      <c r="Q45" s="45"/>
      <c r="R45" s="51"/>
      <c r="S45" s="54" t="s">
        <v>16</v>
      </c>
      <c r="T45" s="49">
        <f>MIN(T34:T43)</f>
        <v>243.79</v>
      </c>
      <c r="U45" s="45"/>
      <c r="V45" s="55" t="s">
        <v>17</v>
      </c>
      <c r="W45" s="49" t="s">
        <v>18</v>
      </c>
      <c r="X45" s="49" t="s">
        <v>19</v>
      </c>
      <c r="Y45" s="45"/>
      <c r="Z45" s="51"/>
      <c r="AA45" s="54" t="s">
        <v>16</v>
      </c>
      <c r="AB45" s="49">
        <f>MIN(AB34:AB43)</f>
        <v>244.02</v>
      </c>
      <c r="AC45" s="45"/>
      <c r="AD45" s="55" t="s">
        <v>17</v>
      </c>
      <c r="AE45" s="49" t="s">
        <v>18</v>
      </c>
      <c r="AF45" s="49" t="s">
        <v>19</v>
      </c>
      <c r="AG45" s="45"/>
      <c r="AH45" s="51"/>
      <c r="AI45" s="54" t="s">
        <v>16</v>
      </c>
      <c r="AJ45" s="49">
        <f>MIN(AJ34:AJ43)</f>
        <v>245.79</v>
      </c>
      <c r="AK45" s="45"/>
      <c r="AL45" s="55" t="s">
        <v>17</v>
      </c>
      <c r="AM45" s="49" t="s">
        <v>18</v>
      </c>
      <c r="AN45" s="49" t="s">
        <v>19</v>
      </c>
      <c r="AO45" s="45"/>
      <c r="AP45" s="51"/>
    </row>
    <row r="46" spans="1:42" ht="21" customHeight="1" thickTop="1" thickBot="1" x14ac:dyDescent="0.35">
      <c r="A46" s="63"/>
      <c r="B46" s="66"/>
      <c r="C46" s="54" t="s">
        <v>20</v>
      </c>
      <c r="D46" s="48">
        <f>AVERAGE(D34:D43)</f>
        <v>243.61999999999998</v>
      </c>
      <c r="E46" s="47"/>
      <c r="F46" s="48">
        <f>_xlfn.STDEV.S(D34:D43) / AVERAGE(D34:D43) * 100%</f>
        <v>3.7896356672898965E-3</v>
      </c>
      <c r="G46" s="48">
        <f t="array" ref="G46">MIN((D34:D43 - MIN(D34:D43,L34:L43,T34:T43,AB34:AB43,AJ34:AJ43))/MIN(D34:D43,L34:L43,T34:T43,AB34:AB43,AJ34:AJ43)*100%)</f>
        <v>0</v>
      </c>
      <c r="H46" s="48">
        <f t="array" ref="H46">AVERAGE((D34:D43 - MIN(D34:D43,L34:L43,T34:T43,AB34:AB43,AJ34:AJ43))/MIN(D34:D43,L34:L43,T34:T43,AB34:AB43,AJ34:AJ43)*100%)</f>
        <v>9.2799734857900665E-3</v>
      </c>
      <c r="I46" s="45"/>
      <c r="J46" s="51"/>
      <c r="K46" s="54" t="s">
        <v>20</v>
      </c>
      <c r="L46" s="48">
        <f>AVERAGE(L34:L43)</f>
        <v>244.49099999999999</v>
      </c>
      <c r="M46" s="47"/>
      <c r="N46" s="48">
        <f>_xlfn.STDEV.S(L34:L43) / AVERAGE(L34:L43) * 100%</f>
        <v>3.4697575469969143E-3</v>
      </c>
      <c r="O46" s="48">
        <f t="array" ref="O46">MIN((L34:L43 - MIN(D34:D43,L34:L43,T34:T43,AB34:AB43,AJ34:AJ43))/MIN(D34:D43,L34:L43,T34:T43,AB34:AB43,AJ34:AJ43)*100%)</f>
        <v>6.5456955837269555E-3</v>
      </c>
      <c r="P46" s="48">
        <f t="array" ref="P46">AVERAGE((L34:L43 - MIN(D34:D43,L34:L43,T34:T43,AB34:AB43,AJ34:AJ43))/MIN(D34:D43,L34:L43,T34:T43,AB34:AB43,AJ34:AJ43)*100%)</f>
        <v>1.2888391747452179E-2</v>
      </c>
      <c r="Q46" s="44"/>
      <c r="R46" s="51"/>
      <c r="S46" s="54" t="s">
        <v>20</v>
      </c>
      <c r="T46" s="48">
        <f>AVERAGE(T34:T43)</f>
        <v>246.32600000000002</v>
      </c>
      <c r="U46" s="47"/>
      <c r="V46" s="48">
        <f>_xlfn.STDEV.S(T34:T43) / AVERAGE(T34:T43) * 100%</f>
        <v>5.7613882894441597E-3</v>
      </c>
      <c r="W46" s="48">
        <f t="array" ref="W46">MIN((T34:T43 - MIN(D34:D43,L34:L43,T34:T43,AB34:AB43,AJ34:AJ43))/MIN(D34:D43,L34:L43,T34:T43,AB34:AB43,AJ34:AJ43)*100%)</f>
        <v>9.9842571878365916E-3</v>
      </c>
      <c r="X46" s="48">
        <f t="array" ref="X46">AVERAGE((T34:T43 - MIN(D34:D43,L34:L43,T34:T43,AB34:AB43,AJ34:AJ43))/MIN(D34:D43,L34:L43,T34:T43,AB34:AB43,AJ34:AJ43)*100%)</f>
        <v>2.049051288424892E-2</v>
      </c>
      <c r="Y46" s="44"/>
      <c r="Z46" s="51"/>
      <c r="AA46" s="54" t="s">
        <v>20</v>
      </c>
      <c r="AB46" s="48">
        <f>AVERAGE(AB34:AB43)</f>
        <v>244.929</v>
      </c>
      <c r="AC46" s="47"/>
      <c r="AD46" s="48">
        <f>_xlfn.STDEV.S(AB34:AB43) / AVERAGE(AB34:AB43) * 100%</f>
        <v>2.8751869516947474E-3</v>
      </c>
      <c r="AE46" s="48">
        <f t="array" ref="AE46">MIN((AB34:AB43 - MIN(D34:D43,L34:L43,T34:T43,AB34:AB43,AJ34:AJ43))/MIN(D34:D43,L34:L43,T34:T43,AB34:AB43,AJ34:AJ43)*100%)</f>
        <v>1.0937111608252609E-2</v>
      </c>
      <c r="AF46" s="48">
        <f t="array" ref="AF46">AVERAGE((AB34:AB43 - MIN(D34:D43,L34:L43,T34:T43,AB34:AB43,AJ34:AJ43))/MIN(D34:D43,L34:L43,T34:T43,AB34:AB43,AJ34:AJ43)*100%)</f>
        <v>1.4702957991548634E-2</v>
      </c>
      <c r="AG46" s="44"/>
      <c r="AH46" s="51"/>
      <c r="AI46" s="54" t="s">
        <v>20</v>
      </c>
      <c r="AJ46" s="48">
        <f>AVERAGE(AJ34:AJ43)</f>
        <v>246.81499999999997</v>
      </c>
      <c r="AK46" s="47"/>
      <c r="AL46" s="48">
        <f>_xlfn.STDEV.S(AJ34:AJ43) / AVERAGE(AJ34:AJ43) * 100%</f>
        <v>2.8468680865906095E-3</v>
      </c>
      <c r="AM46" s="48">
        <f t="array" ref="AM46">MIN((AJ34:AJ43 - MIN(D34:D43,L34:L43,T34:T43,AB34:AB43,AJ34:AJ43))/MIN(D34:D43,L34:L43,T34:T43,AB34:AB43,AJ34:AJ43)*100%)</f>
        <v>1.8269947800149129E-2</v>
      </c>
      <c r="AN46" s="48">
        <f t="array" ref="AN46">AVERAGE((AJ34:AJ43 - MIN(D34:D43,L34:L43,T34:T43,AB34:AB43,AJ34:AJ43))/MIN(D34:D43,L34:L43,T34:T43,AB34:AB43,AJ34:AJ43)*100%)</f>
        <v>2.2516364238959342E-2</v>
      </c>
      <c r="AO46" s="44"/>
      <c r="AP46" s="51"/>
    </row>
    <row r="47" spans="1:42" ht="21" customHeight="1" thickTop="1" thickBot="1" x14ac:dyDescent="0.35">
      <c r="A47" s="63"/>
      <c r="B47" s="67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3"/>
      <c r="B48" s="65" t="s">
        <v>69</v>
      </c>
      <c r="C48" s="59" t="s">
        <v>8</v>
      </c>
      <c r="D48" s="46" t="s">
        <v>9</v>
      </c>
      <c r="E48" s="46" t="s">
        <v>10</v>
      </c>
      <c r="F48" s="46" t="s">
        <v>11</v>
      </c>
      <c r="G48" s="46" t="s">
        <v>12</v>
      </c>
      <c r="H48" s="46" t="s">
        <v>13</v>
      </c>
      <c r="I48" s="46" t="s">
        <v>14</v>
      </c>
      <c r="J48" s="60" t="s">
        <v>15</v>
      </c>
      <c r="K48" s="59" t="s">
        <v>8</v>
      </c>
      <c r="L48" s="46" t="s">
        <v>9</v>
      </c>
      <c r="M48" s="46" t="s">
        <v>10</v>
      </c>
      <c r="N48" s="46" t="s">
        <v>11</v>
      </c>
      <c r="O48" s="46" t="s">
        <v>12</v>
      </c>
      <c r="P48" s="46" t="s">
        <v>13</v>
      </c>
      <c r="Q48" s="46" t="s">
        <v>14</v>
      </c>
      <c r="R48" s="60" t="s">
        <v>15</v>
      </c>
      <c r="S48" s="59" t="s">
        <v>8</v>
      </c>
      <c r="T48" s="46" t="s">
        <v>9</v>
      </c>
      <c r="U48" s="46" t="s">
        <v>10</v>
      </c>
      <c r="V48" s="46" t="s">
        <v>11</v>
      </c>
      <c r="W48" s="46" t="s">
        <v>12</v>
      </c>
      <c r="X48" s="46" t="s">
        <v>13</v>
      </c>
      <c r="Y48" s="46" t="s">
        <v>14</v>
      </c>
      <c r="Z48" s="60" t="s">
        <v>15</v>
      </c>
      <c r="AA48" s="59" t="s">
        <v>8</v>
      </c>
      <c r="AB48" s="46" t="s">
        <v>9</v>
      </c>
      <c r="AC48" s="46" t="s">
        <v>10</v>
      </c>
      <c r="AD48" s="46" t="s">
        <v>11</v>
      </c>
      <c r="AE48" s="46" t="s">
        <v>12</v>
      </c>
      <c r="AF48" s="46" t="s">
        <v>13</v>
      </c>
      <c r="AG48" s="46" t="s">
        <v>14</v>
      </c>
      <c r="AH48" s="60" t="s">
        <v>15</v>
      </c>
      <c r="AI48" s="59" t="s">
        <v>8</v>
      </c>
      <c r="AJ48" s="46" t="s">
        <v>9</v>
      </c>
      <c r="AK48" s="46" t="s">
        <v>10</v>
      </c>
      <c r="AL48" s="46" t="s">
        <v>11</v>
      </c>
      <c r="AM48" s="46" t="s">
        <v>12</v>
      </c>
      <c r="AN48" s="46" t="s">
        <v>13</v>
      </c>
      <c r="AO48" s="46" t="s">
        <v>14</v>
      </c>
      <c r="AP48" s="60" t="s">
        <v>15</v>
      </c>
    </row>
    <row r="49" spans="1:42" ht="21" customHeight="1" thickTop="1" thickBot="1" x14ac:dyDescent="0.35">
      <c r="A49" s="63"/>
      <c r="B49" s="66"/>
      <c r="C49" s="52">
        <v>1</v>
      </c>
      <c r="D49" s="44">
        <v>270.25</v>
      </c>
      <c r="E49" s="44"/>
      <c r="F49" s="44"/>
      <c r="G49" s="44"/>
      <c r="H49" s="44"/>
      <c r="I49" s="44"/>
      <c r="J49" s="51"/>
      <c r="K49" s="52">
        <v>1</v>
      </c>
      <c r="L49" s="44">
        <v>269.73</v>
      </c>
      <c r="M49" s="44"/>
      <c r="N49" s="44"/>
      <c r="O49" s="44"/>
      <c r="P49" s="44"/>
      <c r="Q49" s="44"/>
      <c r="R49" s="51"/>
      <c r="S49" s="52">
        <v>1</v>
      </c>
      <c r="T49" s="44">
        <v>270.43999999999988</v>
      </c>
      <c r="U49" s="44"/>
      <c r="V49" s="44"/>
      <c r="W49" s="44"/>
      <c r="X49" s="44"/>
      <c r="Y49" s="44"/>
      <c r="Z49" s="51"/>
      <c r="AA49" s="52">
        <v>1</v>
      </c>
      <c r="AB49" s="44">
        <v>269.64999999999998</v>
      </c>
      <c r="AC49" s="44"/>
      <c r="AD49" s="44"/>
      <c r="AE49" s="44"/>
      <c r="AF49" s="44"/>
      <c r="AG49" s="44"/>
      <c r="AH49" s="51"/>
      <c r="AI49" s="52">
        <v>1</v>
      </c>
      <c r="AJ49" s="44">
        <v>271.62</v>
      </c>
      <c r="AK49" s="44"/>
      <c r="AL49" s="44"/>
      <c r="AM49" s="44"/>
      <c r="AN49" s="44"/>
      <c r="AO49" s="44"/>
      <c r="AP49" s="51"/>
    </row>
    <row r="50" spans="1:42" ht="21" customHeight="1" thickTop="1" thickBot="1" x14ac:dyDescent="0.35">
      <c r="A50" s="63"/>
      <c r="B50" s="66"/>
      <c r="C50" s="53">
        <v>2</v>
      </c>
      <c r="D50" s="45">
        <v>267.23</v>
      </c>
      <c r="E50" s="45"/>
      <c r="F50" s="45"/>
      <c r="G50" s="45"/>
      <c r="H50" s="45"/>
      <c r="I50" s="45"/>
      <c r="J50" s="51"/>
      <c r="K50" s="53">
        <v>2</v>
      </c>
      <c r="L50" s="45">
        <v>270.52999999999997</v>
      </c>
      <c r="M50" s="45"/>
      <c r="N50" s="45"/>
      <c r="O50" s="45"/>
      <c r="P50" s="45"/>
      <c r="Q50" s="45"/>
      <c r="R50" s="51"/>
      <c r="S50" s="53">
        <v>2</v>
      </c>
      <c r="T50" s="45">
        <v>272.27999999999997</v>
      </c>
      <c r="U50" s="45"/>
      <c r="V50" s="45"/>
      <c r="W50" s="45"/>
      <c r="X50" s="45"/>
      <c r="Y50" s="45"/>
      <c r="Z50" s="51"/>
      <c r="AA50" s="53">
        <v>2</v>
      </c>
      <c r="AB50" s="45">
        <v>270.02999999999997</v>
      </c>
      <c r="AC50" s="45"/>
      <c r="AD50" s="45"/>
      <c r="AE50" s="45"/>
      <c r="AF50" s="45"/>
      <c r="AG50" s="45"/>
      <c r="AH50" s="51"/>
      <c r="AI50" s="53">
        <v>2</v>
      </c>
      <c r="AJ50" s="45">
        <v>271.63</v>
      </c>
      <c r="AK50" s="45"/>
      <c r="AL50" s="45"/>
      <c r="AM50" s="45"/>
      <c r="AN50" s="45"/>
      <c r="AO50" s="45"/>
      <c r="AP50" s="51"/>
    </row>
    <row r="51" spans="1:42" ht="21" customHeight="1" thickTop="1" thickBot="1" x14ac:dyDescent="0.35">
      <c r="A51" s="63"/>
      <c r="B51" s="66"/>
      <c r="C51" s="53">
        <v>3</v>
      </c>
      <c r="D51" s="45">
        <v>268.38</v>
      </c>
      <c r="E51" s="45"/>
      <c r="F51" s="45"/>
      <c r="G51" s="44"/>
      <c r="H51" s="44"/>
      <c r="I51" s="44"/>
      <c r="J51" s="51"/>
      <c r="K51" s="53">
        <v>3</v>
      </c>
      <c r="L51" s="45">
        <v>270.69</v>
      </c>
      <c r="M51" s="45"/>
      <c r="N51" s="45"/>
      <c r="O51" s="44"/>
      <c r="P51" s="44"/>
      <c r="Q51" s="44"/>
      <c r="R51" s="51"/>
      <c r="S51" s="53">
        <v>3</v>
      </c>
      <c r="T51" s="45">
        <v>271.99</v>
      </c>
      <c r="U51" s="45"/>
      <c r="V51" s="45"/>
      <c r="W51" s="44"/>
      <c r="X51" s="44"/>
      <c r="Y51" s="44"/>
      <c r="Z51" s="51"/>
      <c r="AA51" s="53">
        <v>3</v>
      </c>
      <c r="AB51" s="45">
        <v>271.08999999999997</v>
      </c>
      <c r="AC51" s="45"/>
      <c r="AD51" s="45"/>
      <c r="AE51" s="44"/>
      <c r="AF51" s="44"/>
      <c r="AG51" s="44"/>
      <c r="AH51" s="51"/>
      <c r="AI51" s="53">
        <v>3</v>
      </c>
      <c r="AJ51" s="45">
        <v>270.42999999999989</v>
      </c>
      <c r="AK51" s="45"/>
      <c r="AL51" s="45"/>
      <c r="AM51" s="44"/>
      <c r="AN51" s="44"/>
      <c r="AO51" s="44"/>
      <c r="AP51" s="51"/>
    </row>
    <row r="52" spans="1:42" ht="21" customHeight="1" thickTop="1" thickBot="1" x14ac:dyDescent="0.35">
      <c r="A52" s="63"/>
      <c r="B52" s="66"/>
      <c r="C52" s="53">
        <v>4</v>
      </c>
      <c r="D52" s="45">
        <v>269.45</v>
      </c>
      <c r="E52" s="45"/>
      <c r="F52" s="45"/>
      <c r="G52" s="45"/>
      <c r="H52" s="45"/>
      <c r="I52" s="45"/>
      <c r="J52" s="51"/>
      <c r="K52" s="53">
        <v>4</v>
      </c>
      <c r="L52" s="45">
        <v>269.55999999999989</v>
      </c>
      <c r="M52" s="45"/>
      <c r="N52" s="45"/>
      <c r="O52" s="45"/>
      <c r="P52" s="45"/>
      <c r="Q52" s="45"/>
      <c r="R52" s="51"/>
      <c r="S52" s="53">
        <v>4</v>
      </c>
      <c r="T52" s="45">
        <v>270.44</v>
      </c>
      <c r="U52" s="45"/>
      <c r="V52" s="45"/>
      <c r="W52" s="45"/>
      <c r="X52" s="45"/>
      <c r="Y52" s="45"/>
      <c r="Z52" s="51"/>
      <c r="AA52" s="53">
        <v>4</v>
      </c>
      <c r="AB52" s="45">
        <v>270.76</v>
      </c>
      <c r="AC52" s="45"/>
      <c r="AD52" s="45"/>
      <c r="AE52" s="45"/>
      <c r="AF52" s="45"/>
      <c r="AG52" s="45"/>
      <c r="AH52" s="51"/>
      <c r="AI52" s="53">
        <v>4</v>
      </c>
      <c r="AJ52" s="45">
        <v>272.44</v>
      </c>
      <c r="AK52" s="45"/>
      <c r="AL52" s="45"/>
      <c r="AM52" s="45"/>
      <c r="AN52" s="45"/>
      <c r="AO52" s="45"/>
      <c r="AP52" s="51"/>
    </row>
    <row r="53" spans="1:42" ht="21" customHeight="1" thickTop="1" thickBot="1" x14ac:dyDescent="0.35">
      <c r="A53" s="63"/>
      <c r="B53" s="66"/>
      <c r="C53" s="53">
        <v>5</v>
      </c>
      <c r="D53" s="45">
        <v>268.25</v>
      </c>
      <c r="E53" s="45"/>
      <c r="F53" s="45"/>
      <c r="G53" s="45"/>
      <c r="H53" s="45"/>
      <c r="I53" s="45"/>
      <c r="J53" s="51"/>
      <c r="K53" s="53">
        <v>5</v>
      </c>
      <c r="L53" s="45">
        <v>269.12</v>
      </c>
      <c r="M53" s="45"/>
      <c r="N53" s="45"/>
      <c r="O53" s="45"/>
      <c r="P53" s="45"/>
      <c r="Q53" s="45"/>
      <c r="R53" s="51"/>
      <c r="S53" s="53">
        <v>5</v>
      </c>
      <c r="T53" s="45">
        <v>271.45</v>
      </c>
      <c r="U53" s="45"/>
      <c r="V53" s="45"/>
      <c r="W53" s="45"/>
      <c r="X53" s="45"/>
      <c r="Y53" s="45"/>
      <c r="Z53" s="51"/>
      <c r="AA53" s="53">
        <v>5</v>
      </c>
      <c r="AB53" s="45">
        <v>270.43999999999988</v>
      </c>
      <c r="AC53" s="45"/>
      <c r="AD53" s="45"/>
      <c r="AE53" s="45"/>
      <c r="AF53" s="45"/>
      <c r="AG53" s="45"/>
      <c r="AH53" s="51"/>
      <c r="AI53" s="53">
        <v>5</v>
      </c>
      <c r="AJ53" s="45">
        <v>271.58999999999997</v>
      </c>
      <c r="AK53" s="45"/>
      <c r="AL53" s="45"/>
      <c r="AM53" s="45"/>
      <c r="AN53" s="45"/>
      <c r="AO53" s="45"/>
      <c r="AP53" s="51"/>
    </row>
    <row r="54" spans="1:42" ht="21" customHeight="1" thickTop="1" thickBot="1" x14ac:dyDescent="0.35">
      <c r="A54" s="63"/>
      <c r="B54" s="66"/>
      <c r="C54" s="53">
        <v>6</v>
      </c>
      <c r="D54" s="45">
        <v>269.31</v>
      </c>
      <c r="E54" s="45"/>
      <c r="F54" s="45"/>
      <c r="G54" s="45"/>
      <c r="H54" s="45"/>
      <c r="I54" s="45"/>
      <c r="J54" s="51"/>
      <c r="K54" s="53">
        <v>6</v>
      </c>
      <c r="L54" s="45">
        <v>271.16000000000003</v>
      </c>
      <c r="M54" s="45"/>
      <c r="N54" s="45"/>
      <c r="O54" s="45"/>
      <c r="P54" s="45"/>
      <c r="Q54" s="45"/>
      <c r="R54" s="51"/>
      <c r="S54" s="53">
        <v>6</v>
      </c>
      <c r="T54" s="45">
        <v>271.54000000000002</v>
      </c>
      <c r="U54" s="45"/>
      <c r="V54" s="45"/>
      <c r="W54" s="45"/>
      <c r="X54" s="45"/>
      <c r="Y54" s="45"/>
      <c r="Z54" s="51"/>
      <c r="AA54" s="53">
        <v>6</v>
      </c>
      <c r="AB54" s="45">
        <v>270.02999999999997</v>
      </c>
      <c r="AC54" s="45"/>
      <c r="AD54" s="45"/>
      <c r="AE54" s="45"/>
      <c r="AF54" s="45"/>
      <c r="AG54" s="45"/>
      <c r="AH54" s="51"/>
      <c r="AI54" s="53">
        <v>6</v>
      </c>
      <c r="AJ54" s="45">
        <v>271.54000000000002</v>
      </c>
      <c r="AK54" s="45"/>
      <c r="AL54" s="45"/>
      <c r="AM54" s="45"/>
      <c r="AN54" s="45"/>
      <c r="AO54" s="45"/>
      <c r="AP54" s="51"/>
    </row>
    <row r="55" spans="1:42" ht="21" customHeight="1" thickTop="1" thickBot="1" x14ac:dyDescent="0.35">
      <c r="A55" s="63"/>
      <c r="B55" s="66"/>
      <c r="C55" s="53">
        <v>7</v>
      </c>
      <c r="D55" s="45">
        <v>268.72000000000003</v>
      </c>
      <c r="E55" s="45"/>
      <c r="F55" s="45"/>
      <c r="G55" s="45"/>
      <c r="H55" s="45"/>
      <c r="I55" s="45"/>
      <c r="J55" s="51"/>
      <c r="K55" s="53">
        <v>7</v>
      </c>
      <c r="L55" s="45">
        <v>269.14999999999998</v>
      </c>
      <c r="M55" s="45"/>
      <c r="N55" s="45"/>
      <c r="O55" s="45"/>
      <c r="P55" s="45"/>
      <c r="Q55" s="45"/>
      <c r="R55" s="51"/>
      <c r="S55" s="53">
        <v>7</v>
      </c>
      <c r="T55" s="45">
        <v>274.58</v>
      </c>
      <c r="U55" s="45"/>
      <c r="V55" s="45"/>
      <c r="W55" s="45"/>
      <c r="X55" s="45"/>
      <c r="Y55" s="45"/>
      <c r="Z55" s="51"/>
      <c r="AA55" s="53">
        <v>7</v>
      </c>
      <c r="AB55" s="45">
        <v>272.24</v>
      </c>
      <c r="AC55" s="45"/>
      <c r="AD55" s="45"/>
      <c r="AE55" s="45"/>
      <c r="AF55" s="45"/>
      <c r="AG55" s="45"/>
      <c r="AH55" s="51"/>
      <c r="AI55" s="53">
        <v>7</v>
      </c>
      <c r="AJ55" s="45">
        <v>271.67</v>
      </c>
      <c r="AK55" s="45"/>
      <c r="AL55" s="45"/>
      <c r="AM55" s="45"/>
      <c r="AN55" s="45"/>
      <c r="AO55" s="45"/>
      <c r="AP55" s="51"/>
    </row>
    <row r="56" spans="1:42" ht="21" customHeight="1" thickTop="1" thickBot="1" x14ac:dyDescent="0.35">
      <c r="A56" s="63"/>
      <c r="B56" s="66"/>
      <c r="C56" s="53">
        <v>8</v>
      </c>
      <c r="D56" s="45">
        <v>268.44</v>
      </c>
      <c r="E56" s="45"/>
      <c r="F56" s="45"/>
      <c r="G56" s="45"/>
      <c r="H56" s="45"/>
      <c r="I56" s="45"/>
      <c r="J56" s="51"/>
      <c r="K56" s="53">
        <v>8</v>
      </c>
      <c r="L56" s="45">
        <v>269.27999999999997</v>
      </c>
      <c r="M56" s="45"/>
      <c r="N56" s="45"/>
      <c r="O56" s="45"/>
      <c r="P56" s="45"/>
      <c r="Q56" s="45"/>
      <c r="R56" s="51"/>
      <c r="S56" s="53">
        <v>8</v>
      </c>
      <c r="T56" s="45">
        <v>271.36</v>
      </c>
      <c r="U56" s="45"/>
      <c r="V56" s="45"/>
      <c r="W56" s="45"/>
      <c r="X56" s="45"/>
      <c r="Y56" s="45"/>
      <c r="Z56" s="51"/>
      <c r="AA56" s="53">
        <v>8</v>
      </c>
      <c r="AB56" s="45">
        <v>271.51</v>
      </c>
      <c r="AC56" s="45"/>
      <c r="AD56" s="45"/>
      <c r="AE56" s="45"/>
      <c r="AF56" s="45"/>
      <c r="AG56" s="45"/>
      <c r="AH56" s="51"/>
      <c r="AI56" s="53">
        <v>8</v>
      </c>
      <c r="AJ56" s="45">
        <v>272.89</v>
      </c>
      <c r="AK56" s="45"/>
      <c r="AL56" s="45"/>
      <c r="AM56" s="45"/>
      <c r="AN56" s="45"/>
      <c r="AO56" s="45"/>
      <c r="AP56" s="51"/>
    </row>
    <row r="57" spans="1:42" ht="21" customHeight="1" thickTop="1" thickBot="1" x14ac:dyDescent="0.35">
      <c r="A57" s="63"/>
      <c r="B57" s="66"/>
      <c r="C57" s="53">
        <v>9</v>
      </c>
      <c r="D57" s="45">
        <v>268.58</v>
      </c>
      <c r="E57" s="45"/>
      <c r="F57" s="45"/>
      <c r="G57" s="45"/>
      <c r="H57" s="45"/>
      <c r="I57" s="45"/>
      <c r="J57" s="51"/>
      <c r="K57" s="53">
        <v>9</v>
      </c>
      <c r="L57" s="45">
        <v>270.85000000000002</v>
      </c>
      <c r="M57" s="45"/>
      <c r="N57" s="45"/>
      <c r="O57" s="45"/>
      <c r="P57" s="45"/>
      <c r="Q57" s="45"/>
      <c r="R57" s="51"/>
      <c r="S57" s="53">
        <v>9</v>
      </c>
      <c r="T57" s="45">
        <v>269.73</v>
      </c>
      <c r="U57" s="45"/>
      <c r="V57" s="45"/>
      <c r="W57" s="45"/>
      <c r="X57" s="45"/>
      <c r="Y57" s="45"/>
      <c r="Z57" s="51"/>
      <c r="AA57" s="53">
        <v>9</v>
      </c>
      <c r="AB57" s="45">
        <v>269.33999999999997</v>
      </c>
      <c r="AC57" s="45"/>
      <c r="AD57" s="45"/>
      <c r="AE57" s="45"/>
      <c r="AF57" s="45"/>
      <c r="AG57" s="45"/>
      <c r="AH57" s="51"/>
      <c r="AI57" s="53">
        <v>9</v>
      </c>
      <c r="AJ57" s="45">
        <v>272.20999999999998</v>
      </c>
      <c r="AK57" s="45"/>
      <c r="AL57" s="45"/>
      <c r="AM57" s="45"/>
      <c r="AN57" s="45"/>
      <c r="AO57" s="45"/>
      <c r="AP57" s="51"/>
    </row>
    <row r="58" spans="1:42" ht="21" customHeight="1" thickTop="1" thickBot="1" x14ac:dyDescent="0.35">
      <c r="A58" s="63"/>
      <c r="B58" s="66"/>
      <c r="C58" s="53">
        <v>10</v>
      </c>
      <c r="D58" s="45">
        <v>268.95</v>
      </c>
      <c r="E58" s="45"/>
      <c r="F58" s="45"/>
      <c r="G58" s="45"/>
      <c r="H58" s="45"/>
      <c r="I58" s="45"/>
      <c r="J58" s="51"/>
      <c r="K58" s="53">
        <v>10</v>
      </c>
      <c r="L58" s="45">
        <v>269.06</v>
      </c>
      <c r="M58" s="45"/>
      <c r="N58" s="45"/>
      <c r="O58" s="45"/>
      <c r="P58" s="45"/>
      <c r="Q58" s="45"/>
      <c r="R58" s="51"/>
      <c r="S58" s="53">
        <v>10</v>
      </c>
      <c r="T58" s="45">
        <v>270.89999999999998</v>
      </c>
      <c r="U58" s="45"/>
      <c r="V58" s="45"/>
      <c r="W58" s="45"/>
      <c r="X58" s="45"/>
      <c r="Y58" s="45"/>
      <c r="Z58" s="51"/>
      <c r="AA58" s="53">
        <v>10</v>
      </c>
      <c r="AB58" s="45">
        <v>272.07</v>
      </c>
      <c r="AC58" s="45"/>
      <c r="AD58" s="45"/>
      <c r="AE58" s="45"/>
      <c r="AF58" s="45"/>
      <c r="AG58" s="45"/>
      <c r="AH58" s="51"/>
      <c r="AI58" s="53">
        <v>10</v>
      </c>
      <c r="AJ58" s="45">
        <v>273.17</v>
      </c>
      <c r="AK58" s="45"/>
      <c r="AL58" s="45"/>
      <c r="AM58" s="45"/>
      <c r="AN58" s="45"/>
      <c r="AO58" s="45"/>
      <c r="AP58" s="51"/>
    </row>
    <row r="59" spans="1:42" ht="21" customHeight="1" thickTop="1" thickBot="1" x14ac:dyDescent="0.35">
      <c r="A59" s="63"/>
      <c r="B59" s="66"/>
      <c r="C59" s="53"/>
      <c r="D59" s="45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66"/>
      <c r="C60" s="54" t="s">
        <v>16</v>
      </c>
      <c r="D60" s="49">
        <f>MIN(D49:D58)</f>
        <v>267.23</v>
      </c>
      <c r="E60" s="45"/>
      <c r="F60" s="55" t="s">
        <v>17</v>
      </c>
      <c r="G60" s="49" t="s">
        <v>18</v>
      </c>
      <c r="H60" s="49" t="s">
        <v>19</v>
      </c>
      <c r="I60" s="45"/>
      <c r="J60" s="51"/>
      <c r="K60" s="54" t="s">
        <v>16</v>
      </c>
      <c r="L60" s="49">
        <f>MIN(L49:L58)</f>
        <v>269.06</v>
      </c>
      <c r="M60" s="45"/>
      <c r="N60" s="55" t="s">
        <v>17</v>
      </c>
      <c r="O60" s="49" t="s">
        <v>18</v>
      </c>
      <c r="P60" s="49" t="s">
        <v>19</v>
      </c>
      <c r="Q60" s="45"/>
      <c r="R60" s="51"/>
      <c r="S60" s="54" t="s">
        <v>16</v>
      </c>
      <c r="T60" s="49">
        <f>MIN(T49:T58)</f>
        <v>269.73</v>
      </c>
      <c r="U60" s="45"/>
      <c r="V60" s="55" t="s">
        <v>17</v>
      </c>
      <c r="W60" s="49" t="s">
        <v>18</v>
      </c>
      <c r="X60" s="49" t="s">
        <v>19</v>
      </c>
      <c r="Y60" s="45"/>
      <c r="Z60" s="51"/>
      <c r="AA60" s="54" t="s">
        <v>16</v>
      </c>
      <c r="AB60" s="49">
        <f>MIN(AB49:AB58)</f>
        <v>269.33999999999997</v>
      </c>
      <c r="AC60" s="45"/>
      <c r="AD60" s="55" t="s">
        <v>17</v>
      </c>
      <c r="AE60" s="49" t="s">
        <v>18</v>
      </c>
      <c r="AF60" s="49" t="s">
        <v>19</v>
      </c>
      <c r="AG60" s="45"/>
      <c r="AH60" s="51"/>
      <c r="AI60" s="54" t="s">
        <v>16</v>
      </c>
      <c r="AJ60" s="49">
        <f>MIN(AJ49:AJ58)</f>
        <v>270.42999999999989</v>
      </c>
      <c r="AK60" s="45"/>
      <c r="AL60" s="55" t="s">
        <v>17</v>
      </c>
      <c r="AM60" s="49" t="s">
        <v>18</v>
      </c>
      <c r="AN60" s="49" t="s">
        <v>19</v>
      </c>
      <c r="AO60" s="45"/>
      <c r="AP60" s="51"/>
    </row>
    <row r="61" spans="1:42" ht="21" customHeight="1" thickTop="1" thickBot="1" x14ac:dyDescent="0.35">
      <c r="A61" s="63"/>
      <c r="B61" s="66"/>
      <c r="C61" s="54" t="s">
        <v>20</v>
      </c>
      <c r="D61" s="48">
        <f>AVERAGE(D49:D58)</f>
        <v>268.75599999999997</v>
      </c>
      <c r="E61" s="47"/>
      <c r="F61" s="48">
        <f>_xlfn.STDEV.S(D49:D58) / AVERAGE(D49:D58) * 100%</f>
        <v>3.0168297968035523E-3</v>
      </c>
      <c r="G61" s="48">
        <f t="array" ref="G61">MIN((D49:D58 - MIN(D49:D58,L49:L58,T49:T58,AB49:AB58,AJ49:AJ58))/MIN(D49:D58,L49:L58,T49:T58,AB49:AB58,AJ49:AJ58)*100%)</f>
        <v>0</v>
      </c>
      <c r="H61" s="48">
        <f t="array" ref="H61">AVERAGE((D49:D58 - MIN(D49:D58,L49:L58,T49:T58,AB49:AB58,AJ49:AJ58))/MIN(D49:D58,L49:L58,T49:T58,AB49:AB58,AJ49:AJ58)*100%)</f>
        <v>5.7104367024659727E-3</v>
      </c>
      <c r="I61" s="45"/>
      <c r="J61" s="51"/>
      <c r="K61" s="54" t="s">
        <v>20</v>
      </c>
      <c r="L61" s="48">
        <f>AVERAGE(L49:L58)</f>
        <v>269.91300000000001</v>
      </c>
      <c r="M61" s="47"/>
      <c r="N61" s="48">
        <f>_xlfn.STDEV.S(L49:L58) / AVERAGE(L49:L58) * 100%</f>
        <v>3.0034841348026775E-3</v>
      </c>
      <c r="O61" s="48">
        <f t="array" ref="O61">MIN((L49:L58 - MIN(D49:D58,L49:L58,T49:T58,AB49:AB58,AJ49:AJ58))/MIN(D49:D58,L49:L58,T49:T58,AB49:AB58,AJ49:AJ58)*100%)</f>
        <v>6.8480335291695692E-3</v>
      </c>
      <c r="P61" s="48">
        <f t="array" ref="P61">AVERAGE((L49:L58 - MIN(D49:D58,L49:L58,T49:T58,AB49:AB58,AJ49:AJ58))/MIN(D49:D58,L49:L58,T49:T58,AB49:AB58,AJ49:AJ58)*100%)</f>
        <v>1.0040040414623995E-2</v>
      </c>
      <c r="Q61" s="44"/>
      <c r="R61" s="51"/>
      <c r="S61" s="54" t="s">
        <v>20</v>
      </c>
      <c r="T61" s="48">
        <f>AVERAGE(T49:T58)</f>
        <v>271.471</v>
      </c>
      <c r="U61" s="47"/>
      <c r="V61" s="48">
        <f>_xlfn.STDEV.S(T49:T58) / AVERAGE(T49:T58) * 100%</f>
        <v>4.92535159966556E-3</v>
      </c>
      <c r="W61" s="48">
        <f t="array" ref="W61">MIN((T49:T58 - MIN(D49:D58,L49:L58,T49:T58,AB49:AB58,AJ49:AJ58))/MIN(D49:D58,L49:L58,T49:T58,AB49:AB58,AJ49:AJ58)*100%)</f>
        <v>9.3552370617071435E-3</v>
      </c>
      <c r="X61" s="48">
        <f t="array" ref="X61">AVERAGE((T49:T58 - MIN(D49:D58,L49:L58,T49:T58,AB49:AB58,AJ49:AJ58))/MIN(D49:D58,L49:L58,T49:T58,AB49:AB58,AJ49:AJ58)*100%)</f>
        <v>1.5870224151479879E-2</v>
      </c>
      <c r="Y61" s="44"/>
      <c r="Z61" s="51"/>
      <c r="AA61" s="54" t="s">
        <v>20</v>
      </c>
      <c r="AB61" s="48">
        <f>AVERAGE(AB49:AB58)</f>
        <v>270.71600000000001</v>
      </c>
      <c r="AC61" s="47"/>
      <c r="AD61" s="48">
        <f>_xlfn.STDEV.S(AB49:AB58) / AVERAGE(AB49:AB58) * 100%</f>
        <v>3.6888233316992392E-3</v>
      </c>
      <c r="AE61" s="48">
        <f t="array" ref="AE61">MIN((AB49:AB58 - MIN(D49:D58,L49:L58,T49:T58,AB49:AB58,AJ49:AJ58))/MIN(D49:D58,L49:L58,T49:T58,AB49:AB58,AJ49:AJ58)*100%)</f>
        <v>7.8958200800806674E-3</v>
      </c>
      <c r="AF61" s="48">
        <f t="array" ref="AF61">AVERAGE((AB49:AB58 - MIN(D49:D58,L49:L58,T49:T58,AB49:AB58,AJ49:AJ58))/MIN(D49:D58,L49:L58,T49:T58,AB49:AB58,AJ49:AJ58)*100%)</f>
        <v>1.3044942558844275E-2</v>
      </c>
      <c r="AG61" s="44"/>
      <c r="AH61" s="51"/>
      <c r="AI61" s="54" t="s">
        <v>20</v>
      </c>
      <c r="AJ61" s="48">
        <f>AVERAGE(AJ49:AJ58)</f>
        <v>271.91899999999998</v>
      </c>
      <c r="AK61" s="47"/>
      <c r="AL61" s="48">
        <f>_xlfn.STDEV.S(AJ49:AJ58) / AVERAGE(AJ49:AJ58) * 100%</f>
        <v>2.8925742396969062E-3</v>
      </c>
      <c r="AM61" s="48">
        <f t="array" ref="AM61">MIN((AJ49:AJ58 - MIN(D49:D58,L49:L58,T49:T58,AB49:AB58,AJ49:AJ58))/MIN(D49:D58,L49:L58,T49:T58,AB49:AB58,AJ49:AJ58)*100%)</f>
        <v>1.1974703438984675E-2</v>
      </c>
      <c r="AN61" s="48">
        <f t="array" ref="AN61">AVERAGE((AJ49:AJ58 - MIN(D49:D58,L49:L58,T49:T58,AB49:AB58,AJ49:AJ58))/MIN(D49:D58,L49:L58,T49:T58,AB49:AB58,AJ49:AJ58)*100%)</f>
        <v>1.7546682632937807E-2</v>
      </c>
      <c r="AO61" s="44"/>
      <c r="AP61" s="51"/>
    </row>
    <row r="62" spans="1:42" ht="21" customHeight="1" thickTop="1" thickBot="1" x14ac:dyDescent="0.35">
      <c r="A62" s="63"/>
      <c r="B62" s="67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3"/>
      <c r="B63" s="65" t="s">
        <v>70</v>
      </c>
      <c r="C63" s="59" t="s">
        <v>8</v>
      </c>
      <c r="D63" s="46" t="s">
        <v>9</v>
      </c>
      <c r="E63" s="46" t="s">
        <v>10</v>
      </c>
      <c r="F63" s="46" t="s">
        <v>11</v>
      </c>
      <c r="G63" s="46" t="s">
        <v>12</v>
      </c>
      <c r="H63" s="46" t="s">
        <v>13</v>
      </c>
      <c r="I63" s="46" t="s">
        <v>14</v>
      </c>
      <c r="J63" s="60" t="s">
        <v>15</v>
      </c>
      <c r="K63" s="59" t="s">
        <v>8</v>
      </c>
      <c r="L63" s="46" t="s">
        <v>9</v>
      </c>
      <c r="M63" s="46" t="s">
        <v>10</v>
      </c>
      <c r="N63" s="46" t="s">
        <v>11</v>
      </c>
      <c r="O63" s="46" t="s">
        <v>12</v>
      </c>
      <c r="P63" s="46" t="s">
        <v>13</v>
      </c>
      <c r="Q63" s="46" t="s">
        <v>14</v>
      </c>
      <c r="R63" s="60" t="s">
        <v>15</v>
      </c>
      <c r="S63" s="59" t="s">
        <v>8</v>
      </c>
      <c r="T63" s="46" t="s">
        <v>9</v>
      </c>
      <c r="U63" s="46" t="s">
        <v>10</v>
      </c>
      <c r="V63" s="46" t="s">
        <v>11</v>
      </c>
      <c r="W63" s="46" t="s">
        <v>12</v>
      </c>
      <c r="X63" s="46" t="s">
        <v>13</v>
      </c>
      <c r="Y63" s="46" t="s">
        <v>14</v>
      </c>
      <c r="Z63" s="60" t="s">
        <v>15</v>
      </c>
      <c r="AA63" s="59" t="s">
        <v>8</v>
      </c>
      <c r="AB63" s="46" t="s">
        <v>9</v>
      </c>
      <c r="AC63" s="46" t="s">
        <v>10</v>
      </c>
      <c r="AD63" s="46" t="s">
        <v>11</v>
      </c>
      <c r="AE63" s="46" t="s">
        <v>12</v>
      </c>
      <c r="AF63" s="46" t="s">
        <v>13</v>
      </c>
      <c r="AG63" s="46" t="s">
        <v>14</v>
      </c>
      <c r="AH63" s="60" t="s">
        <v>15</v>
      </c>
      <c r="AI63" s="59" t="s">
        <v>8</v>
      </c>
      <c r="AJ63" s="46" t="s">
        <v>9</v>
      </c>
      <c r="AK63" s="46" t="s">
        <v>10</v>
      </c>
      <c r="AL63" s="46" t="s">
        <v>11</v>
      </c>
      <c r="AM63" s="46" t="s">
        <v>12</v>
      </c>
      <c r="AN63" s="46" t="s">
        <v>13</v>
      </c>
      <c r="AO63" s="46" t="s">
        <v>14</v>
      </c>
      <c r="AP63" s="60" t="s">
        <v>15</v>
      </c>
    </row>
    <row r="64" spans="1:42" ht="21" customHeight="1" thickTop="1" thickBot="1" x14ac:dyDescent="0.35">
      <c r="A64" s="63"/>
      <c r="B64" s="66"/>
      <c r="C64" s="52">
        <v>1</v>
      </c>
      <c r="D64" s="44">
        <v>274.29000000000002</v>
      </c>
      <c r="E64" s="44"/>
      <c r="F64" s="44"/>
      <c r="G64" s="44"/>
      <c r="H64" s="44"/>
      <c r="I64" s="44"/>
      <c r="J64" s="51"/>
      <c r="K64" s="52">
        <v>1</v>
      </c>
      <c r="L64" s="44">
        <v>274.82999999999993</v>
      </c>
      <c r="M64" s="44"/>
      <c r="N64" s="44"/>
      <c r="O64" s="44"/>
      <c r="P64" s="44"/>
      <c r="Q64" s="44"/>
      <c r="R64" s="51"/>
      <c r="S64" s="52">
        <v>1</v>
      </c>
      <c r="T64" s="44">
        <v>274.5</v>
      </c>
      <c r="U64" s="44"/>
      <c r="V64" s="44"/>
      <c r="W64" s="44"/>
      <c r="X64" s="44"/>
      <c r="Y64" s="44"/>
      <c r="Z64" s="51"/>
      <c r="AA64" s="52">
        <v>1</v>
      </c>
      <c r="AB64" s="44">
        <v>274.58</v>
      </c>
      <c r="AC64" s="44"/>
      <c r="AD64" s="44"/>
      <c r="AE64" s="44"/>
      <c r="AF64" s="44"/>
      <c r="AG64" s="44"/>
      <c r="AH64" s="51"/>
      <c r="AI64" s="52">
        <v>1</v>
      </c>
      <c r="AJ64" s="44">
        <v>274.30999999999989</v>
      </c>
      <c r="AK64" s="44"/>
      <c r="AL64" s="44"/>
      <c r="AM64" s="44"/>
      <c r="AN64" s="44"/>
      <c r="AO64" s="44"/>
      <c r="AP64" s="51"/>
    </row>
    <row r="65" spans="1:42" ht="21" customHeight="1" thickTop="1" thickBot="1" x14ac:dyDescent="0.35">
      <c r="A65" s="63"/>
      <c r="B65" s="66"/>
      <c r="C65" s="53">
        <v>2</v>
      </c>
      <c r="D65" s="45">
        <v>274.29000000000002</v>
      </c>
      <c r="E65" s="45"/>
      <c r="F65" s="45"/>
      <c r="G65" s="45"/>
      <c r="H65" s="45"/>
      <c r="I65" s="45"/>
      <c r="J65" s="51"/>
      <c r="K65" s="53">
        <v>2</v>
      </c>
      <c r="L65" s="45">
        <v>274.58</v>
      </c>
      <c r="M65" s="45"/>
      <c r="N65" s="45"/>
      <c r="O65" s="45"/>
      <c r="P65" s="45"/>
      <c r="Q65" s="45"/>
      <c r="R65" s="51"/>
      <c r="S65" s="53">
        <v>2</v>
      </c>
      <c r="T65" s="45">
        <v>275.24</v>
      </c>
      <c r="U65" s="45"/>
      <c r="V65" s="45"/>
      <c r="W65" s="45"/>
      <c r="X65" s="45"/>
      <c r="Y65" s="45"/>
      <c r="Z65" s="51"/>
      <c r="AA65" s="53">
        <v>2</v>
      </c>
      <c r="AB65" s="45">
        <v>274.29000000000002</v>
      </c>
      <c r="AC65" s="45"/>
      <c r="AD65" s="45"/>
      <c r="AE65" s="45"/>
      <c r="AF65" s="45"/>
      <c r="AG65" s="45"/>
      <c r="AH65" s="51"/>
      <c r="AI65" s="53">
        <v>2</v>
      </c>
      <c r="AJ65" s="45">
        <v>273.61999999999989</v>
      </c>
      <c r="AK65" s="45"/>
      <c r="AL65" s="45"/>
      <c r="AM65" s="45"/>
      <c r="AN65" s="45"/>
      <c r="AO65" s="45"/>
      <c r="AP65" s="51"/>
    </row>
    <row r="66" spans="1:42" ht="21" customHeight="1" thickTop="1" thickBot="1" x14ac:dyDescent="0.35">
      <c r="A66" s="63"/>
      <c r="B66" s="66"/>
      <c r="C66" s="53">
        <v>3</v>
      </c>
      <c r="D66" s="45">
        <v>274.29000000000002</v>
      </c>
      <c r="E66" s="45"/>
      <c r="F66" s="45"/>
      <c r="G66" s="44"/>
      <c r="H66" s="44"/>
      <c r="I66" s="44"/>
      <c r="J66" s="51"/>
      <c r="K66" s="53">
        <v>3</v>
      </c>
      <c r="L66" s="45">
        <v>274.66000000000003</v>
      </c>
      <c r="M66" s="45"/>
      <c r="N66" s="45"/>
      <c r="O66" s="44"/>
      <c r="P66" s="44"/>
      <c r="Q66" s="44"/>
      <c r="R66" s="51"/>
      <c r="S66" s="53">
        <v>3</v>
      </c>
      <c r="T66" s="45">
        <v>273.42999999999989</v>
      </c>
      <c r="U66" s="45"/>
      <c r="V66" s="45"/>
      <c r="W66" s="44"/>
      <c r="X66" s="44"/>
      <c r="Y66" s="44"/>
      <c r="Z66" s="51"/>
      <c r="AA66" s="53">
        <v>3</v>
      </c>
      <c r="AB66" s="45">
        <v>274.58</v>
      </c>
      <c r="AC66" s="45"/>
      <c r="AD66" s="45"/>
      <c r="AE66" s="44"/>
      <c r="AF66" s="44"/>
      <c r="AG66" s="44"/>
      <c r="AH66" s="51"/>
      <c r="AI66" s="53">
        <v>3</v>
      </c>
      <c r="AJ66" s="45">
        <v>273.62</v>
      </c>
      <c r="AK66" s="45"/>
      <c r="AL66" s="45"/>
      <c r="AM66" s="44"/>
      <c r="AN66" s="44"/>
      <c r="AO66" s="44"/>
      <c r="AP66" s="51"/>
    </row>
    <row r="67" spans="1:42" ht="21" customHeight="1" thickTop="1" thickBot="1" x14ac:dyDescent="0.35">
      <c r="A67" s="63"/>
      <c r="B67" s="66"/>
      <c r="C67" s="53">
        <v>4</v>
      </c>
      <c r="D67" s="45">
        <v>274.29000000000002</v>
      </c>
      <c r="E67" s="45"/>
      <c r="F67" s="45"/>
      <c r="G67" s="45"/>
      <c r="H67" s="45"/>
      <c r="I67" s="45"/>
      <c r="J67" s="51"/>
      <c r="K67" s="53">
        <v>4</v>
      </c>
      <c r="L67" s="45">
        <v>274.3</v>
      </c>
      <c r="M67" s="45"/>
      <c r="N67" s="45"/>
      <c r="O67" s="45"/>
      <c r="P67" s="45"/>
      <c r="Q67" s="45"/>
      <c r="R67" s="51"/>
      <c r="S67" s="53">
        <v>4</v>
      </c>
      <c r="T67" s="45">
        <v>276.81</v>
      </c>
      <c r="U67" s="45"/>
      <c r="V67" s="45"/>
      <c r="W67" s="45"/>
      <c r="X67" s="45"/>
      <c r="Y67" s="45"/>
      <c r="Z67" s="51"/>
      <c r="AA67" s="53">
        <v>4</v>
      </c>
      <c r="AB67" s="45">
        <v>274.58</v>
      </c>
      <c r="AC67" s="45"/>
      <c r="AD67" s="45"/>
      <c r="AE67" s="45"/>
      <c r="AF67" s="45"/>
      <c r="AG67" s="45"/>
      <c r="AH67" s="51"/>
      <c r="AI67" s="53">
        <v>4</v>
      </c>
      <c r="AJ67" s="45">
        <v>274.11</v>
      </c>
      <c r="AK67" s="45"/>
      <c r="AL67" s="45"/>
      <c r="AM67" s="45"/>
      <c r="AN67" s="45"/>
      <c r="AO67" s="45"/>
      <c r="AP67" s="51"/>
    </row>
    <row r="68" spans="1:42" ht="21" customHeight="1" thickTop="1" thickBot="1" x14ac:dyDescent="0.35">
      <c r="A68" s="63"/>
      <c r="B68" s="66"/>
      <c r="C68" s="53">
        <v>5</v>
      </c>
      <c r="D68" s="45">
        <v>274.58</v>
      </c>
      <c r="E68" s="45"/>
      <c r="F68" s="45"/>
      <c r="G68" s="45"/>
      <c r="H68" s="45"/>
      <c r="I68" s="45"/>
      <c r="J68" s="51"/>
      <c r="K68" s="53">
        <v>5</v>
      </c>
      <c r="L68" s="45">
        <v>274.18999999999988</v>
      </c>
      <c r="M68" s="45"/>
      <c r="N68" s="45"/>
      <c r="O68" s="45"/>
      <c r="P68" s="45"/>
      <c r="Q68" s="45"/>
      <c r="R68" s="51"/>
      <c r="S68" s="53">
        <v>5</v>
      </c>
      <c r="T68" s="45">
        <v>274.24</v>
      </c>
      <c r="U68" s="45"/>
      <c r="V68" s="45"/>
      <c r="W68" s="45"/>
      <c r="X68" s="45"/>
      <c r="Y68" s="45"/>
      <c r="Z68" s="51"/>
      <c r="AA68" s="53">
        <v>5</v>
      </c>
      <c r="AB68" s="45">
        <v>274.79000000000002</v>
      </c>
      <c r="AC68" s="45"/>
      <c r="AD68" s="45"/>
      <c r="AE68" s="45"/>
      <c r="AF68" s="45"/>
      <c r="AG68" s="45"/>
      <c r="AH68" s="51"/>
      <c r="AI68" s="53">
        <v>5</v>
      </c>
      <c r="AJ68" s="45">
        <v>274.30999999999989</v>
      </c>
      <c r="AK68" s="45"/>
      <c r="AL68" s="45"/>
      <c r="AM68" s="45"/>
      <c r="AN68" s="45"/>
      <c r="AO68" s="45"/>
      <c r="AP68" s="51"/>
    </row>
    <row r="69" spans="1:42" ht="21" customHeight="1" thickTop="1" thickBot="1" x14ac:dyDescent="0.35">
      <c r="A69" s="63"/>
      <c r="B69" s="66"/>
      <c r="C69" s="53">
        <v>6</v>
      </c>
      <c r="D69" s="45">
        <v>274.62999999999988</v>
      </c>
      <c r="E69" s="45"/>
      <c r="F69" s="45"/>
      <c r="G69" s="45"/>
      <c r="H69" s="45"/>
      <c r="I69" s="45"/>
      <c r="J69" s="51"/>
      <c r="K69" s="53">
        <v>6</v>
      </c>
      <c r="L69" s="45">
        <v>275.04000000000002</v>
      </c>
      <c r="M69" s="45"/>
      <c r="N69" s="45"/>
      <c r="O69" s="45"/>
      <c r="P69" s="45"/>
      <c r="Q69" s="45"/>
      <c r="R69" s="51"/>
      <c r="S69" s="53">
        <v>6</v>
      </c>
      <c r="T69" s="45">
        <v>275.83999999999997</v>
      </c>
      <c r="U69" s="45"/>
      <c r="V69" s="45"/>
      <c r="W69" s="45"/>
      <c r="X69" s="45"/>
      <c r="Y69" s="45"/>
      <c r="Z69" s="51"/>
      <c r="AA69" s="53">
        <v>6</v>
      </c>
      <c r="AB69" s="45">
        <v>274.61</v>
      </c>
      <c r="AC69" s="45"/>
      <c r="AD69" s="45"/>
      <c r="AE69" s="45"/>
      <c r="AF69" s="45"/>
      <c r="AG69" s="45"/>
      <c r="AH69" s="51"/>
      <c r="AI69" s="53">
        <v>6</v>
      </c>
      <c r="AJ69" s="45">
        <v>273.62</v>
      </c>
      <c r="AK69" s="45"/>
      <c r="AL69" s="45"/>
      <c r="AM69" s="45"/>
      <c r="AN69" s="45"/>
      <c r="AO69" s="45"/>
      <c r="AP69" s="51"/>
    </row>
    <row r="70" spans="1:42" ht="21" customHeight="1" thickTop="1" thickBot="1" x14ac:dyDescent="0.35">
      <c r="A70" s="63"/>
      <c r="B70" s="66"/>
      <c r="C70" s="53">
        <v>7</v>
      </c>
      <c r="D70" s="45">
        <v>274.79000000000002</v>
      </c>
      <c r="E70" s="45"/>
      <c r="F70" s="45"/>
      <c r="G70" s="45"/>
      <c r="H70" s="45"/>
      <c r="I70" s="45"/>
      <c r="J70" s="51"/>
      <c r="K70" s="53">
        <v>7</v>
      </c>
      <c r="L70" s="45">
        <v>274.58</v>
      </c>
      <c r="M70" s="45"/>
      <c r="N70" s="45"/>
      <c r="O70" s="45"/>
      <c r="P70" s="45"/>
      <c r="Q70" s="45"/>
      <c r="R70" s="51"/>
      <c r="S70" s="53">
        <v>7</v>
      </c>
      <c r="T70" s="45">
        <v>273.61999999999989</v>
      </c>
      <c r="U70" s="45"/>
      <c r="V70" s="45"/>
      <c r="W70" s="45"/>
      <c r="X70" s="45"/>
      <c r="Y70" s="45"/>
      <c r="Z70" s="51"/>
      <c r="AA70" s="53">
        <v>7</v>
      </c>
      <c r="AB70" s="45">
        <v>274.77999999999997</v>
      </c>
      <c r="AC70" s="45"/>
      <c r="AD70" s="45"/>
      <c r="AE70" s="45"/>
      <c r="AF70" s="45"/>
      <c r="AG70" s="45"/>
      <c r="AH70" s="51"/>
      <c r="AI70" s="53">
        <v>7</v>
      </c>
      <c r="AJ70" s="45">
        <v>273.62</v>
      </c>
      <c r="AK70" s="45"/>
      <c r="AL70" s="45"/>
      <c r="AM70" s="45"/>
      <c r="AN70" s="45"/>
      <c r="AO70" s="45"/>
      <c r="AP70" s="51"/>
    </row>
    <row r="71" spans="1:42" ht="21" customHeight="1" thickTop="1" thickBot="1" x14ac:dyDescent="0.35">
      <c r="A71" s="63"/>
      <c r="B71" s="66"/>
      <c r="C71" s="53">
        <v>8</v>
      </c>
      <c r="D71" s="45">
        <v>274.41000000000003</v>
      </c>
      <c r="E71" s="45"/>
      <c r="F71" s="45"/>
      <c r="G71" s="45"/>
      <c r="H71" s="45"/>
      <c r="I71" s="45"/>
      <c r="J71" s="51"/>
      <c r="K71" s="53">
        <v>8</v>
      </c>
      <c r="L71" s="45">
        <v>275.14</v>
      </c>
      <c r="M71" s="45"/>
      <c r="N71" s="45"/>
      <c r="O71" s="45"/>
      <c r="P71" s="45"/>
      <c r="Q71" s="45"/>
      <c r="R71" s="51"/>
      <c r="S71" s="53">
        <v>8</v>
      </c>
      <c r="T71" s="45">
        <v>275.35000000000002</v>
      </c>
      <c r="U71" s="45"/>
      <c r="V71" s="45"/>
      <c r="W71" s="45"/>
      <c r="X71" s="45"/>
      <c r="Y71" s="45"/>
      <c r="Z71" s="51"/>
      <c r="AA71" s="53">
        <v>8</v>
      </c>
      <c r="AB71" s="45">
        <v>277.04000000000002</v>
      </c>
      <c r="AC71" s="45"/>
      <c r="AD71" s="45"/>
      <c r="AE71" s="45"/>
      <c r="AF71" s="45"/>
      <c r="AG71" s="45"/>
      <c r="AH71" s="51"/>
      <c r="AI71" s="53">
        <v>8</v>
      </c>
      <c r="AJ71" s="45">
        <v>274.25</v>
      </c>
      <c r="AK71" s="45"/>
      <c r="AL71" s="45"/>
      <c r="AM71" s="45"/>
      <c r="AN71" s="45"/>
      <c r="AO71" s="45"/>
      <c r="AP71" s="51"/>
    </row>
    <row r="72" spans="1:42" ht="21" customHeight="1" thickTop="1" thickBot="1" x14ac:dyDescent="0.35">
      <c r="A72" s="63"/>
      <c r="B72" s="66"/>
      <c r="C72" s="53">
        <v>9</v>
      </c>
      <c r="D72" s="45">
        <v>274.31</v>
      </c>
      <c r="E72" s="45"/>
      <c r="F72" s="45"/>
      <c r="G72" s="45"/>
      <c r="H72" s="45"/>
      <c r="I72" s="45"/>
      <c r="J72" s="51"/>
      <c r="K72" s="53">
        <v>9</v>
      </c>
      <c r="L72" s="45">
        <v>274.29000000000002</v>
      </c>
      <c r="M72" s="45"/>
      <c r="N72" s="45"/>
      <c r="O72" s="45"/>
      <c r="P72" s="45"/>
      <c r="Q72" s="45"/>
      <c r="R72" s="51"/>
      <c r="S72" s="53">
        <v>9</v>
      </c>
      <c r="T72" s="45">
        <v>274.82999999999993</v>
      </c>
      <c r="U72" s="45"/>
      <c r="V72" s="45"/>
      <c r="W72" s="45"/>
      <c r="X72" s="45"/>
      <c r="Y72" s="45"/>
      <c r="Z72" s="51"/>
      <c r="AA72" s="53">
        <v>9</v>
      </c>
      <c r="AB72" s="45">
        <v>274.73</v>
      </c>
      <c r="AC72" s="45"/>
      <c r="AD72" s="45"/>
      <c r="AE72" s="45"/>
      <c r="AF72" s="45"/>
      <c r="AG72" s="45"/>
      <c r="AH72" s="51"/>
      <c r="AI72" s="53">
        <v>9</v>
      </c>
      <c r="AJ72" s="45">
        <v>273.61999999999989</v>
      </c>
      <c r="AK72" s="45"/>
      <c r="AL72" s="45"/>
      <c r="AM72" s="45"/>
      <c r="AN72" s="45"/>
      <c r="AO72" s="45"/>
      <c r="AP72" s="51"/>
    </row>
    <row r="73" spans="1:42" ht="21" customHeight="1" thickTop="1" thickBot="1" x14ac:dyDescent="0.35">
      <c r="A73" s="63"/>
      <c r="B73" s="66"/>
      <c r="C73" s="53">
        <v>10</v>
      </c>
      <c r="D73" s="45">
        <v>273.83999999999997</v>
      </c>
      <c r="E73" s="45"/>
      <c r="F73" s="45"/>
      <c r="G73" s="45"/>
      <c r="H73" s="45"/>
      <c r="I73" s="45"/>
      <c r="J73" s="51"/>
      <c r="K73" s="53">
        <v>10</v>
      </c>
      <c r="L73" s="45">
        <v>274.95999999999998</v>
      </c>
      <c r="M73" s="45"/>
      <c r="N73" s="45"/>
      <c r="O73" s="45"/>
      <c r="P73" s="45"/>
      <c r="Q73" s="45"/>
      <c r="R73" s="51"/>
      <c r="S73" s="53">
        <v>10</v>
      </c>
      <c r="T73" s="45">
        <v>274.89999999999998</v>
      </c>
      <c r="U73" s="45"/>
      <c r="V73" s="45"/>
      <c r="W73" s="45"/>
      <c r="X73" s="45"/>
      <c r="Y73" s="45"/>
      <c r="Z73" s="51"/>
      <c r="AA73" s="53">
        <v>10</v>
      </c>
      <c r="AB73" s="45">
        <v>274.80999999999989</v>
      </c>
      <c r="AC73" s="45"/>
      <c r="AD73" s="45"/>
      <c r="AE73" s="45"/>
      <c r="AF73" s="45"/>
      <c r="AG73" s="45"/>
      <c r="AH73" s="51"/>
      <c r="AI73" s="53">
        <v>10</v>
      </c>
      <c r="AJ73" s="45">
        <v>273.61999999999989</v>
      </c>
      <c r="AK73" s="45"/>
      <c r="AL73" s="45"/>
      <c r="AM73" s="45"/>
      <c r="AN73" s="45"/>
      <c r="AO73" s="45"/>
      <c r="AP73" s="51"/>
    </row>
    <row r="74" spans="1:42" ht="21" customHeight="1" thickTop="1" thickBot="1" x14ac:dyDescent="0.35">
      <c r="A74" s="63"/>
      <c r="B74" s="66"/>
      <c r="C74" s="53"/>
      <c r="D74" s="45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66"/>
      <c r="C75" s="54" t="s">
        <v>16</v>
      </c>
      <c r="D75" s="49">
        <f>MIN(D64:D73)</f>
        <v>273.83999999999997</v>
      </c>
      <c r="E75" s="45"/>
      <c r="F75" s="55" t="s">
        <v>17</v>
      </c>
      <c r="G75" s="49" t="s">
        <v>18</v>
      </c>
      <c r="H75" s="49" t="s">
        <v>19</v>
      </c>
      <c r="I75" s="45"/>
      <c r="J75" s="51"/>
      <c r="K75" s="54" t="s">
        <v>16</v>
      </c>
      <c r="L75" s="49">
        <f>MIN(L64:L73)</f>
        <v>274.18999999999988</v>
      </c>
      <c r="M75" s="45"/>
      <c r="N75" s="55" t="s">
        <v>17</v>
      </c>
      <c r="O75" s="49" t="s">
        <v>18</v>
      </c>
      <c r="P75" s="49" t="s">
        <v>19</v>
      </c>
      <c r="Q75" s="45"/>
      <c r="R75" s="51"/>
      <c r="S75" s="54" t="s">
        <v>16</v>
      </c>
      <c r="T75" s="49">
        <f>MIN(T64:T73)</f>
        <v>273.42999999999989</v>
      </c>
      <c r="U75" s="45"/>
      <c r="V75" s="55" t="s">
        <v>17</v>
      </c>
      <c r="W75" s="49" t="s">
        <v>18</v>
      </c>
      <c r="X75" s="49" t="s">
        <v>19</v>
      </c>
      <c r="Y75" s="45"/>
      <c r="Z75" s="51"/>
      <c r="AA75" s="54" t="s">
        <v>16</v>
      </c>
      <c r="AB75" s="49">
        <f>MIN(AB64:AB73)</f>
        <v>274.29000000000002</v>
      </c>
      <c r="AC75" s="45"/>
      <c r="AD75" s="55" t="s">
        <v>17</v>
      </c>
      <c r="AE75" s="49" t="s">
        <v>18</v>
      </c>
      <c r="AF75" s="49" t="s">
        <v>19</v>
      </c>
      <c r="AG75" s="45"/>
      <c r="AH75" s="51"/>
      <c r="AI75" s="54" t="s">
        <v>16</v>
      </c>
      <c r="AJ75" s="49">
        <f>MIN(AJ64:AJ73)</f>
        <v>273.61999999999989</v>
      </c>
      <c r="AK75" s="45"/>
      <c r="AL75" s="55" t="s">
        <v>17</v>
      </c>
      <c r="AM75" s="49" t="s">
        <v>18</v>
      </c>
      <c r="AN75" s="49" t="s">
        <v>19</v>
      </c>
      <c r="AO75" s="45"/>
      <c r="AP75" s="51"/>
    </row>
    <row r="76" spans="1:42" ht="21" customHeight="1" thickTop="1" thickBot="1" x14ac:dyDescent="0.35">
      <c r="A76" s="63"/>
      <c r="B76" s="66"/>
      <c r="C76" s="54" t="s">
        <v>20</v>
      </c>
      <c r="D76" s="48">
        <f>AVERAGE(D64:D73)</f>
        <v>274.37199999999996</v>
      </c>
      <c r="E76" s="47"/>
      <c r="F76" s="48">
        <f>_xlfn.STDEV.S(D64:D73) / AVERAGE(D64:D73) * 100%</f>
        <v>9.4086584930019531E-4</v>
      </c>
      <c r="G76" s="48">
        <f t="array" ref="G76">MIN((D64:D73 - MIN(D64:D73,L64:L73,T64:T73,AB64:AB73,AJ64:AJ73))/MIN(D64:D73,L64:L73,T64:T73,AB64:AB73,AJ64:AJ73)*100%)</f>
        <v>1.4994696997406357E-3</v>
      </c>
      <c r="H76" s="48">
        <f t="array" ref="H76">AVERAGE((D64:D73 - MIN(D64:D73,L64:L73,T64:T73,AB64:AB73,AJ64:AJ73))/MIN(D64:D73,L64:L73,T64:T73,AB64:AB73,AJ64:AJ73)*100%)</f>
        <v>3.4451230662330551E-3</v>
      </c>
      <c r="I76" s="45"/>
      <c r="J76" s="51"/>
      <c r="K76" s="54" t="s">
        <v>20</v>
      </c>
      <c r="L76" s="48">
        <f>AVERAGE(L64:L73)</f>
        <v>274.65699999999998</v>
      </c>
      <c r="M76" s="47"/>
      <c r="N76" s="48">
        <f>_xlfn.STDEV.S(L64:L73) / AVERAGE(L64:L73) * 100%</f>
        <v>1.2098729149525751E-3</v>
      </c>
      <c r="O76" s="48">
        <f t="array" ref="O76">MIN((L64:L73 - MIN(D64:D73,L64:L73,T64:T73,AB64:AB73,AJ64:AJ73))/MIN(D64:D73,L64:L73,T64:T73,AB64:AB73,AJ64:AJ73)*100%)</f>
        <v>2.7795048092747365E-3</v>
      </c>
      <c r="P76" s="48">
        <f t="array" ref="P76">AVERAGE((L64:L73 - MIN(D64:D73,L64:L73,T64:T73,AB64:AB73,AJ64:AJ73))/MIN(D64:D73,L64:L73,T64:T73,AB64:AB73,AJ64:AJ73)*100%)</f>
        <v>4.4874373697110399E-3</v>
      </c>
      <c r="Q76" s="44"/>
      <c r="R76" s="51"/>
      <c r="S76" s="54" t="s">
        <v>20</v>
      </c>
      <c r="T76" s="48">
        <f>AVERAGE(T64:T73)</f>
        <v>274.87599999999998</v>
      </c>
      <c r="U76" s="47"/>
      <c r="V76" s="48">
        <f>_xlfn.STDEV.S(T64:T73) / AVERAGE(T64:T73) * 100%</f>
        <v>3.6869575114242387E-3</v>
      </c>
      <c r="W76" s="48">
        <f t="array" ref="W76">MIN((T64:T73 - MIN(D64:D73,L64:L73,T64:T73,AB64:AB73,AJ64:AJ73))/MIN(D64:D73,L64:L73,T64:T73,AB64:AB73,AJ64:AJ73)*100%)</f>
        <v>0</v>
      </c>
      <c r="X76" s="48">
        <f t="array" ref="X76">AVERAGE((T64:T73 - MIN(D64:D73,L64:L73,T64:T73,AB64:AB73,AJ64:AJ73))/MIN(D64:D73,L64:L73,T64:T73,AB64:AB73,AJ64:AJ73)*100%)</f>
        <v>5.2883736239625438E-3</v>
      </c>
      <c r="Y76" s="44"/>
      <c r="Z76" s="51"/>
      <c r="AA76" s="54" t="s">
        <v>20</v>
      </c>
      <c r="AB76" s="48">
        <f>AVERAGE(AB64:AB73)</f>
        <v>274.87900000000002</v>
      </c>
      <c r="AC76" s="47"/>
      <c r="AD76" s="48">
        <f>_xlfn.STDEV.S(AB64:AB73) / AVERAGE(AB64:AB73) * 100%</f>
        <v>2.8185003348385309E-3</v>
      </c>
      <c r="AE76" s="48">
        <f t="array" ref="AE76">MIN((AB64:AB73 - MIN(D64:D73,L64:L73,T64:T73,AB64:AB73,AJ64:AJ73))/MIN(D64:D73,L64:L73,T64:T73,AB64:AB73,AJ64:AJ73)*100%)</f>
        <v>3.1452291262850734E-3</v>
      </c>
      <c r="AF76" s="48">
        <f t="array" ref="AF76">AVERAGE((AB64:AB73 - MIN(D64:D73,L64:L73,T64:T73,AB64:AB73,AJ64:AJ73))/MIN(D64:D73,L64:L73,T64:T73,AB64:AB73,AJ64:AJ73)*100%)</f>
        <v>5.2993453534729111E-3</v>
      </c>
      <c r="AG76" s="44"/>
      <c r="AH76" s="51"/>
      <c r="AI76" s="54" t="s">
        <v>20</v>
      </c>
      <c r="AJ76" s="48">
        <f>AVERAGE(AJ64:AJ73)</f>
        <v>273.86999999999995</v>
      </c>
      <c r="AK76" s="47"/>
      <c r="AL76" s="48">
        <f>_xlfn.STDEV.S(AJ64:AJ73) / AVERAGE(AJ64:AJ73) * 100%</f>
        <v>1.1951374271418332E-3</v>
      </c>
      <c r="AM76" s="48">
        <f t="array" ref="AM76">MIN((AJ64:AJ73 - MIN(D64:D73,L64:L73,T64:T73,AB64:AB73,AJ64:AJ73))/MIN(D64:D73,L64:L73,T64:T73,AB64:AB73,AJ64:AJ73)*100%)</f>
        <v>6.9487620231868414E-4</v>
      </c>
      <c r="AN76" s="48">
        <f t="array" ref="AN76">AVERAGE((AJ64:AJ73 - MIN(D64:D73,L64:L73,T64:T73,AB64:AB73,AJ64:AJ73))/MIN(D64:D73,L64:L73,T64:T73,AB64:AB73,AJ64:AJ73)*100%)</f>
        <v>1.6091869948434874E-3</v>
      </c>
      <c r="AO76" s="44"/>
      <c r="AP76" s="51"/>
    </row>
    <row r="77" spans="1:42" ht="21" customHeight="1" thickTop="1" thickBot="1" x14ac:dyDescent="0.35">
      <c r="A77" s="63"/>
      <c r="B77" s="67"/>
      <c r="C77" s="53"/>
      <c r="D77" s="44"/>
      <c r="E77" s="44"/>
      <c r="F77" s="44"/>
      <c r="G77" s="44"/>
      <c r="H77" s="44"/>
      <c r="I77" s="44"/>
      <c r="J77" s="51"/>
      <c r="K77" s="53"/>
      <c r="L77" s="44"/>
      <c r="M77" s="44"/>
      <c r="N77" s="44"/>
      <c r="O77" s="44"/>
      <c r="P77" s="44"/>
      <c r="Q77" s="44"/>
      <c r="R77" s="51"/>
      <c r="S77" s="53"/>
      <c r="T77" s="44"/>
      <c r="U77" s="44"/>
      <c r="V77" s="44"/>
      <c r="W77" s="44"/>
      <c r="X77" s="44"/>
      <c r="Y77" s="44"/>
      <c r="Z77" s="51"/>
      <c r="AA77" s="53"/>
      <c r="AB77" s="44"/>
      <c r="AC77" s="44"/>
      <c r="AD77" s="44"/>
      <c r="AE77" s="44"/>
      <c r="AF77" s="44"/>
      <c r="AG77" s="44"/>
      <c r="AH77" s="51"/>
      <c r="AI77" s="53"/>
      <c r="AJ77" s="44"/>
      <c r="AK77" s="44"/>
      <c r="AL77" s="44"/>
      <c r="AM77" s="44"/>
      <c r="AN77" s="44"/>
      <c r="AO77" s="44"/>
      <c r="AP77" s="51"/>
    </row>
    <row r="78" spans="1:42" ht="21" customHeight="1" thickTop="1" thickBot="1" x14ac:dyDescent="0.35">
      <c r="A78" s="63"/>
      <c r="B78" s="65" t="s">
        <v>71</v>
      </c>
      <c r="C78" s="59" t="s">
        <v>8</v>
      </c>
      <c r="D78" s="46" t="s">
        <v>9</v>
      </c>
      <c r="E78" s="46" t="s">
        <v>10</v>
      </c>
      <c r="F78" s="46" t="s">
        <v>11</v>
      </c>
      <c r="G78" s="46" t="s">
        <v>12</v>
      </c>
      <c r="H78" s="46" t="s">
        <v>13</v>
      </c>
      <c r="I78" s="46" t="s">
        <v>14</v>
      </c>
      <c r="J78" s="60" t="s">
        <v>15</v>
      </c>
      <c r="K78" s="59" t="s">
        <v>8</v>
      </c>
      <c r="L78" s="46" t="s">
        <v>9</v>
      </c>
      <c r="M78" s="46" t="s">
        <v>10</v>
      </c>
      <c r="N78" s="46" t="s">
        <v>11</v>
      </c>
      <c r="O78" s="46" t="s">
        <v>12</v>
      </c>
      <c r="P78" s="46" t="s">
        <v>13</v>
      </c>
      <c r="Q78" s="46" t="s">
        <v>14</v>
      </c>
      <c r="R78" s="60" t="s">
        <v>15</v>
      </c>
      <c r="S78" s="59" t="s">
        <v>8</v>
      </c>
      <c r="T78" s="46" t="s">
        <v>9</v>
      </c>
      <c r="U78" s="46" t="s">
        <v>10</v>
      </c>
      <c r="V78" s="46" t="s">
        <v>11</v>
      </c>
      <c r="W78" s="46" t="s">
        <v>12</v>
      </c>
      <c r="X78" s="46" t="s">
        <v>13</v>
      </c>
      <c r="Y78" s="46" t="s">
        <v>14</v>
      </c>
      <c r="Z78" s="60" t="s">
        <v>15</v>
      </c>
      <c r="AA78" s="59" t="s">
        <v>8</v>
      </c>
      <c r="AB78" s="46" t="s">
        <v>9</v>
      </c>
      <c r="AC78" s="46" t="s">
        <v>10</v>
      </c>
      <c r="AD78" s="46" t="s">
        <v>11</v>
      </c>
      <c r="AE78" s="46" t="s">
        <v>12</v>
      </c>
      <c r="AF78" s="46" t="s">
        <v>13</v>
      </c>
      <c r="AG78" s="46" t="s">
        <v>14</v>
      </c>
      <c r="AH78" s="60" t="s">
        <v>15</v>
      </c>
      <c r="AI78" s="59" t="s">
        <v>8</v>
      </c>
      <c r="AJ78" s="46" t="s">
        <v>9</v>
      </c>
      <c r="AK78" s="46" t="s">
        <v>10</v>
      </c>
      <c r="AL78" s="46" t="s">
        <v>11</v>
      </c>
      <c r="AM78" s="46" t="s">
        <v>12</v>
      </c>
      <c r="AN78" s="46" t="s">
        <v>13</v>
      </c>
      <c r="AO78" s="46" t="s">
        <v>14</v>
      </c>
      <c r="AP78" s="60" t="s">
        <v>15</v>
      </c>
    </row>
    <row r="79" spans="1:42" ht="21" customHeight="1" thickTop="1" thickBot="1" x14ac:dyDescent="0.35">
      <c r="A79" s="63"/>
      <c r="B79" s="66"/>
      <c r="C79" s="52">
        <v>1</v>
      </c>
      <c r="D79" s="44">
        <v>285.7</v>
      </c>
      <c r="E79" s="44"/>
      <c r="F79" s="44"/>
      <c r="G79" s="44"/>
      <c r="H79" s="44"/>
      <c r="I79" s="44"/>
      <c r="J79" s="51"/>
      <c r="K79" s="52">
        <v>1</v>
      </c>
      <c r="L79" s="44">
        <v>286.3</v>
      </c>
      <c r="M79" s="44"/>
      <c r="N79" s="44"/>
      <c r="O79" s="44"/>
      <c r="P79" s="44"/>
      <c r="Q79" s="44"/>
      <c r="R79" s="51"/>
      <c r="S79" s="52">
        <v>1</v>
      </c>
      <c r="T79" s="44">
        <v>287.8</v>
      </c>
      <c r="U79" s="44"/>
      <c r="V79" s="44"/>
      <c r="W79" s="44"/>
      <c r="X79" s="44"/>
      <c r="Y79" s="44"/>
      <c r="Z79" s="51"/>
      <c r="AA79" s="52">
        <v>1</v>
      </c>
      <c r="AB79" s="44">
        <v>285.89</v>
      </c>
      <c r="AC79" s="44"/>
      <c r="AD79" s="44"/>
      <c r="AE79" s="44"/>
      <c r="AF79" s="44"/>
      <c r="AG79" s="44"/>
      <c r="AH79" s="51"/>
      <c r="AI79" s="52">
        <v>1</v>
      </c>
      <c r="AJ79" s="44">
        <v>286.83</v>
      </c>
      <c r="AK79" s="44"/>
      <c r="AL79" s="44"/>
      <c r="AM79" s="44"/>
      <c r="AN79" s="44"/>
      <c r="AO79" s="44"/>
      <c r="AP79" s="51"/>
    </row>
    <row r="80" spans="1:42" ht="21" customHeight="1" thickTop="1" thickBot="1" x14ac:dyDescent="0.35">
      <c r="A80" s="63"/>
      <c r="B80" s="66"/>
      <c r="C80" s="53">
        <v>2</v>
      </c>
      <c r="D80" s="45">
        <v>285.73</v>
      </c>
      <c r="E80" s="45"/>
      <c r="F80" s="45"/>
      <c r="G80" s="45"/>
      <c r="H80" s="45"/>
      <c r="I80" s="45"/>
      <c r="J80" s="51"/>
      <c r="K80" s="53">
        <v>2</v>
      </c>
      <c r="L80" s="45">
        <v>287.07</v>
      </c>
      <c r="M80" s="45"/>
      <c r="N80" s="45"/>
      <c r="O80" s="45"/>
      <c r="P80" s="45"/>
      <c r="Q80" s="45"/>
      <c r="R80" s="51"/>
      <c r="S80" s="53">
        <v>2</v>
      </c>
      <c r="T80" s="45">
        <v>287.58</v>
      </c>
      <c r="U80" s="45"/>
      <c r="V80" s="45"/>
      <c r="W80" s="45"/>
      <c r="X80" s="45"/>
      <c r="Y80" s="45"/>
      <c r="Z80" s="51"/>
      <c r="AA80" s="53">
        <v>2</v>
      </c>
      <c r="AB80" s="45">
        <v>285.41000000000003</v>
      </c>
      <c r="AC80" s="45"/>
      <c r="AD80" s="45"/>
      <c r="AE80" s="45"/>
      <c r="AF80" s="45"/>
      <c r="AG80" s="45"/>
      <c r="AH80" s="51"/>
      <c r="AI80" s="53">
        <v>2</v>
      </c>
      <c r="AJ80" s="45">
        <v>287.36</v>
      </c>
      <c r="AK80" s="45"/>
      <c r="AL80" s="45"/>
      <c r="AM80" s="45"/>
      <c r="AN80" s="45"/>
      <c r="AO80" s="45"/>
      <c r="AP80" s="51"/>
    </row>
    <row r="81" spans="1:42" ht="21" customHeight="1" thickTop="1" thickBot="1" x14ac:dyDescent="0.35">
      <c r="A81" s="63"/>
      <c r="B81" s="66"/>
      <c r="C81" s="53">
        <v>3</v>
      </c>
      <c r="D81" s="45">
        <v>286.02999999999997</v>
      </c>
      <c r="E81" s="45"/>
      <c r="F81" s="45"/>
      <c r="G81" s="44"/>
      <c r="H81" s="44"/>
      <c r="I81" s="44"/>
      <c r="J81" s="51"/>
      <c r="K81" s="53">
        <v>3</v>
      </c>
      <c r="L81" s="45">
        <v>286.25</v>
      </c>
      <c r="M81" s="45"/>
      <c r="N81" s="45"/>
      <c r="O81" s="44"/>
      <c r="P81" s="44"/>
      <c r="Q81" s="44"/>
      <c r="R81" s="51"/>
      <c r="S81" s="53">
        <v>3</v>
      </c>
      <c r="T81" s="45">
        <v>287.90999999999991</v>
      </c>
      <c r="U81" s="45"/>
      <c r="V81" s="45"/>
      <c r="W81" s="44"/>
      <c r="X81" s="44"/>
      <c r="Y81" s="44"/>
      <c r="Z81" s="51"/>
      <c r="AA81" s="53">
        <v>3</v>
      </c>
      <c r="AB81" s="45">
        <v>287.68</v>
      </c>
      <c r="AC81" s="45"/>
      <c r="AD81" s="45"/>
      <c r="AE81" s="44"/>
      <c r="AF81" s="44"/>
      <c r="AG81" s="44"/>
      <c r="AH81" s="51"/>
      <c r="AI81" s="53">
        <v>3</v>
      </c>
      <c r="AJ81" s="45">
        <v>286.81999999999988</v>
      </c>
      <c r="AK81" s="45"/>
      <c r="AL81" s="45"/>
      <c r="AM81" s="44"/>
      <c r="AN81" s="44"/>
      <c r="AO81" s="44"/>
      <c r="AP81" s="51"/>
    </row>
    <row r="82" spans="1:42" ht="21" customHeight="1" thickTop="1" thickBot="1" x14ac:dyDescent="0.35">
      <c r="A82" s="63"/>
      <c r="B82" s="66"/>
      <c r="C82" s="53">
        <v>4</v>
      </c>
      <c r="D82" s="45">
        <v>285.52999999999997</v>
      </c>
      <c r="E82" s="45"/>
      <c r="F82" s="45"/>
      <c r="G82" s="45"/>
      <c r="H82" s="45"/>
      <c r="I82" s="45"/>
      <c r="J82" s="51"/>
      <c r="K82" s="53">
        <v>4</v>
      </c>
      <c r="L82" s="45">
        <v>287.01</v>
      </c>
      <c r="M82" s="45"/>
      <c r="N82" s="45"/>
      <c r="O82" s="45"/>
      <c r="P82" s="45"/>
      <c r="Q82" s="45"/>
      <c r="R82" s="51"/>
      <c r="S82" s="53">
        <v>4</v>
      </c>
      <c r="T82" s="45">
        <v>287.55999999999989</v>
      </c>
      <c r="U82" s="45"/>
      <c r="V82" s="45"/>
      <c r="W82" s="45"/>
      <c r="X82" s="45"/>
      <c r="Y82" s="45"/>
      <c r="Z82" s="51"/>
      <c r="AA82" s="53">
        <v>4</v>
      </c>
      <c r="AB82" s="45">
        <v>286.01</v>
      </c>
      <c r="AC82" s="45"/>
      <c r="AD82" s="45"/>
      <c r="AE82" s="45"/>
      <c r="AF82" s="45"/>
      <c r="AG82" s="45"/>
      <c r="AH82" s="51"/>
      <c r="AI82" s="53">
        <v>4</v>
      </c>
      <c r="AJ82" s="45">
        <v>287.10000000000002</v>
      </c>
      <c r="AK82" s="45"/>
      <c r="AL82" s="45"/>
      <c r="AM82" s="45"/>
      <c r="AN82" s="45"/>
      <c r="AO82" s="45"/>
      <c r="AP82" s="51"/>
    </row>
    <row r="83" spans="1:42" ht="21" customHeight="1" thickTop="1" thickBot="1" x14ac:dyDescent="0.35">
      <c r="A83" s="63"/>
      <c r="B83" s="66"/>
      <c r="C83" s="53">
        <v>5</v>
      </c>
      <c r="D83" s="45">
        <v>286.47000000000003</v>
      </c>
      <c r="E83" s="45"/>
      <c r="F83" s="45"/>
      <c r="G83" s="45"/>
      <c r="H83" s="45"/>
      <c r="I83" s="45"/>
      <c r="J83" s="51"/>
      <c r="K83" s="53">
        <v>5</v>
      </c>
      <c r="L83" s="45">
        <v>286.47000000000003</v>
      </c>
      <c r="M83" s="45"/>
      <c r="N83" s="45"/>
      <c r="O83" s="45"/>
      <c r="P83" s="45"/>
      <c r="Q83" s="45"/>
      <c r="R83" s="51"/>
      <c r="S83" s="53">
        <v>5</v>
      </c>
      <c r="T83" s="45">
        <v>287.32</v>
      </c>
      <c r="U83" s="45"/>
      <c r="V83" s="45"/>
      <c r="W83" s="45"/>
      <c r="X83" s="45"/>
      <c r="Y83" s="45"/>
      <c r="Z83" s="51"/>
      <c r="AA83" s="53">
        <v>5</v>
      </c>
      <c r="AB83" s="45">
        <v>286.41000000000003</v>
      </c>
      <c r="AC83" s="45"/>
      <c r="AD83" s="45"/>
      <c r="AE83" s="45"/>
      <c r="AF83" s="45"/>
      <c r="AG83" s="45"/>
      <c r="AH83" s="51"/>
      <c r="AI83" s="53">
        <v>5</v>
      </c>
      <c r="AJ83" s="45">
        <v>286.77</v>
      </c>
      <c r="AK83" s="45"/>
      <c r="AL83" s="45"/>
      <c r="AM83" s="45"/>
      <c r="AN83" s="45"/>
      <c r="AO83" s="45"/>
      <c r="AP83" s="51"/>
    </row>
    <row r="84" spans="1:42" ht="21" customHeight="1" thickTop="1" thickBot="1" x14ac:dyDescent="0.35">
      <c r="A84" s="63"/>
      <c r="B84" s="66"/>
      <c r="C84" s="53">
        <v>6</v>
      </c>
      <c r="D84" s="45">
        <v>285.80999999999989</v>
      </c>
      <c r="E84" s="45"/>
      <c r="F84" s="45"/>
      <c r="G84" s="45"/>
      <c r="H84" s="45"/>
      <c r="I84" s="45"/>
      <c r="J84" s="51"/>
      <c r="K84" s="53">
        <v>6</v>
      </c>
      <c r="L84" s="45">
        <v>286.97000000000003</v>
      </c>
      <c r="M84" s="45"/>
      <c r="N84" s="45"/>
      <c r="O84" s="45"/>
      <c r="P84" s="45"/>
      <c r="Q84" s="45"/>
      <c r="R84" s="51"/>
      <c r="S84" s="53">
        <v>6</v>
      </c>
      <c r="T84" s="45">
        <v>287.56999999999988</v>
      </c>
      <c r="U84" s="45"/>
      <c r="V84" s="45"/>
      <c r="W84" s="45"/>
      <c r="X84" s="45"/>
      <c r="Y84" s="45"/>
      <c r="Z84" s="51"/>
      <c r="AA84" s="53">
        <v>6</v>
      </c>
      <c r="AB84" s="45">
        <v>287.42999999999989</v>
      </c>
      <c r="AC84" s="45"/>
      <c r="AD84" s="45"/>
      <c r="AE84" s="45"/>
      <c r="AF84" s="45"/>
      <c r="AG84" s="45"/>
      <c r="AH84" s="51"/>
      <c r="AI84" s="53">
        <v>6</v>
      </c>
      <c r="AJ84" s="45">
        <v>286.77</v>
      </c>
      <c r="AK84" s="45"/>
      <c r="AL84" s="45"/>
      <c r="AM84" s="45"/>
      <c r="AN84" s="45"/>
      <c r="AO84" s="45"/>
      <c r="AP84" s="51"/>
    </row>
    <row r="85" spans="1:42" ht="21" customHeight="1" thickTop="1" thickBot="1" x14ac:dyDescent="0.35">
      <c r="A85" s="63"/>
      <c r="B85" s="66"/>
      <c r="C85" s="53">
        <v>7</v>
      </c>
      <c r="D85" s="45">
        <v>285.50999999999988</v>
      </c>
      <c r="E85" s="45"/>
      <c r="F85" s="45"/>
      <c r="G85" s="45"/>
      <c r="H85" s="45"/>
      <c r="I85" s="45"/>
      <c r="J85" s="51"/>
      <c r="K85" s="53">
        <v>7</v>
      </c>
      <c r="L85" s="45">
        <v>287.08999999999997</v>
      </c>
      <c r="M85" s="45"/>
      <c r="N85" s="45"/>
      <c r="O85" s="45"/>
      <c r="P85" s="45"/>
      <c r="Q85" s="45"/>
      <c r="R85" s="51"/>
      <c r="S85" s="53">
        <v>7</v>
      </c>
      <c r="T85" s="45">
        <v>286.81999999999988</v>
      </c>
      <c r="U85" s="45"/>
      <c r="V85" s="45"/>
      <c r="W85" s="45"/>
      <c r="X85" s="45"/>
      <c r="Y85" s="45"/>
      <c r="Z85" s="51"/>
      <c r="AA85" s="53">
        <v>7</v>
      </c>
      <c r="AB85" s="45">
        <v>285.60000000000002</v>
      </c>
      <c r="AC85" s="45"/>
      <c r="AD85" s="45"/>
      <c r="AE85" s="45"/>
      <c r="AF85" s="45"/>
      <c r="AG85" s="45"/>
      <c r="AH85" s="51"/>
      <c r="AI85" s="53">
        <v>7</v>
      </c>
      <c r="AJ85" s="45">
        <v>287.13999999999987</v>
      </c>
      <c r="AK85" s="45"/>
      <c r="AL85" s="45"/>
      <c r="AM85" s="45"/>
      <c r="AN85" s="45"/>
      <c r="AO85" s="45"/>
      <c r="AP85" s="51"/>
    </row>
    <row r="86" spans="1:42" ht="21" customHeight="1" thickTop="1" thickBot="1" x14ac:dyDescent="0.35">
      <c r="A86" s="63"/>
      <c r="B86" s="66"/>
      <c r="C86" s="53">
        <v>8</v>
      </c>
      <c r="D86" s="45">
        <v>286.43</v>
      </c>
      <c r="E86" s="45"/>
      <c r="F86" s="45"/>
      <c r="G86" s="45"/>
      <c r="H86" s="45"/>
      <c r="I86" s="45"/>
      <c r="J86" s="51"/>
      <c r="K86" s="53">
        <v>8</v>
      </c>
      <c r="L86" s="45">
        <v>287.22000000000003</v>
      </c>
      <c r="M86" s="45"/>
      <c r="N86" s="45"/>
      <c r="O86" s="45"/>
      <c r="P86" s="45"/>
      <c r="Q86" s="45"/>
      <c r="R86" s="51"/>
      <c r="S86" s="53">
        <v>8</v>
      </c>
      <c r="T86" s="45">
        <v>288.02999999999992</v>
      </c>
      <c r="U86" s="45"/>
      <c r="V86" s="45"/>
      <c r="W86" s="45"/>
      <c r="X86" s="45"/>
      <c r="Y86" s="45"/>
      <c r="Z86" s="51"/>
      <c r="AA86" s="53">
        <v>8</v>
      </c>
      <c r="AB86" s="45">
        <v>287.41000000000003</v>
      </c>
      <c r="AC86" s="45"/>
      <c r="AD86" s="45"/>
      <c r="AE86" s="45"/>
      <c r="AF86" s="45"/>
      <c r="AG86" s="45"/>
      <c r="AH86" s="51"/>
      <c r="AI86" s="53">
        <v>8</v>
      </c>
      <c r="AJ86" s="45">
        <v>286.82999999999993</v>
      </c>
      <c r="AK86" s="45"/>
      <c r="AL86" s="45"/>
      <c r="AM86" s="45"/>
      <c r="AN86" s="45"/>
      <c r="AO86" s="45"/>
      <c r="AP86" s="51"/>
    </row>
    <row r="87" spans="1:42" ht="21" customHeight="1" thickTop="1" thickBot="1" x14ac:dyDescent="0.35">
      <c r="A87" s="63"/>
      <c r="B87" s="66"/>
      <c r="C87" s="53">
        <v>9</v>
      </c>
      <c r="D87" s="45">
        <v>285.95</v>
      </c>
      <c r="E87" s="45"/>
      <c r="F87" s="45"/>
      <c r="G87" s="45"/>
      <c r="H87" s="45"/>
      <c r="I87" s="45"/>
      <c r="J87" s="51"/>
      <c r="K87" s="53">
        <v>9</v>
      </c>
      <c r="L87" s="45">
        <v>286.3</v>
      </c>
      <c r="M87" s="45"/>
      <c r="N87" s="45"/>
      <c r="O87" s="45"/>
      <c r="P87" s="45"/>
      <c r="Q87" s="45"/>
      <c r="R87" s="51"/>
      <c r="S87" s="53">
        <v>9</v>
      </c>
      <c r="T87" s="45">
        <v>286.77</v>
      </c>
      <c r="U87" s="45"/>
      <c r="V87" s="45"/>
      <c r="W87" s="45"/>
      <c r="X87" s="45"/>
      <c r="Y87" s="45"/>
      <c r="Z87" s="51"/>
      <c r="AA87" s="53">
        <v>9</v>
      </c>
      <c r="AB87" s="45">
        <v>286.63</v>
      </c>
      <c r="AC87" s="45"/>
      <c r="AD87" s="45"/>
      <c r="AE87" s="45"/>
      <c r="AF87" s="45"/>
      <c r="AG87" s="45"/>
      <c r="AH87" s="51"/>
      <c r="AI87" s="53">
        <v>9</v>
      </c>
      <c r="AJ87" s="45">
        <v>286.81999999999988</v>
      </c>
      <c r="AK87" s="45"/>
      <c r="AL87" s="45"/>
      <c r="AM87" s="45"/>
      <c r="AN87" s="45"/>
      <c r="AO87" s="45"/>
      <c r="AP87" s="51"/>
    </row>
    <row r="88" spans="1:42" ht="21" customHeight="1" thickTop="1" thickBot="1" x14ac:dyDescent="0.35">
      <c r="A88" s="63"/>
      <c r="B88" s="66"/>
      <c r="C88" s="53">
        <v>10</v>
      </c>
      <c r="D88" s="45">
        <v>286.3</v>
      </c>
      <c r="E88" s="45"/>
      <c r="F88" s="45"/>
      <c r="G88" s="45"/>
      <c r="H88" s="45"/>
      <c r="I88" s="45"/>
      <c r="J88" s="51"/>
      <c r="K88" s="53">
        <v>10</v>
      </c>
      <c r="L88" s="45">
        <v>286.58999999999997</v>
      </c>
      <c r="M88" s="45"/>
      <c r="N88" s="45"/>
      <c r="O88" s="45"/>
      <c r="P88" s="45"/>
      <c r="Q88" s="45"/>
      <c r="R88" s="51"/>
      <c r="S88" s="53">
        <v>10</v>
      </c>
      <c r="T88" s="45">
        <v>287.79000000000002</v>
      </c>
      <c r="U88" s="45"/>
      <c r="V88" s="45"/>
      <c r="W88" s="45"/>
      <c r="X88" s="45"/>
      <c r="Y88" s="45"/>
      <c r="Z88" s="51"/>
      <c r="AA88" s="53">
        <v>10</v>
      </c>
      <c r="AB88" s="45">
        <v>286.38</v>
      </c>
      <c r="AC88" s="45"/>
      <c r="AD88" s="45"/>
      <c r="AE88" s="45"/>
      <c r="AF88" s="45"/>
      <c r="AG88" s="45"/>
      <c r="AH88" s="51"/>
      <c r="AI88" s="53">
        <v>10</v>
      </c>
      <c r="AJ88" s="45">
        <v>286.77</v>
      </c>
      <c r="AK88" s="45"/>
      <c r="AL88" s="45"/>
      <c r="AM88" s="45"/>
      <c r="AN88" s="45"/>
      <c r="AO88" s="45"/>
      <c r="AP88" s="51"/>
    </row>
    <row r="89" spans="1:42" ht="21" customHeight="1" thickTop="1" thickBot="1" x14ac:dyDescent="0.35">
      <c r="A89" s="63"/>
      <c r="B89" s="66"/>
      <c r="C89" s="53"/>
      <c r="D89" s="45"/>
      <c r="E89" s="45"/>
      <c r="F89" s="45"/>
      <c r="G89" s="45"/>
      <c r="H89" s="45"/>
      <c r="I89" s="45"/>
      <c r="J89" s="51"/>
      <c r="K89" s="53"/>
      <c r="L89" s="45"/>
      <c r="M89" s="45"/>
      <c r="N89" s="45"/>
      <c r="O89" s="45"/>
      <c r="P89" s="45"/>
      <c r="Q89" s="45"/>
      <c r="R89" s="51"/>
      <c r="S89" s="53"/>
      <c r="T89" s="45"/>
      <c r="U89" s="45"/>
      <c r="V89" s="45"/>
      <c r="W89" s="45"/>
      <c r="X89" s="45"/>
      <c r="Y89" s="45"/>
      <c r="Z89" s="51"/>
      <c r="AA89" s="53"/>
      <c r="AB89" s="45"/>
      <c r="AC89" s="45"/>
      <c r="AD89" s="45"/>
      <c r="AE89" s="45"/>
      <c r="AF89" s="45"/>
      <c r="AG89" s="45"/>
      <c r="AH89" s="51"/>
      <c r="AI89" s="53"/>
      <c r="AJ89" s="45"/>
      <c r="AK89" s="45"/>
      <c r="AL89" s="45"/>
      <c r="AM89" s="45"/>
      <c r="AN89" s="45"/>
      <c r="AO89" s="45"/>
      <c r="AP89" s="51"/>
    </row>
    <row r="90" spans="1:42" ht="21" customHeight="1" thickTop="1" thickBot="1" x14ac:dyDescent="0.35">
      <c r="A90" s="63"/>
      <c r="B90" s="66"/>
      <c r="C90" s="54" t="s">
        <v>16</v>
      </c>
      <c r="D90" s="49">
        <f>MIN(D79:D88)</f>
        <v>285.50999999999988</v>
      </c>
      <c r="E90" s="45"/>
      <c r="F90" s="55" t="s">
        <v>17</v>
      </c>
      <c r="G90" s="49" t="s">
        <v>18</v>
      </c>
      <c r="H90" s="49" t="s">
        <v>19</v>
      </c>
      <c r="I90" s="45"/>
      <c r="J90" s="51"/>
      <c r="K90" s="54" t="s">
        <v>16</v>
      </c>
      <c r="L90" s="49">
        <f>MIN(L79:L88)</f>
        <v>286.25</v>
      </c>
      <c r="M90" s="45"/>
      <c r="N90" s="55" t="s">
        <v>17</v>
      </c>
      <c r="O90" s="49" t="s">
        <v>18</v>
      </c>
      <c r="P90" s="49" t="s">
        <v>19</v>
      </c>
      <c r="Q90" s="45"/>
      <c r="R90" s="51"/>
      <c r="S90" s="54" t="s">
        <v>16</v>
      </c>
      <c r="T90" s="49">
        <f>MIN(T79:T88)</f>
        <v>286.77</v>
      </c>
      <c r="U90" s="45"/>
      <c r="V90" s="55" t="s">
        <v>17</v>
      </c>
      <c r="W90" s="49" t="s">
        <v>18</v>
      </c>
      <c r="X90" s="49" t="s">
        <v>19</v>
      </c>
      <c r="Y90" s="45"/>
      <c r="Z90" s="51"/>
      <c r="AA90" s="54" t="s">
        <v>16</v>
      </c>
      <c r="AB90" s="49">
        <f>MIN(AB79:AB88)</f>
        <v>285.41000000000003</v>
      </c>
      <c r="AC90" s="45"/>
      <c r="AD90" s="55" t="s">
        <v>17</v>
      </c>
      <c r="AE90" s="49" t="s">
        <v>18</v>
      </c>
      <c r="AF90" s="49" t="s">
        <v>19</v>
      </c>
      <c r="AG90" s="45"/>
      <c r="AH90" s="51"/>
      <c r="AI90" s="54" t="s">
        <v>16</v>
      </c>
      <c r="AJ90" s="49">
        <f>MIN(AJ79:AJ88)</f>
        <v>286.77</v>
      </c>
      <c r="AK90" s="45"/>
      <c r="AL90" s="55" t="s">
        <v>17</v>
      </c>
      <c r="AM90" s="49" t="s">
        <v>18</v>
      </c>
      <c r="AN90" s="49" t="s">
        <v>19</v>
      </c>
      <c r="AO90" s="45"/>
      <c r="AP90" s="51"/>
    </row>
    <row r="91" spans="1:42" ht="21" customHeight="1" thickTop="1" thickBot="1" x14ac:dyDescent="0.35">
      <c r="A91" s="63"/>
      <c r="B91" s="66"/>
      <c r="C91" s="54" t="s">
        <v>20</v>
      </c>
      <c r="D91" s="48">
        <f>AVERAGE(D79:D88)</f>
        <v>285.94599999999997</v>
      </c>
      <c r="E91" s="47"/>
      <c r="F91" s="48">
        <f>_xlfn.STDEV.S(D79:D88) / AVERAGE(D79:D88) * 100%</f>
        <v>1.2392006363957167E-3</v>
      </c>
      <c r="G91" s="48">
        <f t="array" ref="G91">MIN((D79:D88 - MIN(D79:D88,L79:L88,T79:T88,AB79:AB88,AJ79:AJ88))/MIN(D79:D88,L79:L88,T79:T88,AB79:AB88,AJ79:AJ88)*100%)</f>
        <v>3.5037314740146523E-4</v>
      </c>
      <c r="H91" s="48">
        <f t="array" ref="H91">AVERAGE((D79:D88 - MIN(D79:D88,L79:L88,T79:T88,AB79:AB88,AJ79:AJ88))/MIN(D79:D88,L79:L88,T79:T88,AB79:AB88,AJ79:AJ88)*100%)</f>
        <v>1.878000070074455E-3</v>
      </c>
      <c r="I91" s="45"/>
      <c r="J91" s="51"/>
      <c r="K91" s="54" t="s">
        <v>20</v>
      </c>
      <c r="L91" s="48">
        <f>AVERAGE(L79:L88)</f>
        <v>286.72700000000003</v>
      </c>
      <c r="M91" s="47"/>
      <c r="N91" s="48">
        <f>_xlfn.STDEV.S(L79:L88) / AVERAGE(L79:L88) * 100%</f>
        <v>1.329888626631349E-3</v>
      </c>
      <c r="O91" s="48">
        <f t="array" ref="O91">MIN((L79:L88 - MIN(D79:D88,L79:L88,T79:T88,AB79:AB88,AJ79:AJ88))/MIN(D79:D88,L79:L88,T79:T88,AB79:AB88,AJ79:AJ88)*100%)</f>
        <v>2.9431344381765701E-3</v>
      </c>
      <c r="P91" s="48">
        <f t="array" ref="P91">AVERAGE((L79:L88 - MIN(D79:D88,L79:L88,T79:T88,AB79:AB88,AJ79:AJ88))/MIN(D79:D88,L79:L88,T79:T88,AB79:AB88,AJ79:AJ88)*100%)</f>
        <v>4.6144143512840434E-3</v>
      </c>
      <c r="Q91" s="44"/>
      <c r="R91" s="51"/>
      <c r="S91" s="54" t="s">
        <v>20</v>
      </c>
      <c r="T91" s="48">
        <f>AVERAGE(T79:T88)</f>
        <v>287.51499999999999</v>
      </c>
      <c r="U91" s="47"/>
      <c r="V91" s="48">
        <f>_xlfn.STDEV.S(T79:T88) / AVERAGE(T79:T88) * 100%</f>
        <v>1.4952820286580648E-3</v>
      </c>
      <c r="W91" s="48">
        <f t="array" ref="W91">MIN((T79:T88 - MIN(D79:D88,L79:L88,T79:T88,AB79:AB88,AJ79:AJ88))/MIN(D79:D88,L79:L88,T79:T88,AB79:AB88,AJ79:AJ88)*100%)</f>
        <v>4.7650748046668186E-3</v>
      </c>
      <c r="X91" s="48">
        <f t="array" ref="X91">AVERAGE((T79:T88 - MIN(D79:D88,L79:L88,T79:T88,AB79:AB88,AJ79:AJ88))/MIN(D79:D88,L79:L88,T79:T88,AB79:AB88,AJ79:AJ88)*100%)</f>
        <v>7.3753547528114692E-3</v>
      </c>
      <c r="Y91" s="44"/>
      <c r="Z91" s="51"/>
      <c r="AA91" s="54" t="s">
        <v>20</v>
      </c>
      <c r="AB91" s="48">
        <f>AVERAGE(AB79:AB88)</f>
        <v>286.48500000000001</v>
      </c>
      <c r="AC91" s="47"/>
      <c r="AD91" s="48">
        <f>_xlfn.STDEV.S(AB79:AB88) / AVERAGE(AB79:AB88) * 100%</f>
        <v>2.7858783403465724E-3</v>
      </c>
      <c r="AE91" s="48">
        <f t="array" ref="AE91">MIN((AB79:AB88 - MIN(D79:D88,L79:L88,T79:T88,AB79:AB88,AJ79:AJ88))/MIN(D79:D88,L79:L88,T79:T88,AB79:AB88,AJ79:AJ88)*100%)</f>
        <v>0</v>
      </c>
      <c r="AF91" s="48">
        <f t="array" ref="AF91">AVERAGE((AB79:AB88 - MIN(D79:D88,L79:L88,T79:T88,AB79:AB88,AJ79:AJ88))/MIN(D79:D88,L79:L88,T79:T88,AB79:AB88,AJ79:AJ88)*100%)</f>
        <v>3.766511334571219E-3</v>
      </c>
      <c r="AG91" s="44"/>
      <c r="AH91" s="51"/>
      <c r="AI91" s="54" t="s">
        <v>20</v>
      </c>
      <c r="AJ91" s="48">
        <f>AVERAGE(AJ79:AJ88)</f>
        <v>286.92099999999994</v>
      </c>
      <c r="AK91" s="47"/>
      <c r="AL91" s="48">
        <f>_xlfn.STDEV.S(AJ79:AJ88) / AVERAGE(AJ79:AJ88) * 100%</f>
        <v>7.1435486203160002E-4</v>
      </c>
      <c r="AM91" s="48">
        <f t="array" ref="AM91">MIN((AJ79:AJ88 - MIN(D79:D88,L79:L88,T79:T88,AB79:AB88,AJ79:AJ88))/MIN(D79:D88,L79:L88,T79:T88,AB79:AB88,AJ79:AJ88)*100%)</f>
        <v>4.7650748046668186E-3</v>
      </c>
      <c r="AN91" s="48">
        <f t="array" ref="AN91">AVERAGE((AJ79:AJ88 - MIN(D79:D88,L79:L88,T79:T88,AB79:AB88,AJ79:AJ88))/MIN(D79:D88,L79:L88,T79:T88,AB79:AB88,AJ79:AJ88)*100%)</f>
        <v>5.2941382572437102E-3</v>
      </c>
      <c r="AO91" s="44"/>
      <c r="AP91" s="51"/>
    </row>
    <row r="92" spans="1:42" ht="21" customHeight="1" thickTop="1" thickBot="1" x14ac:dyDescent="0.35">
      <c r="A92" s="63"/>
      <c r="B92" s="67"/>
      <c r="C92" s="53"/>
      <c r="D92" s="44"/>
      <c r="E92" s="44"/>
      <c r="F92" s="44"/>
      <c r="G92" s="44"/>
      <c r="H92" s="44"/>
      <c r="I92" s="44"/>
      <c r="J92" s="51"/>
      <c r="K92" s="53"/>
      <c r="L92" s="44"/>
      <c r="M92" s="44"/>
      <c r="N92" s="44"/>
      <c r="O92" s="44"/>
      <c r="P92" s="44"/>
      <c r="Q92" s="44"/>
      <c r="R92" s="51"/>
      <c r="S92" s="53"/>
      <c r="T92" s="44"/>
      <c r="U92" s="44"/>
      <c r="V92" s="44"/>
      <c r="W92" s="44"/>
      <c r="X92" s="44"/>
      <c r="Y92" s="44"/>
      <c r="Z92" s="51"/>
      <c r="AA92" s="53"/>
      <c r="AB92" s="44"/>
      <c r="AC92" s="44"/>
      <c r="AD92" s="44"/>
      <c r="AE92" s="44"/>
      <c r="AF92" s="44"/>
      <c r="AG92" s="44"/>
      <c r="AH92" s="51"/>
      <c r="AI92" s="53"/>
      <c r="AJ92" s="44"/>
      <c r="AK92" s="44"/>
      <c r="AL92" s="44"/>
      <c r="AM92" s="44"/>
      <c r="AN92" s="44"/>
      <c r="AO92" s="44"/>
      <c r="AP92" s="51"/>
    </row>
    <row r="93" spans="1:42" ht="21" customHeight="1" thickTop="1" thickBot="1" x14ac:dyDescent="0.35">
      <c r="A93" s="63"/>
      <c r="B93" s="65" t="s">
        <v>72</v>
      </c>
      <c r="C93" s="59" t="s">
        <v>8</v>
      </c>
      <c r="D93" s="46" t="s">
        <v>9</v>
      </c>
      <c r="E93" s="46" t="s">
        <v>10</v>
      </c>
      <c r="F93" s="46" t="s">
        <v>11</v>
      </c>
      <c r="G93" s="46" t="s">
        <v>12</v>
      </c>
      <c r="H93" s="46" t="s">
        <v>13</v>
      </c>
      <c r="I93" s="46" t="s">
        <v>14</v>
      </c>
      <c r="J93" s="60" t="s">
        <v>15</v>
      </c>
      <c r="K93" s="59" t="s">
        <v>8</v>
      </c>
      <c r="L93" s="46" t="s">
        <v>9</v>
      </c>
      <c r="M93" s="46" t="s">
        <v>10</v>
      </c>
      <c r="N93" s="46" t="s">
        <v>11</v>
      </c>
      <c r="O93" s="46" t="s">
        <v>12</v>
      </c>
      <c r="P93" s="46" t="s">
        <v>13</v>
      </c>
      <c r="Q93" s="46" t="s">
        <v>14</v>
      </c>
      <c r="R93" s="60" t="s">
        <v>15</v>
      </c>
      <c r="S93" s="59" t="s">
        <v>8</v>
      </c>
      <c r="T93" s="46" t="s">
        <v>9</v>
      </c>
      <c r="U93" s="46" t="s">
        <v>10</v>
      </c>
      <c r="V93" s="46" t="s">
        <v>11</v>
      </c>
      <c r="W93" s="46" t="s">
        <v>12</v>
      </c>
      <c r="X93" s="46" t="s">
        <v>13</v>
      </c>
      <c r="Y93" s="46" t="s">
        <v>14</v>
      </c>
      <c r="Z93" s="60" t="s">
        <v>15</v>
      </c>
      <c r="AA93" s="59" t="s">
        <v>8</v>
      </c>
      <c r="AB93" s="46" t="s">
        <v>9</v>
      </c>
      <c r="AC93" s="46" t="s">
        <v>10</v>
      </c>
      <c r="AD93" s="46" t="s">
        <v>11</v>
      </c>
      <c r="AE93" s="46" t="s">
        <v>12</v>
      </c>
      <c r="AF93" s="46" t="s">
        <v>13</v>
      </c>
      <c r="AG93" s="46" t="s">
        <v>14</v>
      </c>
      <c r="AH93" s="60" t="s">
        <v>15</v>
      </c>
      <c r="AI93" s="59" t="s">
        <v>8</v>
      </c>
      <c r="AJ93" s="46" t="s">
        <v>9</v>
      </c>
      <c r="AK93" s="46" t="s">
        <v>10</v>
      </c>
      <c r="AL93" s="46" t="s">
        <v>11</v>
      </c>
      <c r="AM93" s="46" t="s">
        <v>12</v>
      </c>
      <c r="AN93" s="46" t="s">
        <v>13</v>
      </c>
      <c r="AO93" s="46" t="s">
        <v>14</v>
      </c>
      <c r="AP93" s="60" t="s">
        <v>15</v>
      </c>
    </row>
    <row r="94" spans="1:42" ht="21" customHeight="1" thickTop="1" thickBot="1" x14ac:dyDescent="0.35">
      <c r="A94" s="63"/>
      <c r="B94" s="66"/>
      <c r="C94" s="52">
        <v>1</v>
      </c>
      <c r="D94" s="44">
        <v>298.91000000000003</v>
      </c>
      <c r="E94" s="44"/>
      <c r="F94" s="44"/>
      <c r="G94" s="44"/>
      <c r="H94" s="44"/>
      <c r="I94" s="44"/>
      <c r="J94" s="51"/>
      <c r="K94" s="52">
        <v>1</v>
      </c>
      <c r="L94" s="44">
        <v>300.07999999999993</v>
      </c>
      <c r="M94" s="44"/>
      <c r="N94" s="44"/>
      <c r="O94" s="44"/>
      <c r="P94" s="44"/>
      <c r="Q94" s="44"/>
      <c r="R94" s="51"/>
      <c r="S94" s="52">
        <v>1</v>
      </c>
      <c r="T94" s="44">
        <v>300.02999999999992</v>
      </c>
      <c r="U94" s="44"/>
      <c r="V94" s="44"/>
      <c r="W94" s="44"/>
      <c r="X94" s="44"/>
      <c r="Y94" s="44"/>
      <c r="Z94" s="51"/>
      <c r="AA94" s="52">
        <v>1</v>
      </c>
      <c r="AB94" s="44">
        <v>299.37999999999988</v>
      </c>
      <c r="AC94" s="44"/>
      <c r="AD94" s="44"/>
      <c r="AE94" s="44"/>
      <c r="AF94" s="44"/>
      <c r="AG94" s="44"/>
      <c r="AH94" s="51"/>
      <c r="AI94" s="52">
        <v>1</v>
      </c>
      <c r="AJ94" s="44">
        <v>298.60000000000002</v>
      </c>
      <c r="AK94" s="44"/>
      <c r="AL94" s="44"/>
      <c r="AM94" s="44"/>
      <c r="AN94" s="44"/>
      <c r="AO94" s="44"/>
      <c r="AP94" s="51"/>
    </row>
    <row r="95" spans="1:42" ht="21" customHeight="1" thickTop="1" thickBot="1" x14ac:dyDescent="0.35">
      <c r="A95" s="63"/>
      <c r="B95" s="66"/>
      <c r="C95" s="53">
        <v>2</v>
      </c>
      <c r="D95" s="45">
        <v>298.8</v>
      </c>
      <c r="E95" s="45"/>
      <c r="F95" s="45"/>
      <c r="G95" s="45"/>
      <c r="H95" s="45"/>
      <c r="I95" s="45"/>
      <c r="J95" s="51"/>
      <c r="K95" s="53">
        <v>2</v>
      </c>
      <c r="L95" s="45">
        <v>300.3</v>
      </c>
      <c r="M95" s="45"/>
      <c r="N95" s="45"/>
      <c r="O95" s="45"/>
      <c r="P95" s="45"/>
      <c r="Q95" s="45"/>
      <c r="R95" s="51"/>
      <c r="S95" s="53">
        <v>2</v>
      </c>
      <c r="T95" s="45">
        <v>299.23</v>
      </c>
      <c r="U95" s="45"/>
      <c r="V95" s="45"/>
      <c r="W95" s="45"/>
      <c r="X95" s="45"/>
      <c r="Y95" s="45"/>
      <c r="Z95" s="51"/>
      <c r="AA95" s="53">
        <v>2</v>
      </c>
      <c r="AB95" s="45">
        <v>299.7</v>
      </c>
      <c r="AC95" s="45"/>
      <c r="AD95" s="45"/>
      <c r="AE95" s="45"/>
      <c r="AF95" s="45"/>
      <c r="AG95" s="45"/>
      <c r="AH95" s="51"/>
      <c r="AI95" s="53">
        <v>2</v>
      </c>
      <c r="AJ95" s="45">
        <v>298.99</v>
      </c>
      <c r="AK95" s="45"/>
      <c r="AL95" s="45"/>
      <c r="AM95" s="45"/>
      <c r="AN95" s="45"/>
      <c r="AO95" s="45"/>
      <c r="AP95" s="51"/>
    </row>
    <row r="96" spans="1:42" ht="21" customHeight="1" thickTop="1" thickBot="1" x14ac:dyDescent="0.35">
      <c r="A96" s="63"/>
      <c r="B96" s="66"/>
      <c r="C96" s="53">
        <v>3</v>
      </c>
      <c r="D96" s="45">
        <v>298.74</v>
      </c>
      <c r="E96" s="45"/>
      <c r="F96" s="45"/>
      <c r="G96" s="44"/>
      <c r="H96" s="44"/>
      <c r="I96" s="44"/>
      <c r="J96" s="51"/>
      <c r="K96" s="53">
        <v>3</v>
      </c>
      <c r="L96" s="45">
        <v>300.45</v>
      </c>
      <c r="M96" s="45"/>
      <c r="N96" s="45"/>
      <c r="O96" s="44"/>
      <c r="P96" s="44"/>
      <c r="Q96" s="44"/>
      <c r="R96" s="51"/>
      <c r="S96" s="53">
        <v>3</v>
      </c>
      <c r="T96" s="45">
        <v>300.04000000000002</v>
      </c>
      <c r="U96" s="45"/>
      <c r="V96" s="45"/>
      <c r="W96" s="44"/>
      <c r="X96" s="44"/>
      <c r="Y96" s="44"/>
      <c r="Z96" s="51"/>
      <c r="AA96" s="53">
        <v>3</v>
      </c>
      <c r="AB96" s="45">
        <v>298.99999999999989</v>
      </c>
      <c r="AC96" s="45"/>
      <c r="AD96" s="45"/>
      <c r="AE96" s="44"/>
      <c r="AF96" s="44"/>
      <c r="AG96" s="44"/>
      <c r="AH96" s="51"/>
      <c r="AI96" s="53">
        <v>3</v>
      </c>
      <c r="AJ96" s="45">
        <v>299.32</v>
      </c>
      <c r="AK96" s="45"/>
      <c r="AL96" s="45"/>
      <c r="AM96" s="44"/>
      <c r="AN96" s="44"/>
      <c r="AO96" s="44"/>
      <c r="AP96" s="51"/>
    </row>
    <row r="97" spans="1:42" ht="21" customHeight="1" thickTop="1" thickBot="1" x14ac:dyDescent="0.35">
      <c r="A97" s="63"/>
      <c r="B97" s="66"/>
      <c r="C97" s="53">
        <v>4</v>
      </c>
      <c r="D97" s="45">
        <v>300.17999999999989</v>
      </c>
      <c r="E97" s="45"/>
      <c r="F97" s="45"/>
      <c r="G97" s="45"/>
      <c r="H97" s="45"/>
      <c r="I97" s="45"/>
      <c r="J97" s="51"/>
      <c r="K97" s="53">
        <v>4</v>
      </c>
      <c r="L97" s="45">
        <v>299.91000000000003</v>
      </c>
      <c r="M97" s="45"/>
      <c r="N97" s="45"/>
      <c r="O97" s="45"/>
      <c r="P97" s="45"/>
      <c r="Q97" s="45"/>
      <c r="R97" s="51"/>
      <c r="S97" s="53">
        <v>4</v>
      </c>
      <c r="T97" s="45">
        <v>298.99999999999989</v>
      </c>
      <c r="U97" s="45"/>
      <c r="V97" s="45"/>
      <c r="W97" s="45"/>
      <c r="X97" s="45"/>
      <c r="Y97" s="45"/>
      <c r="Z97" s="51"/>
      <c r="AA97" s="53">
        <v>4</v>
      </c>
      <c r="AB97" s="45">
        <v>300.68</v>
      </c>
      <c r="AC97" s="45"/>
      <c r="AD97" s="45"/>
      <c r="AE97" s="45"/>
      <c r="AF97" s="45"/>
      <c r="AG97" s="45"/>
      <c r="AH97" s="51"/>
      <c r="AI97" s="53">
        <v>4</v>
      </c>
      <c r="AJ97" s="45">
        <v>298.60000000000002</v>
      </c>
      <c r="AK97" s="45"/>
      <c r="AL97" s="45"/>
      <c r="AM97" s="45"/>
      <c r="AN97" s="45"/>
      <c r="AO97" s="45"/>
      <c r="AP97" s="51"/>
    </row>
    <row r="98" spans="1:42" ht="21" customHeight="1" thickTop="1" thickBot="1" x14ac:dyDescent="0.35">
      <c r="A98" s="63"/>
      <c r="B98" s="66"/>
      <c r="C98" s="53">
        <v>5</v>
      </c>
      <c r="D98" s="45">
        <v>299.77</v>
      </c>
      <c r="E98" s="45"/>
      <c r="F98" s="45"/>
      <c r="G98" s="45"/>
      <c r="H98" s="45"/>
      <c r="I98" s="45"/>
      <c r="J98" s="51"/>
      <c r="K98" s="53">
        <v>5</v>
      </c>
      <c r="L98" s="45">
        <v>300.35000000000002</v>
      </c>
      <c r="M98" s="45"/>
      <c r="N98" s="45"/>
      <c r="O98" s="45"/>
      <c r="P98" s="45"/>
      <c r="Q98" s="45"/>
      <c r="R98" s="51"/>
      <c r="S98" s="53">
        <v>5</v>
      </c>
      <c r="T98" s="45">
        <v>299.36</v>
      </c>
      <c r="U98" s="45"/>
      <c r="V98" s="45"/>
      <c r="W98" s="45"/>
      <c r="X98" s="45"/>
      <c r="Y98" s="45"/>
      <c r="Z98" s="51"/>
      <c r="AA98" s="53">
        <v>5</v>
      </c>
      <c r="AB98" s="45">
        <v>300.7</v>
      </c>
      <c r="AC98" s="45"/>
      <c r="AD98" s="45"/>
      <c r="AE98" s="45"/>
      <c r="AF98" s="45"/>
      <c r="AG98" s="45"/>
      <c r="AH98" s="51"/>
      <c r="AI98" s="53">
        <v>5</v>
      </c>
      <c r="AJ98" s="45">
        <v>298.60000000000002</v>
      </c>
      <c r="AK98" s="45"/>
      <c r="AL98" s="45"/>
      <c r="AM98" s="45"/>
      <c r="AN98" s="45"/>
      <c r="AO98" s="45"/>
      <c r="AP98" s="51"/>
    </row>
    <row r="99" spans="1:42" ht="21" customHeight="1" thickTop="1" thickBot="1" x14ac:dyDescent="0.35">
      <c r="A99" s="63"/>
      <c r="B99" s="66"/>
      <c r="C99" s="53">
        <v>6</v>
      </c>
      <c r="D99" s="45">
        <v>298.62999999999988</v>
      </c>
      <c r="E99" s="45"/>
      <c r="F99" s="45"/>
      <c r="G99" s="45"/>
      <c r="H99" s="45"/>
      <c r="I99" s="45"/>
      <c r="J99" s="51"/>
      <c r="K99" s="53">
        <v>6</v>
      </c>
      <c r="L99" s="45">
        <v>300.35000000000002</v>
      </c>
      <c r="M99" s="45"/>
      <c r="N99" s="45"/>
      <c r="O99" s="45"/>
      <c r="P99" s="45"/>
      <c r="Q99" s="45"/>
      <c r="R99" s="51"/>
      <c r="S99" s="53">
        <v>6</v>
      </c>
      <c r="T99" s="45">
        <v>302.41000000000003</v>
      </c>
      <c r="U99" s="45"/>
      <c r="V99" s="45"/>
      <c r="W99" s="45"/>
      <c r="X99" s="45"/>
      <c r="Y99" s="45"/>
      <c r="Z99" s="51"/>
      <c r="AA99" s="53">
        <v>6</v>
      </c>
      <c r="AB99" s="45">
        <v>300.55</v>
      </c>
      <c r="AC99" s="45"/>
      <c r="AD99" s="45"/>
      <c r="AE99" s="45"/>
      <c r="AF99" s="45"/>
      <c r="AG99" s="45"/>
      <c r="AH99" s="51"/>
      <c r="AI99" s="53">
        <v>6</v>
      </c>
      <c r="AJ99" s="45">
        <v>298.36</v>
      </c>
      <c r="AK99" s="45"/>
      <c r="AL99" s="45"/>
      <c r="AM99" s="45"/>
      <c r="AN99" s="45"/>
      <c r="AO99" s="45"/>
      <c r="AP99" s="51"/>
    </row>
    <row r="100" spans="1:42" ht="21" customHeight="1" thickTop="1" thickBot="1" x14ac:dyDescent="0.35">
      <c r="A100" s="63"/>
      <c r="B100" s="66"/>
      <c r="C100" s="53">
        <v>7</v>
      </c>
      <c r="D100" s="45">
        <v>298.59999999999991</v>
      </c>
      <c r="E100" s="45"/>
      <c r="F100" s="45"/>
      <c r="G100" s="45"/>
      <c r="H100" s="45"/>
      <c r="I100" s="45"/>
      <c r="J100" s="51"/>
      <c r="K100" s="53">
        <v>7</v>
      </c>
      <c r="L100" s="45">
        <v>299.49</v>
      </c>
      <c r="M100" s="45"/>
      <c r="N100" s="45"/>
      <c r="O100" s="45"/>
      <c r="P100" s="45"/>
      <c r="Q100" s="45"/>
      <c r="R100" s="51"/>
      <c r="S100" s="53">
        <v>7</v>
      </c>
      <c r="T100" s="45">
        <v>301.41000000000003</v>
      </c>
      <c r="U100" s="45"/>
      <c r="V100" s="45"/>
      <c r="W100" s="45"/>
      <c r="X100" s="45"/>
      <c r="Y100" s="45"/>
      <c r="Z100" s="51"/>
      <c r="AA100" s="53">
        <v>7</v>
      </c>
      <c r="AB100" s="45">
        <v>298.95</v>
      </c>
      <c r="AC100" s="45"/>
      <c r="AD100" s="45"/>
      <c r="AE100" s="45"/>
      <c r="AF100" s="45"/>
      <c r="AG100" s="45"/>
      <c r="AH100" s="51"/>
      <c r="AI100" s="53">
        <v>7</v>
      </c>
      <c r="AJ100" s="45">
        <v>298.39999999999998</v>
      </c>
      <c r="AK100" s="45"/>
      <c r="AL100" s="45"/>
      <c r="AM100" s="45"/>
      <c r="AN100" s="45"/>
      <c r="AO100" s="45"/>
      <c r="AP100" s="51"/>
    </row>
    <row r="101" spans="1:42" ht="21" customHeight="1" thickTop="1" thickBot="1" x14ac:dyDescent="0.35">
      <c r="A101" s="63"/>
      <c r="B101" s="66"/>
      <c r="C101" s="53">
        <v>8</v>
      </c>
      <c r="D101" s="45">
        <v>300.14</v>
      </c>
      <c r="E101" s="45"/>
      <c r="F101" s="45"/>
      <c r="G101" s="45"/>
      <c r="H101" s="45"/>
      <c r="I101" s="45"/>
      <c r="J101" s="51"/>
      <c r="K101" s="53">
        <v>8</v>
      </c>
      <c r="L101" s="45">
        <v>299.86999999999989</v>
      </c>
      <c r="M101" s="45"/>
      <c r="N101" s="45"/>
      <c r="O101" s="45"/>
      <c r="P101" s="45"/>
      <c r="Q101" s="45"/>
      <c r="R101" s="51"/>
      <c r="S101" s="53">
        <v>8</v>
      </c>
      <c r="T101" s="45">
        <v>301.44</v>
      </c>
      <c r="U101" s="45"/>
      <c r="V101" s="45"/>
      <c r="W101" s="45"/>
      <c r="X101" s="45"/>
      <c r="Y101" s="45"/>
      <c r="Z101" s="51"/>
      <c r="AA101" s="53">
        <v>8</v>
      </c>
      <c r="AB101" s="45">
        <v>299.10000000000002</v>
      </c>
      <c r="AC101" s="45"/>
      <c r="AD101" s="45"/>
      <c r="AE101" s="45"/>
      <c r="AF101" s="45"/>
      <c r="AG101" s="45"/>
      <c r="AH101" s="51"/>
      <c r="AI101" s="53">
        <v>8</v>
      </c>
      <c r="AJ101" s="45">
        <v>298.99</v>
      </c>
      <c r="AK101" s="45"/>
      <c r="AL101" s="45"/>
      <c r="AM101" s="45"/>
      <c r="AN101" s="45"/>
      <c r="AO101" s="45"/>
      <c r="AP101" s="51"/>
    </row>
    <row r="102" spans="1:42" ht="21" customHeight="1" thickTop="1" thickBot="1" x14ac:dyDescent="0.35">
      <c r="A102" s="63"/>
      <c r="B102" s="66"/>
      <c r="C102" s="53">
        <v>9</v>
      </c>
      <c r="D102" s="45">
        <v>300.35000000000002</v>
      </c>
      <c r="E102" s="45"/>
      <c r="F102" s="45"/>
      <c r="G102" s="45"/>
      <c r="H102" s="45"/>
      <c r="I102" s="45"/>
      <c r="J102" s="51"/>
      <c r="K102" s="53">
        <v>9</v>
      </c>
      <c r="L102" s="45">
        <v>300.51</v>
      </c>
      <c r="M102" s="45"/>
      <c r="N102" s="45"/>
      <c r="O102" s="45"/>
      <c r="P102" s="45"/>
      <c r="Q102" s="45"/>
      <c r="R102" s="51"/>
      <c r="S102" s="53">
        <v>9</v>
      </c>
      <c r="T102" s="45">
        <v>299.8</v>
      </c>
      <c r="U102" s="45"/>
      <c r="V102" s="45"/>
      <c r="W102" s="45"/>
      <c r="X102" s="45"/>
      <c r="Y102" s="45"/>
      <c r="Z102" s="51"/>
      <c r="AA102" s="53">
        <v>9</v>
      </c>
      <c r="AB102" s="45">
        <v>302.73</v>
      </c>
      <c r="AC102" s="45"/>
      <c r="AD102" s="45"/>
      <c r="AE102" s="45"/>
      <c r="AF102" s="45"/>
      <c r="AG102" s="45"/>
      <c r="AH102" s="51"/>
      <c r="AI102" s="53">
        <v>9</v>
      </c>
      <c r="AJ102" s="45">
        <v>298.99</v>
      </c>
      <c r="AK102" s="45"/>
      <c r="AL102" s="45"/>
      <c r="AM102" s="45"/>
      <c r="AN102" s="45"/>
      <c r="AO102" s="45"/>
      <c r="AP102" s="51"/>
    </row>
    <row r="103" spans="1:42" ht="21" customHeight="1" thickTop="1" thickBot="1" x14ac:dyDescent="0.35">
      <c r="A103" s="63"/>
      <c r="B103" s="66"/>
      <c r="C103" s="53">
        <v>10</v>
      </c>
      <c r="D103" s="45">
        <v>298.55999999999989</v>
      </c>
      <c r="E103" s="45"/>
      <c r="F103" s="45"/>
      <c r="G103" s="45"/>
      <c r="H103" s="45"/>
      <c r="I103" s="45"/>
      <c r="J103" s="51"/>
      <c r="K103" s="53">
        <v>10</v>
      </c>
      <c r="L103" s="45">
        <v>299.93999999999988</v>
      </c>
      <c r="M103" s="45"/>
      <c r="N103" s="45"/>
      <c r="O103" s="45"/>
      <c r="P103" s="45"/>
      <c r="Q103" s="45"/>
      <c r="R103" s="51"/>
      <c r="S103" s="53">
        <v>10</v>
      </c>
      <c r="T103" s="45">
        <v>300.07999999999993</v>
      </c>
      <c r="U103" s="45"/>
      <c r="V103" s="45"/>
      <c r="W103" s="45"/>
      <c r="X103" s="45"/>
      <c r="Y103" s="45"/>
      <c r="Z103" s="51"/>
      <c r="AA103" s="53">
        <v>10</v>
      </c>
      <c r="AB103" s="45">
        <v>299.27</v>
      </c>
      <c r="AC103" s="45"/>
      <c r="AD103" s="45"/>
      <c r="AE103" s="45"/>
      <c r="AF103" s="45"/>
      <c r="AG103" s="45"/>
      <c r="AH103" s="51"/>
      <c r="AI103" s="53">
        <v>10</v>
      </c>
      <c r="AJ103" s="45">
        <v>298.36</v>
      </c>
      <c r="AK103" s="45"/>
      <c r="AL103" s="45"/>
      <c r="AM103" s="45"/>
      <c r="AN103" s="45"/>
      <c r="AO103" s="45"/>
      <c r="AP103" s="51"/>
    </row>
    <row r="104" spans="1:42" ht="21" customHeight="1" thickTop="1" thickBot="1" x14ac:dyDescent="0.35">
      <c r="A104" s="63"/>
      <c r="B104" s="66"/>
      <c r="C104" s="53"/>
      <c r="D104" s="45"/>
      <c r="E104" s="45"/>
      <c r="F104" s="45"/>
      <c r="G104" s="45"/>
      <c r="H104" s="45"/>
      <c r="I104" s="45"/>
      <c r="J104" s="51"/>
      <c r="K104" s="53"/>
      <c r="L104" s="45"/>
      <c r="M104" s="45"/>
      <c r="N104" s="45"/>
      <c r="O104" s="45"/>
      <c r="P104" s="45"/>
      <c r="Q104" s="45"/>
      <c r="R104" s="51"/>
      <c r="S104" s="53"/>
      <c r="T104" s="45"/>
      <c r="U104" s="45"/>
      <c r="V104" s="45"/>
      <c r="W104" s="45"/>
      <c r="X104" s="45"/>
      <c r="Y104" s="45"/>
      <c r="Z104" s="51"/>
      <c r="AA104" s="53"/>
      <c r="AB104" s="45"/>
      <c r="AC104" s="45"/>
      <c r="AD104" s="45"/>
      <c r="AE104" s="45"/>
      <c r="AF104" s="45"/>
      <c r="AG104" s="45"/>
      <c r="AH104" s="51"/>
      <c r="AI104" s="53"/>
      <c r="AJ104" s="45"/>
      <c r="AK104" s="45"/>
      <c r="AL104" s="45"/>
      <c r="AM104" s="45"/>
      <c r="AN104" s="45"/>
      <c r="AO104" s="45"/>
      <c r="AP104" s="51"/>
    </row>
    <row r="105" spans="1:42" ht="21" customHeight="1" thickTop="1" thickBot="1" x14ac:dyDescent="0.35">
      <c r="A105" s="63"/>
      <c r="B105" s="66"/>
      <c r="C105" s="54" t="s">
        <v>16</v>
      </c>
      <c r="D105" s="49">
        <f>MIN(D94:D103)</f>
        <v>298.55999999999989</v>
      </c>
      <c r="E105" s="45"/>
      <c r="F105" s="55" t="s">
        <v>17</v>
      </c>
      <c r="G105" s="49" t="s">
        <v>18</v>
      </c>
      <c r="H105" s="49" t="s">
        <v>19</v>
      </c>
      <c r="I105" s="45"/>
      <c r="J105" s="51"/>
      <c r="K105" s="54" t="s">
        <v>16</v>
      </c>
      <c r="L105" s="49">
        <f>MIN(L94:L103)</f>
        <v>299.49</v>
      </c>
      <c r="M105" s="45"/>
      <c r="N105" s="55" t="s">
        <v>17</v>
      </c>
      <c r="O105" s="49" t="s">
        <v>18</v>
      </c>
      <c r="P105" s="49" t="s">
        <v>19</v>
      </c>
      <c r="Q105" s="45"/>
      <c r="R105" s="51"/>
      <c r="S105" s="54" t="s">
        <v>16</v>
      </c>
      <c r="T105" s="49">
        <f>MIN(T94:T103)</f>
        <v>298.99999999999989</v>
      </c>
      <c r="U105" s="45"/>
      <c r="V105" s="55" t="s">
        <v>17</v>
      </c>
      <c r="W105" s="49" t="s">
        <v>18</v>
      </c>
      <c r="X105" s="49" t="s">
        <v>19</v>
      </c>
      <c r="Y105" s="45"/>
      <c r="Z105" s="51"/>
      <c r="AA105" s="54" t="s">
        <v>16</v>
      </c>
      <c r="AB105" s="49">
        <f>MIN(AB94:AB103)</f>
        <v>298.95</v>
      </c>
      <c r="AC105" s="45"/>
      <c r="AD105" s="55" t="s">
        <v>17</v>
      </c>
      <c r="AE105" s="49" t="s">
        <v>18</v>
      </c>
      <c r="AF105" s="49" t="s">
        <v>19</v>
      </c>
      <c r="AG105" s="45"/>
      <c r="AH105" s="51"/>
      <c r="AI105" s="54" t="s">
        <v>16</v>
      </c>
      <c r="AJ105" s="49">
        <f>MIN(AJ94:AJ103)</f>
        <v>298.36</v>
      </c>
      <c r="AK105" s="45"/>
      <c r="AL105" s="55" t="s">
        <v>17</v>
      </c>
      <c r="AM105" s="49" t="s">
        <v>18</v>
      </c>
      <c r="AN105" s="49" t="s">
        <v>19</v>
      </c>
      <c r="AO105" s="45"/>
      <c r="AP105" s="51"/>
    </row>
    <row r="106" spans="1:42" ht="21" customHeight="1" thickTop="1" thickBot="1" x14ac:dyDescent="0.35">
      <c r="A106" s="63"/>
      <c r="B106" s="66"/>
      <c r="C106" s="54" t="s">
        <v>20</v>
      </c>
      <c r="D106" s="48">
        <f>AVERAGE(D94:D103)</f>
        <v>299.26799999999992</v>
      </c>
      <c r="E106" s="47"/>
      <c r="F106" s="48">
        <f>_xlfn.STDEV.S(D94:D103) / AVERAGE(D94:D103) * 100%</f>
        <v>2.4894411265023067E-3</v>
      </c>
      <c r="G106" s="48">
        <f t="array" ref="G106">MIN((D94:D103 - MIN(D94:D103,L94:L103,T94:T103,AB94:AB103,AJ94:AJ103))/MIN(D94:D103,L94:L103,T94:T103,AB94:AB103,AJ94:AJ103)*100%)</f>
        <v>6.7033114358451182E-4</v>
      </c>
      <c r="H106" s="48">
        <f t="array" ref="H106">AVERAGE((D94:D103 - MIN(D94:D103,L94:L103,T94:T103,AB94:AB103,AJ94:AJ103))/MIN(D94:D103,L94:L103,T94:T103,AB94:AB103,AJ94:AJ103)*100%)</f>
        <v>3.0433033918754095E-3</v>
      </c>
      <c r="I106" s="45"/>
      <c r="J106" s="51"/>
      <c r="K106" s="54" t="s">
        <v>20</v>
      </c>
      <c r="L106" s="48">
        <f>AVERAGE(L94:L103)</f>
        <v>300.12500000000006</v>
      </c>
      <c r="M106" s="47"/>
      <c r="N106" s="48">
        <f>_xlfn.STDEV.S(L94:L103) / AVERAGE(L94:L103) * 100%</f>
        <v>1.0747782501484453E-3</v>
      </c>
      <c r="O106" s="48">
        <f t="array" ref="O106">MIN((L94:L103 - MIN(D94:D103,L94:L103,T94:T103,AB94:AB103,AJ94:AJ103))/MIN(D94:D103,L94:L103,T94:T103,AB94:AB103,AJ94:AJ103)*100%)</f>
        <v>3.7873709612548444E-3</v>
      </c>
      <c r="P106" s="48">
        <f t="array" ref="P106">AVERAGE((L94:L103 - MIN(D94:D103,L94:L103,T94:T103,AB94:AB103,AJ94:AJ103))/MIN(D94:D103,L94:L103,T94:T103,AB94:AB103,AJ94:AJ103)*100%)</f>
        <v>5.9156723421368938E-3</v>
      </c>
      <c r="Q106" s="44"/>
      <c r="R106" s="51"/>
      <c r="S106" s="54" t="s">
        <v>20</v>
      </c>
      <c r="T106" s="48">
        <f>AVERAGE(T94:T103)</f>
        <v>300.28000000000003</v>
      </c>
      <c r="U106" s="47"/>
      <c r="V106" s="48">
        <f>_xlfn.STDEV.S(T94:T103) / AVERAGE(T94:T103) * 100%</f>
        <v>3.7045916835763736E-3</v>
      </c>
      <c r="W106" s="48">
        <f t="array" ref="W106">MIN((T94:T103 - MIN(D94:D103,L94:L103,T94:T103,AB94:AB103,AJ94:AJ103))/MIN(D94:D103,L94:L103,T94:T103,AB94:AB103,AJ94:AJ103)*100%)</f>
        <v>2.145059659471352E-3</v>
      </c>
      <c r="X106" s="48">
        <f t="array" ref="X106">AVERAGE((T94:T103 - MIN(D94:D103,L94:L103,T94:T103,AB94:AB103,AJ94:AJ103))/MIN(D94:D103,L94:L103,T94:T103,AB94:AB103,AJ94:AJ103)*100%)</f>
        <v>6.4351789784152374E-3</v>
      </c>
      <c r="Y106" s="44"/>
      <c r="Z106" s="51"/>
      <c r="AA106" s="54" t="s">
        <v>20</v>
      </c>
      <c r="AB106" s="48">
        <f>AVERAGE(AB94:AB103)</f>
        <v>300.00599999999997</v>
      </c>
      <c r="AC106" s="47"/>
      <c r="AD106" s="48">
        <f>_xlfn.STDEV.S(AB94:AB103) / AVERAGE(AB94:AB103) * 100%</f>
        <v>3.9482352559700538E-3</v>
      </c>
      <c r="AE106" s="48">
        <f t="array" ref="AE106">MIN((AB94:AB103 - MIN(D94:D103,L94:L103,T94:T103,AB94:AB103,AJ94:AJ103))/MIN(D94:D103,L94:L103,T94:T103,AB94:AB103,AJ94:AJ103)*100%)</f>
        <v>1.9774768735754625E-3</v>
      </c>
      <c r="AF106" s="48">
        <f t="array" ref="AF106">AVERAGE((AB94:AB103 - MIN(D94:D103,L94:L103,T94:T103,AB94:AB103,AJ94:AJ103))/MIN(D94:D103,L94:L103,T94:T103,AB94:AB103,AJ94:AJ103)*100%)</f>
        <v>5.5168253117038593E-3</v>
      </c>
      <c r="AG106" s="44"/>
      <c r="AH106" s="51"/>
      <c r="AI106" s="54" t="s">
        <v>20</v>
      </c>
      <c r="AJ106" s="48">
        <f>AVERAGE(AJ94:AJ103)</f>
        <v>298.72100000000006</v>
      </c>
      <c r="AK106" s="47"/>
      <c r="AL106" s="48">
        <f>_xlfn.STDEV.S(AJ94:AJ103) / AVERAGE(AJ94:AJ103) * 100%</f>
        <v>1.1066185987176418E-3</v>
      </c>
      <c r="AM106" s="48">
        <f t="array" ref="AM106">MIN((AJ94:AJ103 - MIN(D94:D103,L94:L103,T94:T103,AB94:AB103,AJ94:AJ103))/MIN(D94:D103,L94:L103,T94:T103,AB94:AB103,AJ94:AJ103)*100%)</f>
        <v>0</v>
      </c>
      <c r="AN106" s="48">
        <f t="array" ref="AN106">AVERAGE((AJ94:AJ103 - MIN(D94:D103,L94:L103,T94:T103,AB94:AB103,AJ94:AJ103))/MIN(D94:D103,L94:L103,T94:T103,AB94:AB103,AJ94:AJ103)*100%)</f>
        <v>1.2099477141707857E-3</v>
      </c>
      <c r="AO106" s="44"/>
      <c r="AP106" s="51"/>
    </row>
    <row r="107" spans="1:42" ht="21" customHeight="1" thickTop="1" thickBot="1" x14ac:dyDescent="0.35">
      <c r="A107" s="63"/>
      <c r="B107" s="67"/>
      <c r="C107" s="53"/>
      <c r="D107" s="44"/>
      <c r="E107" s="44"/>
      <c r="F107" s="44"/>
      <c r="G107" s="44"/>
      <c r="H107" s="44"/>
      <c r="I107" s="44"/>
      <c r="J107" s="51"/>
      <c r="K107" s="53"/>
      <c r="L107" s="44"/>
      <c r="M107" s="44"/>
      <c r="N107" s="44"/>
      <c r="O107" s="44"/>
      <c r="P107" s="44"/>
      <c r="Q107" s="44"/>
      <c r="R107" s="51"/>
      <c r="S107" s="53"/>
      <c r="T107" s="44"/>
      <c r="U107" s="44"/>
      <c r="V107" s="44"/>
      <c r="W107" s="44"/>
      <c r="X107" s="44"/>
      <c r="Y107" s="44"/>
      <c r="Z107" s="51"/>
      <c r="AA107" s="53"/>
      <c r="AB107" s="44"/>
      <c r="AC107" s="44"/>
      <c r="AD107" s="44"/>
      <c r="AE107" s="44"/>
      <c r="AF107" s="44"/>
      <c r="AG107" s="44"/>
      <c r="AH107" s="51"/>
      <c r="AI107" s="53"/>
      <c r="AJ107" s="44"/>
      <c r="AK107" s="44"/>
      <c r="AL107" s="44"/>
      <c r="AM107" s="44"/>
      <c r="AN107" s="44"/>
      <c r="AO107" s="44"/>
      <c r="AP107" s="51"/>
    </row>
    <row r="108" spans="1:42" ht="21" customHeight="1" thickTop="1" thickBot="1" x14ac:dyDescent="0.35">
      <c r="A108" s="63"/>
      <c r="B108" s="65" t="s">
        <v>73</v>
      </c>
      <c r="C108" s="59" t="s">
        <v>8</v>
      </c>
      <c r="D108" s="46" t="s">
        <v>9</v>
      </c>
      <c r="E108" s="46" t="s">
        <v>10</v>
      </c>
      <c r="F108" s="46" t="s">
        <v>11</v>
      </c>
      <c r="G108" s="46" t="s">
        <v>12</v>
      </c>
      <c r="H108" s="46" t="s">
        <v>13</v>
      </c>
      <c r="I108" s="46" t="s">
        <v>14</v>
      </c>
      <c r="J108" s="60" t="s">
        <v>15</v>
      </c>
      <c r="K108" s="59" t="s">
        <v>8</v>
      </c>
      <c r="L108" s="46" t="s">
        <v>9</v>
      </c>
      <c r="M108" s="46" t="s">
        <v>10</v>
      </c>
      <c r="N108" s="46" t="s">
        <v>11</v>
      </c>
      <c r="O108" s="46" t="s">
        <v>12</v>
      </c>
      <c r="P108" s="46" t="s">
        <v>13</v>
      </c>
      <c r="Q108" s="46" t="s">
        <v>14</v>
      </c>
      <c r="R108" s="60" t="s">
        <v>15</v>
      </c>
      <c r="S108" s="59" t="s">
        <v>8</v>
      </c>
      <c r="T108" s="46" t="s">
        <v>9</v>
      </c>
      <c r="U108" s="46" t="s">
        <v>10</v>
      </c>
      <c r="V108" s="46" t="s">
        <v>11</v>
      </c>
      <c r="W108" s="46" t="s">
        <v>12</v>
      </c>
      <c r="X108" s="46" t="s">
        <v>13</v>
      </c>
      <c r="Y108" s="46" t="s">
        <v>14</v>
      </c>
      <c r="Z108" s="60" t="s">
        <v>15</v>
      </c>
      <c r="AA108" s="59" t="s">
        <v>8</v>
      </c>
      <c r="AB108" s="46" t="s">
        <v>9</v>
      </c>
      <c r="AC108" s="46" t="s">
        <v>10</v>
      </c>
      <c r="AD108" s="46" t="s">
        <v>11</v>
      </c>
      <c r="AE108" s="46" t="s">
        <v>12</v>
      </c>
      <c r="AF108" s="46" t="s">
        <v>13</v>
      </c>
      <c r="AG108" s="46" t="s">
        <v>14</v>
      </c>
      <c r="AH108" s="60" t="s">
        <v>15</v>
      </c>
      <c r="AI108" s="59" t="s">
        <v>8</v>
      </c>
      <c r="AJ108" s="46" t="s">
        <v>9</v>
      </c>
      <c r="AK108" s="46" t="s">
        <v>10</v>
      </c>
      <c r="AL108" s="46" t="s">
        <v>11</v>
      </c>
      <c r="AM108" s="46" t="s">
        <v>12</v>
      </c>
      <c r="AN108" s="46" t="s">
        <v>13</v>
      </c>
      <c r="AO108" s="46" t="s">
        <v>14</v>
      </c>
      <c r="AP108" s="60" t="s">
        <v>15</v>
      </c>
    </row>
    <row r="109" spans="1:42" ht="21" customHeight="1" thickTop="1" thickBot="1" x14ac:dyDescent="0.35">
      <c r="A109" s="63"/>
      <c r="B109" s="66"/>
      <c r="C109" s="52">
        <v>1</v>
      </c>
      <c r="D109" s="44">
        <v>324.94999999999987</v>
      </c>
      <c r="E109" s="44"/>
      <c r="F109" s="44"/>
      <c r="G109" s="44"/>
      <c r="H109" s="44"/>
      <c r="I109" s="44"/>
      <c r="J109" s="51"/>
      <c r="K109" s="52">
        <v>1</v>
      </c>
      <c r="L109" s="44">
        <v>324.13</v>
      </c>
      <c r="M109" s="44"/>
      <c r="N109" s="44"/>
      <c r="O109" s="44"/>
      <c r="P109" s="44"/>
      <c r="Q109" s="44"/>
      <c r="R109" s="51"/>
      <c r="S109" s="52">
        <v>1</v>
      </c>
      <c r="T109" s="44">
        <v>324.32999999999993</v>
      </c>
      <c r="U109" s="44"/>
      <c r="V109" s="44"/>
      <c r="W109" s="44"/>
      <c r="X109" s="44"/>
      <c r="Y109" s="44"/>
      <c r="Z109" s="51"/>
      <c r="AA109" s="52">
        <v>1</v>
      </c>
      <c r="AB109" s="44">
        <v>325.81999999999988</v>
      </c>
      <c r="AC109" s="44"/>
      <c r="AD109" s="44"/>
      <c r="AE109" s="44"/>
      <c r="AF109" s="44"/>
      <c r="AG109" s="44"/>
      <c r="AH109" s="51"/>
      <c r="AI109" s="52">
        <v>1</v>
      </c>
      <c r="AJ109" s="44">
        <v>323.52999999999992</v>
      </c>
      <c r="AK109" s="44"/>
      <c r="AL109" s="44"/>
      <c r="AM109" s="44"/>
      <c r="AN109" s="44"/>
      <c r="AO109" s="44"/>
      <c r="AP109" s="51"/>
    </row>
    <row r="110" spans="1:42" ht="21" customHeight="1" thickTop="1" thickBot="1" x14ac:dyDescent="0.35">
      <c r="A110" s="63"/>
      <c r="B110" s="66"/>
      <c r="C110" s="53">
        <v>2</v>
      </c>
      <c r="D110" s="45">
        <v>324.89999999999992</v>
      </c>
      <c r="E110" s="45"/>
      <c r="F110" s="45"/>
      <c r="G110" s="45"/>
      <c r="H110" s="45"/>
      <c r="I110" s="45"/>
      <c r="J110" s="51"/>
      <c r="K110" s="53">
        <v>2</v>
      </c>
      <c r="L110" s="45">
        <v>324.74999999999989</v>
      </c>
      <c r="M110" s="45"/>
      <c r="N110" s="45"/>
      <c r="O110" s="45"/>
      <c r="P110" s="45"/>
      <c r="Q110" s="45"/>
      <c r="R110" s="51"/>
      <c r="S110" s="53">
        <v>2</v>
      </c>
      <c r="T110" s="45">
        <v>323.56999999999988</v>
      </c>
      <c r="U110" s="45"/>
      <c r="V110" s="45"/>
      <c r="W110" s="45"/>
      <c r="X110" s="45"/>
      <c r="Y110" s="45"/>
      <c r="Z110" s="51"/>
      <c r="AA110" s="53">
        <v>2</v>
      </c>
      <c r="AB110" s="45">
        <v>326.3</v>
      </c>
      <c r="AC110" s="45"/>
      <c r="AD110" s="45"/>
      <c r="AE110" s="45"/>
      <c r="AF110" s="45"/>
      <c r="AG110" s="45"/>
      <c r="AH110" s="51"/>
      <c r="AI110" s="53">
        <v>2</v>
      </c>
      <c r="AJ110" s="45">
        <v>323.52999999999997</v>
      </c>
      <c r="AK110" s="45"/>
      <c r="AL110" s="45"/>
      <c r="AM110" s="45"/>
      <c r="AN110" s="45"/>
      <c r="AO110" s="45"/>
      <c r="AP110" s="51"/>
    </row>
    <row r="111" spans="1:42" ht="21" customHeight="1" thickTop="1" thickBot="1" x14ac:dyDescent="0.35">
      <c r="A111" s="63"/>
      <c r="B111" s="66"/>
      <c r="C111" s="53">
        <v>3</v>
      </c>
      <c r="D111" s="45">
        <v>324.4799999999999</v>
      </c>
      <c r="E111" s="45"/>
      <c r="F111" s="45"/>
      <c r="G111" s="44"/>
      <c r="H111" s="44"/>
      <c r="I111" s="44"/>
      <c r="J111" s="51"/>
      <c r="K111" s="53">
        <v>3</v>
      </c>
      <c r="L111" s="45">
        <v>324.86999999999989</v>
      </c>
      <c r="M111" s="45"/>
      <c r="N111" s="45"/>
      <c r="O111" s="44"/>
      <c r="P111" s="44"/>
      <c r="Q111" s="44"/>
      <c r="R111" s="51"/>
      <c r="S111" s="53">
        <v>3</v>
      </c>
      <c r="T111" s="45">
        <v>323.95999999999992</v>
      </c>
      <c r="U111" s="45"/>
      <c r="V111" s="45"/>
      <c r="W111" s="44"/>
      <c r="X111" s="44"/>
      <c r="Y111" s="44"/>
      <c r="Z111" s="51"/>
      <c r="AA111" s="53">
        <v>3</v>
      </c>
      <c r="AB111" s="45">
        <v>325.27999999999992</v>
      </c>
      <c r="AC111" s="45"/>
      <c r="AD111" s="45"/>
      <c r="AE111" s="44"/>
      <c r="AF111" s="44"/>
      <c r="AG111" s="44"/>
      <c r="AH111" s="51"/>
      <c r="AI111" s="53">
        <v>3</v>
      </c>
      <c r="AJ111" s="45">
        <v>323.52999999999997</v>
      </c>
      <c r="AK111" s="45"/>
      <c r="AL111" s="45"/>
      <c r="AM111" s="44"/>
      <c r="AN111" s="44"/>
      <c r="AO111" s="44"/>
      <c r="AP111" s="51"/>
    </row>
    <row r="112" spans="1:42" ht="21" customHeight="1" thickTop="1" thickBot="1" x14ac:dyDescent="0.35">
      <c r="A112" s="63"/>
      <c r="B112" s="66"/>
      <c r="C112" s="53">
        <v>4</v>
      </c>
      <c r="D112" s="45">
        <v>325.79000000000002</v>
      </c>
      <c r="E112" s="45"/>
      <c r="F112" s="45"/>
      <c r="G112" s="45"/>
      <c r="H112" s="45"/>
      <c r="I112" s="45"/>
      <c r="J112" s="51"/>
      <c r="K112" s="53">
        <v>4</v>
      </c>
      <c r="L112" s="45">
        <v>325.61999999999989</v>
      </c>
      <c r="M112" s="45"/>
      <c r="N112" s="45"/>
      <c r="O112" s="45"/>
      <c r="P112" s="45"/>
      <c r="Q112" s="45"/>
      <c r="R112" s="51"/>
      <c r="S112" s="53">
        <v>4</v>
      </c>
      <c r="T112" s="45">
        <v>324.74999999999989</v>
      </c>
      <c r="U112" s="45"/>
      <c r="V112" s="45"/>
      <c r="W112" s="45"/>
      <c r="X112" s="45"/>
      <c r="Y112" s="45"/>
      <c r="Z112" s="51"/>
      <c r="AA112" s="53">
        <v>4</v>
      </c>
      <c r="AB112" s="45">
        <v>325.6699999999999</v>
      </c>
      <c r="AC112" s="45"/>
      <c r="AD112" s="45"/>
      <c r="AE112" s="45"/>
      <c r="AF112" s="45"/>
      <c r="AG112" s="45"/>
      <c r="AH112" s="51"/>
      <c r="AI112" s="53">
        <v>4</v>
      </c>
      <c r="AJ112" s="45">
        <v>323.94999999999987</v>
      </c>
      <c r="AK112" s="45"/>
      <c r="AL112" s="45"/>
      <c r="AM112" s="45"/>
      <c r="AN112" s="45"/>
      <c r="AO112" s="45"/>
      <c r="AP112" s="51"/>
    </row>
    <row r="113" spans="1:42" ht="21" customHeight="1" thickTop="1" thickBot="1" x14ac:dyDescent="0.35">
      <c r="A113" s="63"/>
      <c r="B113" s="66"/>
      <c r="C113" s="53">
        <v>5</v>
      </c>
      <c r="D113" s="45">
        <v>325.3</v>
      </c>
      <c r="E113" s="45"/>
      <c r="F113" s="45"/>
      <c r="G113" s="45"/>
      <c r="H113" s="45"/>
      <c r="I113" s="45"/>
      <c r="J113" s="51"/>
      <c r="K113" s="53">
        <v>5</v>
      </c>
      <c r="L113" s="45">
        <v>325.29000000000002</v>
      </c>
      <c r="M113" s="45"/>
      <c r="N113" s="45"/>
      <c r="O113" s="45"/>
      <c r="P113" s="45"/>
      <c r="Q113" s="45"/>
      <c r="R113" s="51"/>
      <c r="S113" s="53">
        <v>5</v>
      </c>
      <c r="T113" s="45">
        <v>324.12999999999988</v>
      </c>
      <c r="U113" s="45"/>
      <c r="V113" s="45"/>
      <c r="W113" s="45"/>
      <c r="X113" s="45"/>
      <c r="Y113" s="45"/>
      <c r="Z113" s="51"/>
      <c r="AA113" s="53">
        <v>5</v>
      </c>
      <c r="AB113" s="45">
        <v>326.55</v>
      </c>
      <c r="AC113" s="45"/>
      <c r="AD113" s="45"/>
      <c r="AE113" s="45"/>
      <c r="AF113" s="45"/>
      <c r="AG113" s="45"/>
      <c r="AH113" s="51"/>
      <c r="AI113" s="53">
        <v>5</v>
      </c>
      <c r="AJ113" s="45">
        <v>324.13</v>
      </c>
      <c r="AK113" s="45"/>
      <c r="AL113" s="45"/>
      <c r="AM113" s="45"/>
      <c r="AN113" s="45"/>
      <c r="AO113" s="45"/>
      <c r="AP113" s="51"/>
    </row>
    <row r="114" spans="1:42" ht="21" customHeight="1" thickTop="1" thickBot="1" x14ac:dyDescent="0.35">
      <c r="A114" s="63"/>
      <c r="B114" s="66"/>
      <c r="C114" s="53">
        <v>6</v>
      </c>
      <c r="D114" s="45">
        <v>324.74999999999989</v>
      </c>
      <c r="E114" s="45"/>
      <c r="F114" s="45"/>
      <c r="G114" s="45"/>
      <c r="H114" s="45"/>
      <c r="I114" s="45"/>
      <c r="J114" s="51"/>
      <c r="K114" s="53">
        <v>6</v>
      </c>
      <c r="L114" s="45">
        <v>324.74999999999989</v>
      </c>
      <c r="M114" s="45"/>
      <c r="N114" s="45"/>
      <c r="O114" s="45"/>
      <c r="P114" s="45"/>
      <c r="Q114" s="45"/>
      <c r="R114" s="51"/>
      <c r="S114" s="53">
        <v>6</v>
      </c>
      <c r="T114" s="45">
        <v>324.92999999999989</v>
      </c>
      <c r="U114" s="45"/>
      <c r="V114" s="45"/>
      <c r="W114" s="45"/>
      <c r="X114" s="45"/>
      <c r="Y114" s="45"/>
      <c r="Z114" s="51"/>
      <c r="AA114" s="53">
        <v>6</v>
      </c>
      <c r="AB114" s="45">
        <v>325.08999999999992</v>
      </c>
      <c r="AC114" s="45"/>
      <c r="AD114" s="45"/>
      <c r="AE114" s="45"/>
      <c r="AF114" s="45"/>
      <c r="AG114" s="45"/>
      <c r="AH114" s="51"/>
      <c r="AI114" s="53">
        <v>6</v>
      </c>
      <c r="AJ114" s="45">
        <v>323.55</v>
      </c>
      <c r="AK114" s="45"/>
      <c r="AL114" s="45"/>
      <c r="AM114" s="45"/>
      <c r="AN114" s="45"/>
      <c r="AO114" s="45"/>
      <c r="AP114" s="51"/>
    </row>
    <row r="115" spans="1:42" ht="21" customHeight="1" thickTop="1" thickBot="1" x14ac:dyDescent="0.35">
      <c r="A115" s="63"/>
      <c r="B115" s="66"/>
      <c r="C115" s="53">
        <v>7</v>
      </c>
      <c r="D115" s="45">
        <v>325.60000000000002</v>
      </c>
      <c r="E115" s="45"/>
      <c r="F115" s="45"/>
      <c r="G115" s="45"/>
      <c r="H115" s="45"/>
      <c r="I115" s="45"/>
      <c r="J115" s="51"/>
      <c r="K115" s="53">
        <v>7</v>
      </c>
      <c r="L115" s="45">
        <v>324.93999999999988</v>
      </c>
      <c r="M115" s="45"/>
      <c r="N115" s="45"/>
      <c r="O115" s="45"/>
      <c r="P115" s="45"/>
      <c r="Q115" s="45"/>
      <c r="R115" s="51"/>
      <c r="S115" s="53">
        <v>7</v>
      </c>
      <c r="T115" s="45">
        <v>325.86999999999989</v>
      </c>
      <c r="U115" s="45"/>
      <c r="V115" s="45"/>
      <c r="W115" s="45"/>
      <c r="X115" s="45"/>
      <c r="Y115" s="45"/>
      <c r="Z115" s="51"/>
      <c r="AA115" s="53">
        <v>7</v>
      </c>
      <c r="AB115" s="45">
        <v>325.95999999999992</v>
      </c>
      <c r="AC115" s="45"/>
      <c r="AD115" s="45"/>
      <c r="AE115" s="45"/>
      <c r="AF115" s="45"/>
      <c r="AG115" s="45"/>
      <c r="AH115" s="51"/>
      <c r="AI115" s="53">
        <v>7</v>
      </c>
      <c r="AJ115" s="45">
        <v>323.52999999999997</v>
      </c>
      <c r="AK115" s="45"/>
      <c r="AL115" s="45"/>
      <c r="AM115" s="45"/>
      <c r="AN115" s="45"/>
      <c r="AO115" s="45"/>
      <c r="AP115" s="51"/>
    </row>
    <row r="116" spans="1:42" ht="21" customHeight="1" thickTop="1" thickBot="1" x14ac:dyDescent="0.35">
      <c r="A116" s="63"/>
      <c r="B116" s="66"/>
      <c r="C116" s="53">
        <v>8</v>
      </c>
      <c r="D116" s="45">
        <v>324.7399999999999</v>
      </c>
      <c r="E116" s="45"/>
      <c r="F116" s="45"/>
      <c r="G116" s="45"/>
      <c r="H116" s="45"/>
      <c r="I116" s="45"/>
      <c r="J116" s="51"/>
      <c r="K116" s="53">
        <v>8</v>
      </c>
      <c r="L116" s="45">
        <v>324.27999999999992</v>
      </c>
      <c r="M116" s="45"/>
      <c r="N116" s="45"/>
      <c r="O116" s="45"/>
      <c r="P116" s="45"/>
      <c r="Q116" s="45"/>
      <c r="R116" s="51"/>
      <c r="S116" s="53">
        <v>8</v>
      </c>
      <c r="T116" s="45">
        <v>324.20999999999992</v>
      </c>
      <c r="U116" s="45"/>
      <c r="V116" s="45"/>
      <c r="W116" s="45"/>
      <c r="X116" s="45"/>
      <c r="Y116" s="45"/>
      <c r="Z116" s="51"/>
      <c r="AA116" s="53">
        <v>8</v>
      </c>
      <c r="AB116" s="45">
        <v>325.27999999999997</v>
      </c>
      <c r="AC116" s="45"/>
      <c r="AD116" s="45"/>
      <c r="AE116" s="45"/>
      <c r="AF116" s="45"/>
      <c r="AG116" s="45"/>
      <c r="AH116" s="51"/>
      <c r="AI116" s="53">
        <v>8</v>
      </c>
      <c r="AJ116" s="45">
        <v>324.13999999999987</v>
      </c>
      <c r="AK116" s="45"/>
      <c r="AL116" s="45"/>
      <c r="AM116" s="45"/>
      <c r="AN116" s="45"/>
      <c r="AO116" s="45"/>
      <c r="AP116" s="51"/>
    </row>
    <row r="117" spans="1:42" ht="21" customHeight="1" thickTop="1" thickBot="1" x14ac:dyDescent="0.35">
      <c r="A117" s="63"/>
      <c r="B117" s="66"/>
      <c r="C117" s="53">
        <v>9</v>
      </c>
      <c r="D117" s="45">
        <v>324.92999999999989</v>
      </c>
      <c r="E117" s="45"/>
      <c r="F117" s="45"/>
      <c r="G117" s="45"/>
      <c r="H117" s="45"/>
      <c r="I117" s="45"/>
      <c r="J117" s="51"/>
      <c r="K117" s="53">
        <v>9</v>
      </c>
      <c r="L117" s="45">
        <v>325.19999999999987</v>
      </c>
      <c r="M117" s="45"/>
      <c r="N117" s="45"/>
      <c r="O117" s="45"/>
      <c r="P117" s="45"/>
      <c r="Q117" s="45"/>
      <c r="R117" s="51"/>
      <c r="S117" s="53">
        <v>9</v>
      </c>
      <c r="T117" s="45">
        <v>324.12999999999988</v>
      </c>
      <c r="U117" s="45"/>
      <c r="V117" s="45"/>
      <c r="W117" s="45"/>
      <c r="X117" s="45"/>
      <c r="Y117" s="45"/>
      <c r="Z117" s="51"/>
      <c r="AA117" s="53">
        <v>9</v>
      </c>
      <c r="AB117" s="45">
        <v>325.1099999999999</v>
      </c>
      <c r="AC117" s="45"/>
      <c r="AD117" s="45"/>
      <c r="AE117" s="45"/>
      <c r="AF117" s="45"/>
      <c r="AG117" s="45"/>
      <c r="AH117" s="51"/>
      <c r="AI117" s="53">
        <v>9</v>
      </c>
      <c r="AJ117" s="45">
        <v>323.54000000000002</v>
      </c>
      <c r="AK117" s="45"/>
      <c r="AL117" s="45"/>
      <c r="AM117" s="45"/>
      <c r="AN117" s="45"/>
      <c r="AO117" s="45"/>
      <c r="AP117" s="51"/>
    </row>
    <row r="118" spans="1:42" ht="21" customHeight="1" thickTop="1" thickBot="1" x14ac:dyDescent="0.35">
      <c r="A118" s="63"/>
      <c r="B118" s="66"/>
      <c r="C118" s="53">
        <v>10</v>
      </c>
      <c r="D118" s="45">
        <v>324.2399999999999</v>
      </c>
      <c r="E118" s="45"/>
      <c r="F118" s="45"/>
      <c r="G118" s="45"/>
      <c r="H118" s="45"/>
      <c r="I118" s="45"/>
      <c r="J118" s="51"/>
      <c r="K118" s="53">
        <v>10</v>
      </c>
      <c r="L118" s="45">
        <v>325.86999999999989</v>
      </c>
      <c r="M118" s="45"/>
      <c r="N118" s="45"/>
      <c r="O118" s="45"/>
      <c r="P118" s="45"/>
      <c r="Q118" s="45"/>
      <c r="R118" s="51"/>
      <c r="S118" s="53">
        <v>10</v>
      </c>
      <c r="T118" s="45">
        <v>324.27999999999997</v>
      </c>
      <c r="U118" s="45"/>
      <c r="V118" s="45"/>
      <c r="W118" s="45"/>
      <c r="X118" s="45"/>
      <c r="Y118" s="45"/>
      <c r="Z118" s="51"/>
      <c r="AA118" s="53">
        <v>10</v>
      </c>
      <c r="AB118" s="45">
        <v>325.77999999999997</v>
      </c>
      <c r="AC118" s="45"/>
      <c r="AD118" s="45"/>
      <c r="AE118" s="45"/>
      <c r="AF118" s="45"/>
      <c r="AG118" s="45"/>
      <c r="AH118" s="51"/>
      <c r="AI118" s="53">
        <v>10</v>
      </c>
      <c r="AJ118" s="45">
        <v>323.99</v>
      </c>
      <c r="AK118" s="45"/>
      <c r="AL118" s="45"/>
      <c r="AM118" s="45"/>
      <c r="AN118" s="45"/>
      <c r="AO118" s="45"/>
      <c r="AP118" s="51"/>
    </row>
    <row r="119" spans="1:42" ht="21" customHeight="1" thickTop="1" thickBot="1" x14ac:dyDescent="0.35">
      <c r="A119" s="63"/>
      <c r="B119" s="66"/>
      <c r="C119" s="53"/>
      <c r="D119" s="45"/>
      <c r="E119" s="45"/>
      <c r="F119" s="45"/>
      <c r="G119" s="45"/>
      <c r="H119" s="45"/>
      <c r="I119" s="45"/>
      <c r="J119" s="51"/>
      <c r="K119" s="53"/>
      <c r="L119" s="45"/>
      <c r="M119" s="45"/>
      <c r="N119" s="45"/>
      <c r="O119" s="45"/>
      <c r="P119" s="45"/>
      <c r="Q119" s="45"/>
      <c r="R119" s="51"/>
      <c r="S119" s="53"/>
      <c r="T119" s="45"/>
      <c r="U119" s="45"/>
      <c r="V119" s="45"/>
      <c r="W119" s="45"/>
      <c r="X119" s="45"/>
      <c r="Y119" s="45"/>
      <c r="Z119" s="51"/>
      <c r="AA119" s="53"/>
      <c r="AB119" s="45"/>
      <c r="AC119" s="45"/>
      <c r="AD119" s="45"/>
      <c r="AE119" s="45"/>
      <c r="AF119" s="45"/>
      <c r="AG119" s="45"/>
      <c r="AH119" s="51"/>
      <c r="AI119" s="53"/>
      <c r="AJ119" s="45"/>
      <c r="AK119" s="45"/>
      <c r="AL119" s="45"/>
      <c r="AM119" s="45"/>
      <c r="AN119" s="45"/>
      <c r="AO119" s="45"/>
      <c r="AP119" s="51"/>
    </row>
    <row r="120" spans="1:42" ht="21" customHeight="1" thickTop="1" thickBot="1" x14ac:dyDescent="0.35">
      <c r="A120" s="63"/>
      <c r="B120" s="66"/>
      <c r="C120" s="54" t="s">
        <v>16</v>
      </c>
      <c r="D120" s="49">
        <f>MIN(D109:D118)</f>
        <v>324.2399999999999</v>
      </c>
      <c r="E120" s="45"/>
      <c r="F120" s="55" t="s">
        <v>17</v>
      </c>
      <c r="G120" s="49" t="s">
        <v>18</v>
      </c>
      <c r="H120" s="49" t="s">
        <v>19</v>
      </c>
      <c r="I120" s="45"/>
      <c r="J120" s="51"/>
      <c r="K120" s="54" t="s">
        <v>16</v>
      </c>
      <c r="L120" s="49">
        <f>MIN(L109:L118)</f>
        <v>324.13</v>
      </c>
      <c r="M120" s="45"/>
      <c r="N120" s="55" t="s">
        <v>17</v>
      </c>
      <c r="O120" s="49" t="s">
        <v>18</v>
      </c>
      <c r="P120" s="49" t="s">
        <v>19</v>
      </c>
      <c r="Q120" s="45"/>
      <c r="R120" s="51"/>
      <c r="S120" s="54" t="s">
        <v>16</v>
      </c>
      <c r="T120" s="49">
        <f>MIN(T109:T118)</f>
        <v>323.56999999999988</v>
      </c>
      <c r="U120" s="45"/>
      <c r="V120" s="55" t="s">
        <v>17</v>
      </c>
      <c r="W120" s="49" t="s">
        <v>18</v>
      </c>
      <c r="X120" s="49" t="s">
        <v>19</v>
      </c>
      <c r="Y120" s="45"/>
      <c r="Z120" s="51"/>
      <c r="AA120" s="54" t="s">
        <v>16</v>
      </c>
      <c r="AB120" s="49">
        <f>MIN(AB109:AB118)</f>
        <v>325.08999999999992</v>
      </c>
      <c r="AC120" s="45"/>
      <c r="AD120" s="55" t="s">
        <v>17</v>
      </c>
      <c r="AE120" s="49" t="s">
        <v>18</v>
      </c>
      <c r="AF120" s="49" t="s">
        <v>19</v>
      </c>
      <c r="AG120" s="45"/>
      <c r="AH120" s="51"/>
      <c r="AI120" s="54" t="s">
        <v>16</v>
      </c>
      <c r="AJ120" s="49">
        <f>MIN(AJ109:AJ118)</f>
        <v>323.52999999999992</v>
      </c>
      <c r="AK120" s="45"/>
      <c r="AL120" s="55" t="s">
        <v>17</v>
      </c>
      <c r="AM120" s="49" t="s">
        <v>18</v>
      </c>
      <c r="AN120" s="49" t="s">
        <v>19</v>
      </c>
      <c r="AO120" s="45"/>
      <c r="AP120" s="51"/>
    </row>
    <row r="121" spans="1:42" ht="21" customHeight="1" thickTop="1" thickBot="1" x14ac:dyDescent="0.35">
      <c r="A121" s="63"/>
      <c r="B121" s="66"/>
      <c r="C121" s="54" t="s">
        <v>20</v>
      </c>
      <c r="D121" s="48">
        <f>AVERAGE(D109:D118)</f>
        <v>324.9679999999999</v>
      </c>
      <c r="E121" s="47"/>
      <c r="F121" s="48">
        <f>_xlfn.STDEV.S(D109:D118) / AVERAGE(D109:D118) * 100%</f>
        <v>1.471988049650798E-3</v>
      </c>
      <c r="G121" s="48">
        <f t="array" ref="G121">MIN((D109:D118 - MIN(D109:D118,L109:L118,T109:T118,AB109:AB118,AJ109:AJ118))/MIN(D109:D118,L109:L118,T109:T118,AB109:AB118,AJ109:AJ118)*100%)</f>
        <v>2.1945414644700019E-3</v>
      </c>
      <c r="H121" s="48">
        <f t="array" ref="H121">AVERAGE((D109:D118 - MIN(D109:D118,L109:L118,T109:T118,AB109:AB118,AJ109:AJ118))/MIN(D109:D118,L109:L118,T109:T118,AB109:AB118,AJ109:AJ118)*100%)</f>
        <v>4.4447191914197045E-3</v>
      </c>
      <c r="I121" s="45"/>
      <c r="J121" s="51"/>
      <c r="K121" s="54" t="s">
        <v>20</v>
      </c>
      <c r="L121" s="48">
        <f>AVERAGE(L109:L118)</f>
        <v>324.96999999999991</v>
      </c>
      <c r="M121" s="47"/>
      <c r="N121" s="48">
        <f>_xlfn.STDEV.S(L109:L118) / AVERAGE(L109:L118) * 100%</f>
        <v>1.6783243015023831E-3</v>
      </c>
      <c r="O121" s="48">
        <f t="array" ref="O121">MIN((L109:L118 - MIN(D109:D118,L109:L118,T109:T118,AB109:AB118,AJ109:AJ118))/MIN(D109:D118,L109:L118,T109:T118,AB109:AB118,AJ109:AJ118)*100%)</f>
        <v>1.8545420826510052E-3</v>
      </c>
      <c r="P121" s="48">
        <f t="array" ref="P121">AVERAGE((L109:L118 - MIN(D109:D118,L109:L118,T109:T118,AB109:AB118,AJ109:AJ118))/MIN(D109:D118,L109:L118,T109:T118,AB109:AB118,AJ109:AJ118)*100%)</f>
        <v>4.4509009983618149E-3</v>
      </c>
      <c r="Q121" s="44"/>
      <c r="R121" s="51"/>
      <c r="S121" s="54" t="s">
        <v>20</v>
      </c>
      <c r="T121" s="48">
        <f>AVERAGE(T109:T118)</f>
        <v>324.41599999999988</v>
      </c>
      <c r="U121" s="47"/>
      <c r="V121" s="48">
        <f>_xlfn.STDEV.S(T109:T118) / AVERAGE(T109:T118) * 100%</f>
        <v>1.9617852160421145E-3</v>
      </c>
      <c r="W121" s="48">
        <f t="array" ref="W121">MIN((T109:T118 - MIN(D109:D118,L109:L118,T109:T118,AB109:AB118,AJ109:AJ118))/MIN(D109:D118,L109:L118,T109:T118,AB109:AB118,AJ109:AJ118)*100%)</f>
        <v>1.2363613884327151E-4</v>
      </c>
      <c r="X121" s="48">
        <f t="array" ref="X121">AVERAGE((T109:T118 - MIN(D109:D118,L109:L118,T109:T118,AB109:AB118,AJ109:AJ118))/MIN(D109:D118,L109:L118,T109:T118,AB109:AB118,AJ109:AJ118)*100%)</f>
        <v>2.7385404753809241E-3</v>
      </c>
      <c r="Y121" s="44"/>
      <c r="Z121" s="51"/>
      <c r="AA121" s="54" t="s">
        <v>20</v>
      </c>
      <c r="AB121" s="48">
        <f>AVERAGE(AB109:AB118)</f>
        <v>325.68399999999991</v>
      </c>
      <c r="AC121" s="47"/>
      <c r="AD121" s="48">
        <f>_xlfn.STDEV.S(AB109:AB118) / AVERAGE(AB109:AB118) * 100%</f>
        <v>1.5325807625363149E-3</v>
      </c>
      <c r="AE121" s="48">
        <f t="array" ref="AE121">MIN((AB109:AB118 - MIN(D109:D118,L109:L118,T109:T118,AB109:AB118,AJ109:AJ118))/MIN(D109:D118,L109:L118,T109:T118,AB109:AB118,AJ109:AJ118)*100%)</f>
        <v>4.8218094148919808E-3</v>
      </c>
      <c r="AF121" s="48">
        <f t="array" ref="AF121">AVERAGE((AB109:AB118 - MIN(D109:D118,L109:L118,T109:T118,AB109:AB118,AJ109:AJ118))/MIN(D109:D118,L109:L118,T109:T118,AB109:AB118,AJ109:AJ118)*100%)</f>
        <v>6.6578060767163005E-3</v>
      </c>
      <c r="AG121" s="44"/>
      <c r="AH121" s="51"/>
      <c r="AI121" s="54" t="s">
        <v>20</v>
      </c>
      <c r="AJ121" s="48">
        <f>AVERAGE(AJ109:AJ118)</f>
        <v>323.7419999999999</v>
      </c>
      <c r="AK121" s="47"/>
      <c r="AL121" s="48">
        <f>_xlfn.STDEV.S(AJ109:AJ118) / AVERAGE(AJ109:AJ118) * 100%</f>
        <v>8.4351484981833307E-4</v>
      </c>
      <c r="AM121" s="48">
        <f t="array" ref="AM121">MIN((AJ109:AJ118 - MIN(D109:D118,L109:L118,T109:T118,AB109:AB118,AJ109:AJ118))/MIN(D109:D118,L109:L118,T109:T118,AB109:AB118,AJ109:AJ118)*100%)</f>
        <v>0</v>
      </c>
      <c r="AN121" s="48">
        <f t="array" ref="AN121">AVERAGE((AJ109:AJ118 - MIN(D109:D118,L109:L118,T109:T118,AB109:AB118,AJ109:AJ118))/MIN(D109:D118,L109:L118,T109:T118,AB109:AB118,AJ109:AJ118)*100%)</f>
        <v>6.5527153587007696E-4</v>
      </c>
      <c r="AO121" s="44"/>
      <c r="AP121" s="51"/>
    </row>
    <row r="122" spans="1:42" ht="21" customHeight="1" thickTop="1" thickBot="1" x14ac:dyDescent="0.35">
      <c r="A122" s="64"/>
      <c r="B122" s="67"/>
      <c r="C122" s="56"/>
      <c r="D122" s="57"/>
      <c r="E122" s="57"/>
      <c r="F122" s="57"/>
      <c r="G122" s="57"/>
      <c r="H122" s="57"/>
      <c r="I122" s="57"/>
      <c r="J122" s="58"/>
      <c r="K122" s="56"/>
      <c r="L122" s="57"/>
      <c r="M122" s="57"/>
      <c r="N122" s="57"/>
      <c r="O122" s="57"/>
      <c r="P122" s="57"/>
      <c r="Q122" s="57"/>
      <c r="R122" s="58"/>
      <c r="S122" s="56"/>
      <c r="T122" s="57"/>
      <c r="U122" s="57"/>
      <c r="V122" s="57"/>
      <c r="W122" s="57"/>
      <c r="X122" s="57"/>
      <c r="Y122" s="57"/>
      <c r="Z122" s="58"/>
      <c r="AA122" s="56"/>
      <c r="AB122" s="57"/>
      <c r="AC122" s="57"/>
      <c r="AD122" s="57"/>
      <c r="AE122" s="57"/>
      <c r="AF122" s="57"/>
      <c r="AG122" s="57"/>
      <c r="AH122" s="58"/>
      <c r="AI122" s="56"/>
      <c r="AJ122" s="57"/>
      <c r="AK122" s="57"/>
      <c r="AL122" s="57"/>
      <c r="AM122" s="57"/>
      <c r="AN122" s="57"/>
      <c r="AO122" s="57"/>
      <c r="AP122" s="58"/>
    </row>
    <row r="123" spans="1:42" ht="21" customHeight="1" thickTop="1" thickBot="1" x14ac:dyDescent="0.35">
      <c r="A123" s="62">
        <v>2</v>
      </c>
      <c r="B123" s="65" t="s">
        <v>74</v>
      </c>
      <c r="C123" s="59" t="s">
        <v>8</v>
      </c>
      <c r="D123" s="46" t="s">
        <v>9</v>
      </c>
      <c r="E123" s="46" t="s">
        <v>10</v>
      </c>
      <c r="F123" s="46" t="s">
        <v>11</v>
      </c>
      <c r="G123" s="46" t="s">
        <v>12</v>
      </c>
      <c r="H123" s="46" t="s">
        <v>13</v>
      </c>
      <c r="I123" s="46" t="s">
        <v>14</v>
      </c>
      <c r="J123" s="60" t="s">
        <v>15</v>
      </c>
      <c r="K123" s="59" t="s">
        <v>8</v>
      </c>
      <c r="L123" s="46" t="s">
        <v>9</v>
      </c>
      <c r="M123" s="46" t="s">
        <v>10</v>
      </c>
      <c r="N123" s="46" t="s">
        <v>11</v>
      </c>
      <c r="O123" s="46" t="s">
        <v>12</v>
      </c>
      <c r="P123" s="46" t="s">
        <v>13</v>
      </c>
      <c r="Q123" s="46" t="s">
        <v>14</v>
      </c>
      <c r="R123" s="60" t="s">
        <v>15</v>
      </c>
      <c r="S123" s="59" t="s">
        <v>8</v>
      </c>
      <c r="T123" s="46" t="s">
        <v>9</v>
      </c>
      <c r="U123" s="46" t="s">
        <v>10</v>
      </c>
      <c r="V123" s="46" t="s">
        <v>11</v>
      </c>
      <c r="W123" s="46" t="s">
        <v>12</v>
      </c>
      <c r="X123" s="46" t="s">
        <v>13</v>
      </c>
      <c r="Y123" s="46" t="s">
        <v>14</v>
      </c>
      <c r="Z123" s="60" t="s">
        <v>15</v>
      </c>
      <c r="AA123" s="59" t="s">
        <v>8</v>
      </c>
      <c r="AB123" s="46" t="s">
        <v>9</v>
      </c>
      <c r="AC123" s="46" t="s">
        <v>10</v>
      </c>
      <c r="AD123" s="46" t="s">
        <v>11</v>
      </c>
      <c r="AE123" s="46" t="s">
        <v>12</v>
      </c>
      <c r="AF123" s="46" t="s">
        <v>13</v>
      </c>
      <c r="AG123" s="46" t="s">
        <v>14</v>
      </c>
      <c r="AH123" s="60" t="s">
        <v>15</v>
      </c>
      <c r="AI123" s="59" t="s">
        <v>8</v>
      </c>
      <c r="AJ123" s="46" t="s">
        <v>9</v>
      </c>
      <c r="AK123" s="46" t="s">
        <v>10</v>
      </c>
      <c r="AL123" s="46" t="s">
        <v>11</v>
      </c>
      <c r="AM123" s="46" t="s">
        <v>12</v>
      </c>
      <c r="AN123" s="46" t="s">
        <v>13</v>
      </c>
      <c r="AO123" s="46" t="s">
        <v>14</v>
      </c>
      <c r="AP123" s="60" t="s">
        <v>15</v>
      </c>
    </row>
    <row r="124" spans="1:42" ht="21" customHeight="1" thickTop="1" thickBot="1" x14ac:dyDescent="0.35">
      <c r="A124" s="63"/>
      <c r="B124" s="66"/>
      <c r="C124" s="52">
        <v>1</v>
      </c>
      <c r="D124" s="44">
        <v>221.47</v>
      </c>
      <c r="E124" s="44"/>
      <c r="F124" s="44"/>
      <c r="G124" s="44"/>
      <c r="H124" s="44"/>
      <c r="I124" s="44"/>
      <c r="J124" s="51"/>
      <c r="K124" s="52">
        <v>1</v>
      </c>
      <c r="L124" s="44">
        <v>222.6</v>
      </c>
      <c r="M124" s="44"/>
      <c r="N124" s="44"/>
      <c r="O124" s="44"/>
      <c r="P124" s="44"/>
      <c r="Q124" s="44"/>
      <c r="R124" s="51"/>
      <c r="S124" s="52">
        <v>1</v>
      </c>
      <c r="T124" s="44">
        <v>224.55</v>
      </c>
      <c r="U124" s="44"/>
      <c r="V124" s="44"/>
      <c r="W124" s="44"/>
      <c r="X124" s="44"/>
      <c r="Y124" s="44"/>
      <c r="Z124" s="51"/>
      <c r="AA124" s="52">
        <v>1</v>
      </c>
      <c r="AB124" s="44">
        <v>223.61</v>
      </c>
      <c r="AC124" s="44"/>
      <c r="AD124" s="44"/>
      <c r="AE124" s="44"/>
      <c r="AF124" s="44"/>
      <c r="AG124" s="44"/>
      <c r="AH124" s="51"/>
      <c r="AI124" s="52">
        <v>1</v>
      </c>
      <c r="AJ124" s="44">
        <v>224.27</v>
      </c>
      <c r="AK124" s="44"/>
      <c r="AL124" s="44"/>
      <c r="AM124" s="44"/>
      <c r="AN124" s="44"/>
      <c r="AO124" s="44"/>
      <c r="AP124" s="51"/>
    </row>
    <row r="125" spans="1:42" ht="21" customHeight="1" thickTop="1" thickBot="1" x14ac:dyDescent="0.35">
      <c r="A125" s="63"/>
      <c r="B125" s="66"/>
      <c r="C125" s="53">
        <v>2</v>
      </c>
      <c r="D125" s="45">
        <v>220.46</v>
      </c>
      <c r="E125" s="45"/>
      <c r="F125" s="45"/>
      <c r="G125" s="45"/>
      <c r="H125" s="45"/>
      <c r="I125" s="45"/>
      <c r="J125" s="51"/>
      <c r="K125" s="53">
        <v>2</v>
      </c>
      <c r="L125" s="45">
        <v>223.61</v>
      </c>
      <c r="M125" s="45"/>
      <c r="N125" s="45"/>
      <c r="O125" s="45"/>
      <c r="P125" s="45"/>
      <c r="Q125" s="45"/>
      <c r="R125" s="51"/>
      <c r="S125" s="53">
        <v>2</v>
      </c>
      <c r="T125" s="45">
        <v>223.93</v>
      </c>
      <c r="U125" s="45"/>
      <c r="V125" s="45"/>
      <c r="W125" s="45"/>
      <c r="X125" s="45"/>
      <c r="Y125" s="45"/>
      <c r="Z125" s="51"/>
      <c r="AA125" s="53">
        <v>2</v>
      </c>
      <c r="AB125" s="45">
        <v>224.15</v>
      </c>
      <c r="AC125" s="45"/>
      <c r="AD125" s="45"/>
      <c r="AE125" s="45"/>
      <c r="AF125" s="45"/>
      <c r="AG125" s="45"/>
      <c r="AH125" s="51"/>
      <c r="AI125" s="53">
        <v>2</v>
      </c>
      <c r="AJ125" s="45">
        <v>223.44</v>
      </c>
      <c r="AK125" s="45"/>
      <c r="AL125" s="45"/>
      <c r="AM125" s="45"/>
      <c r="AN125" s="45"/>
      <c r="AO125" s="45"/>
      <c r="AP125" s="51"/>
    </row>
    <row r="126" spans="1:42" ht="21" customHeight="1" thickTop="1" thickBot="1" x14ac:dyDescent="0.35">
      <c r="A126" s="63"/>
      <c r="B126" s="66"/>
      <c r="C126" s="53">
        <v>3</v>
      </c>
      <c r="D126" s="45">
        <v>222.94</v>
      </c>
      <c r="E126" s="45"/>
      <c r="F126" s="45"/>
      <c r="G126" s="44"/>
      <c r="H126" s="44"/>
      <c r="I126" s="44"/>
      <c r="J126" s="51"/>
      <c r="K126" s="53">
        <v>3</v>
      </c>
      <c r="L126" s="45">
        <v>222.42</v>
      </c>
      <c r="M126" s="45"/>
      <c r="N126" s="45"/>
      <c r="O126" s="44"/>
      <c r="P126" s="44"/>
      <c r="Q126" s="44"/>
      <c r="R126" s="51"/>
      <c r="S126" s="53">
        <v>3</v>
      </c>
      <c r="T126" s="45">
        <v>224.2</v>
      </c>
      <c r="U126" s="45"/>
      <c r="V126" s="45"/>
      <c r="W126" s="44"/>
      <c r="X126" s="44"/>
      <c r="Y126" s="44"/>
      <c r="Z126" s="51"/>
      <c r="AA126" s="53">
        <v>3</v>
      </c>
      <c r="AB126" s="45">
        <v>223.04</v>
      </c>
      <c r="AC126" s="45"/>
      <c r="AD126" s="45"/>
      <c r="AE126" s="44"/>
      <c r="AF126" s="44"/>
      <c r="AG126" s="44"/>
      <c r="AH126" s="51"/>
      <c r="AI126" s="53">
        <v>3</v>
      </c>
      <c r="AJ126" s="45">
        <v>224.32</v>
      </c>
      <c r="AK126" s="45"/>
      <c r="AL126" s="45"/>
      <c r="AM126" s="44"/>
      <c r="AN126" s="44"/>
      <c r="AO126" s="44"/>
      <c r="AP126" s="51"/>
    </row>
    <row r="127" spans="1:42" ht="21" customHeight="1" thickTop="1" thickBot="1" x14ac:dyDescent="0.35">
      <c r="A127" s="63"/>
      <c r="B127" s="66"/>
      <c r="C127" s="53">
        <v>4</v>
      </c>
      <c r="D127" s="45">
        <v>220.46</v>
      </c>
      <c r="E127" s="45"/>
      <c r="F127" s="45"/>
      <c r="G127" s="45"/>
      <c r="H127" s="45"/>
      <c r="I127" s="45"/>
      <c r="J127" s="51"/>
      <c r="K127" s="53">
        <v>4</v>
      </c>
      <c r="L127" s="45">
        <v>223.26</v>
      </c>
      <c r="M127" s="45"/>
      <c r="N127" s="45"/>
      <c r="O127" s="45"/>
      <c r="P127" s="45"/>
      <c r="Q127" s="45"/>
      <c r="R127" s="51"/>
      <c r="S127" s="53">
        <v>4</v>
      </c>
      <c r="T127" s="45">
        <v>224.55</v>
      </c>
      <c r="U127" s="45"/>
      <c r="V127" s="45"/>
      <c r="W127" s="45"/>
      <c r="X127" s="45"/>
      <c r="Y127" s="45"/>
      <c r="Z127" s="51"/>
      <c r="AA127" s="53">
        <v>4</v>
      </c>
      <c r="AB127" s="45">
        <v>223.29</v>
      </c>
      <c r="AC127" s="45"/>
      <c r="AD127" s="45"/>
      <c r="AE127" s="45"/>
      <c r="AF127" s="45"/>
      <c r="AG127" s="45"/>
      <c r="AH127" s="51"/>
      <c r="AI127" s="53">
        <v>4</v>
      </c>
      <c r="AJ127" s="45">
        <v>224.35</v>
      </c>
      <c r="AK127" s="45"/>
      <c r="AL127" s="45"/>
      <c r="AM127" s="45"/>
      <c r="AN127" s="45"/>
      <c r="AO127" s="45"/>
      <c r="AP127" s="51"/>
    </row>
    <row r="128" spans="1:42" ht="21" customHeight="1" thickTop="1" thickBot="1" x14ac:dyDescent="0.35">
      <c r="A128" s="63"/>
      <c r="B128" s="66"/>
      <c r="C128" s="53">
        <v>5</v>
      </c>
      <c r="D128" s="45">
        <v>221.31</v>
      </c>
      <c r="E128" s="45"/>
      <c r="F128" s="45"/>
      <c r="G128" s="45"/>
      <c r="H128" s="45"/>
      <c r="I128" s="45"/>
      <c r="J128" s="51"/>
      <c r="K128" s="53">
        <v>5</v>
      </c>
      <c r="L128" s="45">
        <v>222.77</v>
      </c>
      <c r="M128" s="45"/>
      <c r="N128" s="45"/>
      <c r="O128" s="45"/>
      <c r="P128" s="45"/>
      <c r="Q128" s="45"/>
      <c r="R128" s="51"/>
      <c r="S128" s="53">
        <v>5</v>
      </c>
      <c r="T128" s="45">
        <v>226.5</v>
      </c>
      <c r="U128" s="45"/>
      <c r="V128" s="45"/>
      <c r="W128" s="45"/>
      <c r="X128" s="45"/>
      <c r="Y128" s="45"/>
      <c r="Z128" s="51"/>
      <c r="AA128" s="53">
        <v>5</v>
      </c>
      <c r="AB128" s="45">
        <v>221.81</v>
      </c>
      <c r="AC128" s="45"/>
      <c r="AD128" s="45"/>
      <c r="AE128" s="45"/>
      <c r="AF128" s="45"/>
      <c r="AG128" s="45"/>
      <c r="AH128" s="51"/>
      <c r="AI128" s="53">
        <v>5</v>
      </c>
      <c r="AJ128" s="45">
        <v>224.25</v>
      </c>
      <c r="AK128" s="45"/>
      <c r="AL128" s="45"/>
      <c r="AM128" s="45"/>
      <c r="AN128" s="45"/>
      <c r="AO128" s="45"/>
      <c r="AP128" s="51"/>
    </row>
    <row r="129" spans="1:42" ht="21" customHeight="1" thickTop="1" thickBot="1" x14ac:dyDescent="0.35">
      <c r="A129" s="63"/>
      <c r="B129" s="66"/>
      <c r="C129" s="53">
        <v>6</v>
      </c>
      <c r="D129" s="45">
        <v>220.54</v>
      </c>
      <c r="E129" s="45"/>
      <c r="F129" s="45"/>
      <c r="G129" s="45"/>
      <c r="H129" s="45"/>
      <c r="I129" s="45"/>
      <c r="J129" s="51"/>
      <c r="K129" s="53">
        <v>6</v>
      </c>
      <c r="L129" s="45">
        <v>222.67</v>
      </c>
      <c r="M129" s="45"/>
      <c r="N129" s="45"/>
      <c r="O129" s="45"/>
      <c r="P129" s="45"/>
      <c r="Q129" s="45"/>
      <c r="R129" s="51"/>
      <c r="S129" s="53">
        <v>6</v>
      </c>
      <c r="T129" s="45">
        <v>224.71</v>
      </c>
      <c r="U129" s="45"/>
      <c r="V129" s="45"/>
      <c r="W129" s="45"/>
      <c r="X129" s="45"/>
      <c r="Y129" s="45"/>
      <c r="Z129" s="51"/>
      <c r="AA129" s="53">
        <v>6</v>
      </c>
      <c r="AB129" s="45">
        <v>223.49</v>
      </c>
      <c r="AC129" s="45"/>
      <c r="AD129" s="45"/>
      <c r="AE129" s="45"/>
      <c r="AF129" s="45"/>
      <c r="AG129" s="45"/>
      <c r="AH129" s="51"/>
      <c r="AI129" s="53">
        <v>6</v>
      </c>
      <c r="AJ129" s="45">
        <v>222.53</v>
      </c>
      <c r="AK129" s="45"/>
      <c r="AL129" s="45"/>
      <c r="AM129" s="45"/>
      <c r="AN129" s="45"/>
      <c r="AO129" s="45"/>
      <c r="AP129" s="51"/>
    </row>
    <row r="130" spans="1:42" ht="21" customHeight="1" thickTop="1" thickBot="1" x14ac:dyDescent="0.35">
      <c r="A130" s="63"/>
      <c r="B130" s="66"/>
      <c r="C130" s="53">
        <v>7</v>
      </c>
      <c r="D130" s="45">
        <v>221.82</v>
      </c>
      <c r="E130" s="45"/>
      <c r="F130" s="45"/>
      <c r="G130" s="45"/>
      <c r="H130" s="45"/>
      <c r="I130" s="45"/>
      <c r="J130" s="51"/>
      <c r="K130" s="53">
        <v>7</v>
      </c>
      <c r="L130" s="45">
        <v>222.55</v>
      </c>
      <c r="M130" s="45"/>
      <c r="N130" s="45"/>
      <c r="O130" s="45"/>
      <c r="P130" s="45"/>
      <c r="Q130" s="45"/>
      <c r="R130" s="51"/>
      <c r="S130" s="53">
        <v>7</v>
      </c>
      <c r="T130" s="45">
        <v>223.61</v>
      </c>
      <c r="U130" s="45"/>
      <c r="V130" s="45"/>
      <c r="W130" s="45"/>
      <c r="X130" s="45"/>
      <c r="Y130" s="45"/>
      <c r="Z130" s="51"/>
      <c r="AA130" s="53">
        <v>7</v>
      </c>
      <c r="AB130" s="45">
        <v>224.11</v>
      </c>
      <c r="AC130" s="45"/>
      <c r="AD130" s="45"/>
      <c r="AE130" s="45"/>
      <c r="AF130" s="45"/>
      <c r="AG130" s="45"/>
      <c r="AH130" s="51"/>
      <c r="AI130" s="53">
        <v>7</v>
      </c>
      <c r="AJ130" s="45">
        <v>224.42</v>
      </c>
      <c r="AK130" s="45"/>
      <c r="AL130" s="45"/>
      <c r="AM130" s="45"/>
      <c r="AN130" s="45"/>
      <c r="AO130" s="45"/>
      <c r="AP130" s="51"/>
    </row>
    <row r="131" spans="1:42" ht="21" customHeight="1" thickTop="1" thickBot="1" x14ac:dyDescent="0.35">
      <c r="A131" s="63"/>
      <c r="B131" s="66"/>
      <c r="C131" s="53">
        <v>8</v>
      </c>
      <c r="D131" s="45">
        <v>220.84</v>
      </c>
      <c r="E131" s="45"/>
      <c r="F131" s="45"/>
      <c r="G131" s="45"/>
      <c r="H131" s="45"/>
      <c r="I131" s="45"/>
      <c r="J131" s="51"/>
      <c r="K131" s="53">
        <v>8</v>
      </c>
      <c r="L131" s="45">
        <v>223.61</v>
      </c>
      <c r="M131" s="45"/>
      <c r="N131" s="45"/>
      <c r="O131" s="45"/>
      <c r="P131" s="45"/>
      <c r="Q131" s="45"/>
      <c r="R131" s="51"/>
      <c r="S131" s="53">
        <v>8</v>
      </c>
      <c r="T131" s="45">
        <v>223.61</v>
      </c>
      <c r="U131" s="45"/>
      <c r="V131" s="45"/>
      <c r="W131" s="45"/>
      <c r="X131" s="45"/>
      <c r="Y131" s="45"/>
      <c r="Z131" s="51"/>
      <c r="AA131" s="53">
        <v>8</v>
      </c>
      <c r="AB131" s="45">
        <v>223.99</v>
      </c>
      <c r="AC131" s="45"/>
      <c r="AD131" s="45"/>
      <c r="AE131" s="45"/>
      <c r="AF131" s="45"/>
      <c r="AG131" s="45"/>
      <c r="AH131" s="51"/>
      <c r="AI131" s="53">
        <v>8</v>
      </c>
      <c r="AJ131" s="45">
        <v>224.62</v>
      </c>
      <c r="AK131" s="45"/>
      <c r="AL131" s="45"/>
      <c r="AM131" s="45"/>
      <c r="AN131" s="45"/>
      <c r="AO131" s="45"/>
      <c r="AP131" s="51"/>
    </row>
    <row r="132" spans="1:42" ht="21" customHeight="1" thickTop="1" thickBot="1" x14ac:dyDescent="0.35">
      <c r="A132" s="63"/>
      <c r="B132" s="66"/>
      <c r="C132" s="53">
        <v>9</v>
      </c>
      <c r="D132" s="45">
        <v>221.3</v>
      </c>
      <c r="E132" s="45"/>
      <c r="F132" s="45"/>
      <c r="G132" s="45"/>
      <c r="H132" s="45"/>
      <c r="I132" s="45"/>
      <c r="J132" s="51"/>
      <c r="K132" s="53">
        <v>9</v>
      </c>
      <c r="L132" s="45">
        <v>221.4</v>
      </c>
      <c r="M132" s="45"/>
      <c r="N132" s="45"/>
      <c r="O132" s="45"/>
      <c r="P132" s="45"/>
      <c r="Q132" s="45"/>
      <c r="R132" s="51"/>
      <c r="S132" s="53">
        <v>9</v>
      </c>
      <c r="T132" s="45">
        <v>223.61</v>
      </c>
      <c r="U132" s="45"/>
      <c r="V132" s="45"/>
      <c r="W132" s="45"/>
      <c r="X132" s="45"/>
      <c r="Y132" s="45"/>
      <c r="Z132" s="51"/>
      <c r="AA132" s="53">
        <v>9</v>
      </c>
      <c r="AB132" s="45">
        <v>221.75</v>
      </c>
      <c r="AC132" s="45"/>
      <c r="AD132" s="45"/>
      <c r="AE132" s="45"/>
      <c r="AF132" s="45"/>
      <c r="AG132" s="45"/>
      <c r="AH132" s="51"/>
      <c r="AI132" s="53">
        <v>9</v>
      </c>
      <c r="AJ132" s="45">
        <v>224.24</v>
      </c>
      <c r="AK132" s="45"/>
      <c r="AL132" s="45"/>
      <c r="AM132" s="45"/>
      <c r="AN132" s="45"/>
      <c r="AO132" s="45"/>
      <c r="AP132" s="51"/>
    </row>
    <row r="133" spans="1:42" ht="21" customHeight="1" thickTop="1" thickBot="1" x14ac:dyDescent="0.35">
      <c r="A133" s="63"/>
      <c r="B133" s="66"/>
      <c r="C133" s="53">
        <v>10</v>
      </c>
      <c r="D133" s="45">
        <v>222.93</v>
      </c>
      <c r="E133" s="45"/>
      <c r="F133" s="45"/>
      <c r="G133" s="45"/>
      <c r="H133" s="45"/>
      <c r="I133" s="45"/>
      <c r="J133" s="51"/>
      <c r="K133" s="53">
        <v>10</v>
      </c>
      <c r="L133" s="45">
        <v>221.34</v>
      </c>
      <c r="M133" s="45"/>
      <c r="N133" s="45"/>
      <c r="O133" s="45"/>
      <c r="P133" s="45"/>
      <c r="Q133" s="45"/>
      <c r="R133" s="51"/>
      <c r="S133" s="53">
        <v>10</v>
      </c>
      <c r="T133" s="45">
        <v>226.49</v>
      </c>
      <c r="U133" s="45"/>
      <c r="V133" s="45"/>
      <c r="W133" s="45"/>
      <c r="X133" s="45"/>
      <c r="Y133" s="45"/>
      <c r="Z133" s="51"/>
      <c r="AA133" s="53">
        <v>10</v>
      </c>
      <c r="AB133" s="45">
        <v>224.51</v>
      </c>
      <c r="AC133" s="45"/>
      <c r="AD133" s="45"/>
      <c r="AE133" s="45"/>
      <c r="AF133" s="45"/>
      <c r="AG133" s="45"/>
      <c r="AH133" s="51"/>
      <c r="AI133" s="53">
        <v>10</v>
      </c>
      <c r="AJ133" s="45">
        <v>223.61</v>
      </c>
      <c r="AK133" s="45"/>
      <c r="AL133" s="45"/>
      <c r="AM133" s="45"/>
      <c r="AN133" s="45"/>
      <c r="AO133" s="45"/>
      <c r="AP133" s="51"/>
    </row>
    <row r="134" spans="1:42" ht="21" customHeight="1" thickTop="1" thickBot="1" x14ac:dyDescent="0.35">
      <c r="A134" s="63"/>
      <c r="B134" s="66"/>
      <c r="C134" s="53"/>
      <c r="D134" s="45"/>
      <c r="E134" s="45"/>
      <c r="F134" s="45"/>
      <c r="G134" s="45"/>
      <c r="H134" s="45"/>
      <c r="I134" s="45"/>
      <c r="J134" s="51"/>
      <c r="K134" s="53"/>
      <c r="L134" s="45"/>
      <c r="M134" s="45"/>
      <c r="N134" s="45"/>
      <c r="O134" s="45"/>
      <c r="P134" s="45"/>
      <c r="Q134" s="45"/>
      <c r="R134" s="51"/>
      <c r="S134" s="53"/>
      <c r="T134" s="45"/>
      <c r="U134" s="45"/>
      <c r="V134" s="45"/>
      <c r="W134" s="45"/>
      <c r="X134" s="45"/>
      <c r="Y134" s="45"/>
      <c r="Z134" s="51"/>
      <c r="AA134" s="53"/>
      <c r="AB134" s="45"/>
      <c r="AC134" s="45"/>
      <c r="AD134" s="45"/>
      <c r="AE134" s="45"/>
      <c r="AF134" s="45"/>
      <c r="AG134" s="45"/>
      <c r="AH134" s="51"/>
      <c r="AI134" s="53"/>
      <c r="AJ134" s="45"/>
      <c r="AK134" s="45"/>
      <c r="AL134" s="45"/>
      <c r="AM134" s="45"/>
      <c r="AN134" s="45"/>
      <c r="AO134" s="45"/>
      <c r="AP134" s="51"/>
    </row>
    <row r="135" spans="1:42" ht="21" customHeight="1" thickTop="1" thickBot="1" x14ac:dyDescent="0.35">
      <c r="A135" s="63"/>
      <c r="B135" s="66"/>
      <c r="C135" s="54" t="s">
        <v>16</v>
      </c>
      <c r="D135" s="49">
        <f>MIN(D124:D133)</f>
        <v>220.46</v>
      </c>
      <c r="E135" s="45"/>
      <c r="F135" s="55" t="s">
        <v>17</v>
      </c>
      <c r="G135" s="49" t="s">
        <v>18</v>
      </c>
      <c r="H135" s="49" t="s">
        <v>19</v>
      </c>
      <c r="I135" s="45"/>
      <c r="J135" s="51"/>
      <c r="K135" s="54" t="s">
        <v>16</v>
      </c>
      <c r="L135" s="49">
        <f>MIN(L124:L133)</f>
        <v>221.34</v>
      </c>
      <c r="M135" s="45"/>
      <c r="N135" s="55" t="s">
        <v>17</v>
      </c>
      <c r="O135" s="49" t="s">
        <v>18</v>
      </c>
      <c r="P135" s="49" t="s">
        <v>19</v>
      </c>
      <c r="Q135" s="45"/>
      <c r="R135" s="51"/>
      <c r="S135" s="54" t="s">
        <v>16</v>
      </c>
      <c r="T135" s="49">
        <f>MIN(T124:T133)</f>
        <v>223.61</v>
      </c>
      <c r="U135" s="45"/>
      <c r="V135" s="55" t="s">
        <v>17</v>
      </c>
      <c r="W135" s="49" t="s">
        <v>18</v>
      </c>
      <c r="X135" s="49" t="s">
        <v>19</v>
      </c>
      <c r="Y135" s="45"/>
      <c r="Z135" s="51"/>
      <c r="AA135" s="54" t="s">
        <v>16</v>
      </c>
      <c r="AB135" s="49">
        <f>MIN(AB124:AB133)</f>
        <v>221.75</v>
      </c>
      <c r="AC135" s="45"/>
      <c r="AD135" s="55" t="s">
        <v>17</v>
      </c>
      <c r="AE135" s="49" t="s">
        <v>18</v>
      </c>
      <c r="AF135" s="49" t="s">
        <v>19</v>
      </c>
      <c r="AG135" s="45"/>
      <c r="AH135" s="51"/>
      <c r="AI135" s="54" t="s">
        <v>16</v>
      </c>
      <c r="AJ135" s="49">
        <f>MIN(AJ124:AJ133)</f>
        <v>222.53</v>
      </c>
      <c r="AK135" s="45"/>
      <c r="AL135" s="55" t="s">
        <v>17</v>
      </c>
      <c r="AM135" s="49" t="s">
        <v>18</v>
      </c>
      <c r="AN135" s="49" t="s">
        <v>19</v>
      </c>
      <c r="AO135" s="45"/>
      <c r="AP135" s="51"/>
    </row>
    <row r="136" spans="1:42" ht="21" customHeight="1" thickTop="1" thickBot="1" x14ac:dyDescent="0.35">
      <c r="A136" s="63"/>
      <c r="B136" s="66"/>
      <c r="C136" s="54" t="s">
        <v>20</v>
      </c>
      <c r="D136" s="48">
        <f>AVERAGE(D124:D133)</f>
        <v>221.40699999999998</v>
      </c>
      <c r="E136" s="47"/>
      <c r="F136" s="48">
        <f>_xlfn.STDEV.S(D124:D133) / AVERAGE(D124:D133) * 100%</f>
        <v>4.1862772205558899E-3</v>
      </c>
      <c r="G136" s="48">
        <f t="array" ref="G136">MIN((D124:D133 - MIN(D124:D133,L124:L133,T124:T133,AB124:AB133,AJ124:AJ133))/MIN(D124:D133,L124:L133,T124:T133,AB124:AB133,AJ124:AJ133)*100%)</f>
        <v>0</v>
      </c>
      <c r="H136" s="48">
        <f t="array" ref="H136">AVERAGE((D124:D133 - MIN(D124:D133,L124:L133,T124:T133,AB124:AB133,AJ124:AJ133))/MIN(D124:D133,L124:L133,T124:T133,AB124:AB133,AJ124:AJ133)*100%)</f>
        <v>4.2955638211013064E-3</v>
      </c>
      <c r="I136" s="45"/>
      <c r="J136" s="51"/>
      <c r="K136" s="54" t="s">
        <v>20</v>
      </c>
      <c r="L136" s="48">
        <f>AVERAGE(L124:L133)</f>
        <v>222.62300000000005</v>
      </c>
      <c r="M136" s="47"/>
      <c r="N136" s="48">
        <f>_xlfn.STDEV.S(L124:L133) / AVERAGE(L124:L133) * 100%</f>
        <v>3.5327419363091598E-3</v>
      </c>
      <c r="O136" s="48">
        <f t="array" ref="O136">MIN((L124:L133 - MIN(D124:D133,L124:L133,T124:T133,AB124:AB133,AJ124:AJ133))/MIN(D124:D133,L124:L133,T124:T133,AB124:AB133,AJ124:AJ133)*100%)</f>
        <v>3.9916538147509546E-3</v>
      </c>
      <c r="P136" s="48">
        <f t="array" ref="P136">AVERAGE((L124:L133 - MIN(D124:D133,L124:L133,T124:T133,AB124:AB133,AJ124:AJ133))/MIN(D124:D133,L124:L133,T124:T133,AB124:AB133,AJ124:AJ133)*100%)</f>
        <v>9.8113036378481063E-3</v>
      </c>
      <c r="Q136" s="44"/>
      <c r="R136" s="51"/>
      <c r="S136" s="54" t="s">
        <v>20</v>
      </c>
      <c r="T136" s="48">
        <f>AVERAGE(T124:T133)</f>
        <v>224.57600000000002</v>
      </c>
      <c r="U136" s="47"/>
      <c r="V136" s="48">
        <f>_xlfn.STDEV.S(T124:T133) / AVERAGE(T124:T133) * 100%</f>
        <v>4.8648663562984428E-3</v>
      </c>
      <c r="W136" s="48">
        <f t="array" ref="W136">MIN((T124:T133 - MIN(D124:D133,L124:L133,T124:T133,AB124:AB133,AJ124:AJ133))/MIN(D124:D133,L124:L133,T124:T133,AB124:AB133,AJ124:AJ133)*100%)</f>
        <v>1.4288306268710903E-2</v>
      </c>
      <c r="X136" s="48">
        <f t="array" ref="X136">AVERAGE((T124:T133 - MIN(D124:D133,L124:L133,T124:T133,AB124:AB133,AJ124:AJ133))/MIN(D124:D133,L124:L133,T124:T133,AB124:AB133,AJ124:AJ133)*100%)</f>
        <v>1.8670053524448883E-2</v>
      </c>
      <c r="Y136" s="44"/>
      <c r="Z136" s="51"/>
      <c r="AA136" s="54" t="s">
        <v>20</v>
      </c>
      <c r="AB136" s="48">
        <f>AVERAGE(AB124:AB133)</f>
        <v>223.375</v>
      </c>
      <c r="AC136" s="47"/>
      <c r="AD136" s="48">
        <f>_xlfn.STDEV.S(AB124:AB133) / AVERAGE(AB124:AB133) * 100%</f>
        <v>4.2431221546104878E-3</v>
      </c>
      <c r="AE136" s="48">
        <f t="array" ref="AE136">MIN((AB124:AB133 - MIN(D124:D133,L124:L133,T124:T133,AB124:AB133,AJ124:AJ133))/MIN(D124:D133,L124:L133,T124:T133,AB124:AB133,AJ124:AJ133)*100%)</f>
        <v>5.8514016148053707E-3</v>
      </c>
      <c r="AF136" s="48">
        <f t="array" ref="AF136">AVERAGE((AB124:AB133 - MIN(D124:D133,L124:L133,T124:T133,AB124:AB133,AJ124:AJ133))/MIN(D124:D133,L124:L133,T124:T133,AB124:AB133,AJ124:AJ133)*100%)</f>
        <v>1.322235326136258E-2</v>
      </c>
      <c r="AG136" s="44"/>
      <c r="AH136" s="51"/>
      <c r="AI136" s="54" t="s">
        <v>20</v>
      </c>
      <c r="AJ136" s="48">
        <f>AVERAGE(AJ124:AJ133)</f>
        <v>224.00500000000002</v>
      </c>
      <c r="AK136" s="47"/>
      <c r="AL136" s="48">
        <f>_xlfn.STDEV.S(AJ124:AJ133) / AVERAGE(AJ124:AJ133) * 100%</f>
        <v>2.825378781091824E-3</v>
      </c>
      <c r="AM136" s="48">
        <f t="array" ref="AM136">MIN((AJ124:AJ133 - MIN(D124:D133,L124:L133,T124:T133,AB124:AB133,AJ124:AJ133))/MIN(D124:D133,L124:L133,T124:T133,AB124:AB133,AJ124:AJ133)*100%)</f>
        <v>9.3894584051528313E-3</v>
      </c>
      <c r="AN136" s="48">
        <f t="array" ref="AN136">AVERAGE((AJ124:AJ133 - MIN(D124:D133,L124:L133,T124:T133,AB124:AB133,AJ124:AJ133))/MIN(D124:D133,L124:L133,T124:T133,AB124:AB133,AJ124:AJ133)*100%)</f>
        <v>1.6080014515104751E-2</v>
      </c>
      <c r="AO136" s="44"/>
      <c r="AP136" s="51"/>
    </row>
    <row r="137" spans="1:42" ht="21" customHeight="1" thickTop="1" thickBot="1" x14ac:dyDescent="0.35">
      <c r="A137" s="63"/>
      <c r="B137" s="67"/>
      <c r="C137" s="53"/>
      <c r="D137" s="44"/>
      <c r="E137" s="44"/>
      <c r="F137" s="44"/>
      <c r="G137" s="44"/>
      <c r="H137" s="44"/>
      <c r="I137" s="44"/>
      <c r="J137" s="51"/>
      <c r="K137" s="53"/>
      <c r="L137" s="44"/>
      <c r="M137" s="44"/>
      <c r="N137" s="44"/>
      <c r="O137" s="44"/>
      <c r="P137" s="44"/>
      <c r="Q137" s="44"/>
      <c r="R137" s="51"/>
      <c r="S137" s="53"/>
      <c r="T137" s="44"/>
      <c r="U137" s="44"/>
      <c r="V137" s="44"/>
      <c r="W137" s="44"/>
      <c r="X137" s="44"/>
      <c r="Y137" s="44"/>
      <c r="Z137" s="51"/>
      <c r="AA137" s="53"/>
      <c r="AB137" s="44"/>
      <c r="AC137" s="44"/>
      <c r="AD137" s="44"/>
      <c r="AE137" s="44"/>
      <c r="AF137" s="44"/>
      <c r="AG137" s="44"/>
      <c r="AH137" s="51"/>
      <c r="AI137" s="53"/>
      <c r="AJ137" s="44"/>
      <c r="AK137" s="44"/>
      <c r="AL137" s="44"/>
      <c r="AM137" s="44"/>
      <c r="AN137" s="44"/>
      <c r="AO137" s="44"/>
      <c r="AP137" s="51"/>
    </row>
    <row r="138" spans="1:42" ht="21" customHeight="1" thickTop="1" thickBot="1" x14ac:dyDescent="0.35">
      <c r="A138" s="63"/>
      <c r="B138" s="65" t="s">
        <v>75</v>
      </c>
      <c r="C138" s="59" t="s">
        <v>8</v>
      </c>
      <c r="D138" s="46" t="s">
        <v>9</v>
      </c>
      <c r="E138" s="46" t="s">
        <v>10</v>
      </c>
      <c r="F138" s="46" t="s">
        <v>11</v>
      </c>
      <c r="G138" s="46" t="s">
        <v>12</v>
      </c>
      <c r="H138" s="46" t="s">
        <v>13</v>
      </c>
      <c r="I138" s="46" t="s">
        <v>14</v>
      </c>
      <c r="J138" s="60" t="s">
        <v>15</v>
      </c>
      <c r="K138" s="59" t="s">
        <v>8</v>
      </c>
      <c r="L138" s="46" t="s">
        <v>9</v>
      </c>
      <c r="M138" s="46" t="s">
        <v>10</v>
      </c>
      <c r="N138" s="46" t="s">
        <v>11</v>
      </c>
      <c r="O138" s="46" t="s">
        <v>12</v>
      </c>
      <c r="P138" s="46" t="s">
        <v>13</v>
      </c>
      <c r="Q138" s="46" t="s">
        <v>14</v>
      </c>
      <c r="R138" s="60" t="s">
        <v>15</v>
      </c>
      <c r="S138" s="59" t="s">
        <v>8</v>
      </c>
      <c r="T138" s="46" t="s">
        <v>9</v>
      </c>
      <c r="U138" s="46" t="s">
        <v>10</v>
      </c>
      <c r="V138" s="46" t="s">
        <v>11</v>
      </c>
      <c r="W138" s="46" t="s">
        <v>12</v>
      </c>
      <c r="X138" s="46" t="s">
        <v>13</v>
      </c>
      <c r="Y138" s="46" t="s">
        <v>14</v>
      </c>
      <c r="Z138" s="60" t="s">
        <v>15</v>
      </c>
      <c r="AA138" s="59" t="s">
        <v>8</v>
      </c>
      <c r="AB138" s="46" t="s">
        <v>9</v>
      </c>
      <c r="AC138" s="46" t="s">
        <v>10</v>
      </c>
      <c r="AD138" s="46" t="s">
        <v>11</v>
      </c>
      <c r="AE138" s="46" t="s">
        <v>12</v>
      </c>
      <c r="AF138" s="46" t="s">
        <v>13</v>
      </c>
      <c r="AG138" s="46" t="s">
        <v>14</v>
      </c>
      <c r="AH138" s="60" t="s">
        <v>15</v>
      </c>
      <c r="AI138" s="59" t="s">
        <v>8</v>
      </c>
      <c r="AJ138" s="46" t="s">
        <v>9</v>
      </c>
      <c r="AK138" s="46" t="s">
        <v>10</v>
      </c>
      <c r="AL138" s="46" t="s">
        <v>11</v>
      </c>
      <c r="AM138" s="46" t="s">
        <v>12</v>
      </c>
      <c r="AN138" s="46" t="s">
        <v>13</v>
      </c>
      <c r="AO138" s="46" t="s">
        <v>14</v>
      </c>
      <c r="AP138" s="60" t="s">
        <v>15</v>
      </c>
    </row>
    <row r="139" spans="1:42" ht="21" customHeight="1" thickTop="1" thickBot="1" x14ac:dyDescent="0.35">
      <c r="A139" s="63"/>
      <c r="B139" s="66"/>
      <c r="C139" s="52">
        <v>1</v>
      </c>
      <c r="D139" s="44">
        <v>240.95</v>
      </c>
      <c r="E139" s="44"/>
      <c r="F139" s="44"/>
      <c r="G139" s="44"/>
      <c r="H139" s="44"/>
      <c r="I139" s="44"/>
      <c r="J139" s="51"/>
      <c r="K139" s="52">
        <v>1</v>
      </c>
      <c r="L139" s="44">
        <v>241.86</v>
      </c>
      <c r="M139" s="44"/>
      <c r="N139" s="44"/>
      <c r="O139" s="44"/>
      <c r="P139" s="44"/>
      <c r="Q139" s="44"/>
      <c r="R139" s="51"/>
      <c r="S139" s="52">
        <v>1</v>
      </c>
      <c r="T139" s="44">
        <v>248.18</v>
      </c>
      <c r="U139" s="44"/>
      <c r="V139" s="44"/>
      <c r="W139" s="44"/>
      <c r="X139" s="44"/>
      <c r="Y139" s="44"/>
      <c r="Z139" s="51"/>
      <c r="AA139" s="52">
        <v>1</v>
      </c>
      <c r="AB139" s="44">
        <v>242.85</v>
      </c>
      <c r="AC139" s="44"/>
      <c r="AD139" s="44"/>
      <c r="AE139" s="44"/>
      <c r="AF139" s="44"/>
      <c r="AG139" s="44"/>
      <c r="AH139" s="51"/>
      <c r="AI139" s="52">
        <v>1</v>
      </c>
      <c r="AJ139" s="44">
        <v>245.74</v>
      </c>
      <c r="AK139" s="44"/>
      <c r="AL139" s="44"/>
      <c r="AM139" s="44"/>
      <c r="AN139" s="44"/>
      <c r="AO139" s="44"/>
      <c r="AP139" s="51"/>
    </row>
    <row r="140" spans="1:42" ht="21" customHeight="1" thickTop="1" thickBot="1" x14ac:dyDescent="0.35">
      <c r="A140" s="63"/>
      <c r="B140" s="66"/>
      <c r="C140" s="53">
        <v>2</v>
      </c>
      <c r="D140" s="45">
        <v>240.95</v>
      </c>
      <c r="E140" s="45"/>
      <c r="F140" s="45"/>
      <c r="G140" s="45"/>
      <c r="H140" s="45"/>
      <c r="I140" s="45"/>
      <c r="J140" s="51"/>
      <c r="K140" s="53">
        <v>2</v>
      </c>
      <c r="L140" s="45">
        <v>243.16</v>
      </c>
      <c r="M140" s="45"/>
      <c r="N140" s="45"/>
      <c r="O140" s="45"/>
      <c r="P140" s="45"/>
      <c r="Q140" s="45"/>
      <c r="R140" s="51"/>
      <c r="S140" s="53">
        <v>2</v>
      </c>
      <c r="T140" s="45">
        <v>245.74</v>
      </c>
      <c r="U140" s="45"/>
      <c r="V140" s="45"/>
      <c r="W140" s="45"/>
      <c r="X140" s="45"/>
      <c r="Y140" s="45"/>
      <c r="Z140" s="51"/>
      <c r="AA140" s="53">
        <v>2</v>
      </c>
      <c r="AB140" s="45">
        <v>244.78</v>
      </c>
      <c r="AC140" s="45"/>
      <c r="AD140" s="45"/>
      <c r="AE140" s="45"/>
      <c r="AF140" s="45"/>
      <c r="AG140" s="45"/>
      <c r="AH140" s="51"/>
      <c r="AI140" s="53">
        <v>2</v>
      </c>
      <c r="AJ140" s="45">
        <v>246.1</v>
      </c>
      <c r="AK140" s="45"/>
      <c r="AL140" s="45"/>
      <c r="AM140" s="45"/>
      <c r="AN140" s="45"/>
      <c r="AO140" s="45"/>
      <c r="AP140" s="51"/>
    </row>
    <row r="141" spans="1:42" ht="21" customHeight="1" thickTop="1" thickBot="1" x14ac:dyDescent="0.35">
      <c r="A141" s="63"/>
      <c r="B141" s="66"/>
      <c r="C141" s="53">
        <v>3</v>
      </c>
      <c r="D141" s="45">
        <v>243.32</v>
      </c>
      <c r="E141" s="45"/>
      <c r="F141" s="45"/>
      <c r="G141" s="44"/>
      <c r="H141" s="44"/>
      <c r="I141" s="44"/>
      <c r="J141" s="51"/>
      <c r="K141" s="53">
        <v>3</v>
      </c>
      <c r="L141" s="45">
        <v>243.35</v>
      </c>
      <c r="M141" s="45"/>
      <c r="N141" s="45"/>
      <c r="O141" s="44"/>
      <c r="P141" s="44"/>
      <c r="Q141" s="44"/>
      <c r="R141" s="51"/>
      <c r="S141" s="53">
        <v>3</v>
      </c>
      <c r="T141" s="45">
        <v>246.18</v>
      </c>
      <c r="U141" s="45"/>
      <c r="V141" s="45"/>
      <c r="W141" s="44"/>
      <c r="X141" s="44"/>
      <c r="Y141" s="44"/>
      <c r="Z141" s="51"/>
      <c r="AA141" s="53">
        <v>3</v>
      </c>
      <c r="AB141" s="45">
        <v>245.19</v>
      </c>
      <c r="AC141" s="45"/>
      <c r="AD141" s="45"/>
      <c r="AE141" s="44"/>
      <c r="AF141" s="44"/>
      <c r="AG141" s="44"/>
      <c r="AH141" s="51"/>
      <c r="AI141" s="53">
        <v>3</v>
      </c>
      <c r="AJ141" s="45">
        <v>245.68</v>
      </c>
      <c r="AK141" s="45"/>
      <c r="AL141" s="45"/>
      <c r="AM141" s="44"/>
      <c r="AN141" s="44"/>
      <c r="AO141" s="44"/>
      <c r="AP141" s="51"/>
    </row>
    <row r="142" spans="1:42" ht="21" customHeight="1" thickTop="1" thickBot="1" x14ac:dyDescent="0.35">
      <c r="A142" s="63"/>
      <c r="B142" s="66"/>
      <c r="C142" s="53">
        <v>4</v>
      </c>
      <c r="D142" s="45">
        <v>243.13</v>
      </c>
      <c r="E142" s="45"/>
      <c r="F142" s="45"/>
      <c r="G142" s="45"/>
      <c r="H142" s="45"/>
      <c r="I142" s="45"/>
      <c r="J142" s="51"/>
      <c r="K142" s="53">
        <v>4</v>
      </c>
      <c r="L142" s="45">
        <v>243.17</v>
      </c>
      <c r="M142" s="45"/>
      <c r="N142" s="45"/>
      <c r="O142" s="45"/>
      <c r="P142" s="45"/>
      <c r="Q142" s="45"/>
      <c r="R142" s="51"/>
      <c r="S142" s="53">
        <v>4</v>
      </c>
      <c r="T142" s="45">
        <v>247.4</v>
      </c>
      <c r="U142" s="45"/>
      <c r="V142" s="45"/>
      <c r="W142" s="45"/>
      <c r="X142" s="45"/>
      <c r="Y142" s="45"/>
      <c r="Z142" s="51"/>
      <c r="AA142" s="53">
        <v>4</v>
      </c>
      <c r="AB142" s="45">
        <v>245.18</v>
      </c>
      <c r="AC142" s="45"/>
      <c r="AD142" s="45"/>
      <c r="AE142" s="45"/>
      <c r="AF142" s="45"/>
      <c r="AG142" s="45"/>
      <c r="AH142" s="51"/>
      <c r="AI142" s="53">
        <v>4</v>
      </c>
      <c r="AJ142" s="45">
        <v>247.08</v>
      </c>
      <c r="AK142" s="45"/>
      <c r="AL142" s="45"/>
      <c r="AM142" s="45"/>
      <c r="AN142" s="45"/>
      <c r="AO142" s="45"/>
      <c r="AP142" s="51"/>
    </row>
    <row r="143" spans="1:42" ht="21" customHeight="1" thickTop="1" thickBot="1" x14ac:dyDescent="0.35">
      <c r="A143" s="63"/>
      <c r="B143" s="66"/>
      <c r="C143" s="53">
        <v>5</v>
      </c>
      <c r="D143" s="45">
        <v>242.69</v>
      </c>
      <c r="E143" s="45"/>
      <c r="F143" s="45"/>
      <c r="G143" s="45"/>
      <c r="H143" s="45"/>
      <c r="I143" s="45"/>
      <c r="J143" s="51"/>
      <c r="K143" s="53">
        <v>5</v>
      </c>
      <c r="L143" s="45">
        <v>243.09</v>
      </c>
      <c r="M143" s="45"/>
      <c r="N143" s="45"/>
      <c r="O143" s="45"/>
      <c r="P143" s="45"/>
      <c r="Q143" s="45"/>
      <c r="R143" s="51"/>
      <c r="S143" s="53">
        <v>5</v>
      </c>
      <c r="T143" s="45">
        <v>247.05</v>
      </c>
      <c r="U143" s="45"/>
      <c r="V143" s="45"/>
      <c r="W143" s="45"/>
      <c r="X143" s="45"/>
      <c r="Y143" s="45"/>
      <c r="Z143" s="51"/>
      <c r="AA143" s="53">
        <v>5</v>
      </c>
      <c r="AB143" s="45">
        <v>244.08</v>
      </c>
      <c r="AC143" s="45"/>
      <c r="AD143" s="45"/>
      <c r="AE143" s="45"/>
      <c r="AF143" s="45"/>
      <c r="AG143" s="45"/>
      <c r="AH143" s="51"/>
      <c r="AI143" s="53">
        <v>5</v>
      </c>
      <c r="AJ143" s="45">
        <v>246.55</v>
      </c>
      <c r="AK143" s="45"/>
      <c r="AL143" s="45"/>
      <c r="AM143" s="45"/>
      <c r="AN143" s="45"/>
      <c r="AO143" s="45"/>
      <c r="AP143" s="51"/>
    </row>
    <row r="144" spans="1:42" ht="21" customHeight="1" thickTop="1" thickBot="1" x14ac:dyDescent="0.35">
      <c r="A144" s="63"/>
      <c r="B144" s="66"/>
      <c r="C144" s="53">
        <v>6</v>
      </c>
      <c r="D144" s="45">
        <v>243.16</v>
      </c>
      <c r="E144" s="45"/>
      <c r="F144" s="45"/>
      <c r="G144" s="45"/>
      <c r="H144" s="45"/>
      <c r="I144" s="45"/>
      <c r="J144" s="51"/>
      <c r="K144" s="53">
        <v>6</v>
      </c>
      <c r="L144" s="45">
        <v>243.37</v>
      </c>
      <c r="M144" s="45"/>
      <c r="N144" s="45"/>
      <c r="O144" s="45"/>
      <c r="P144" s="45"/>
      <c r="Q144" s="45"/>
      <c r="R144" s="51"/>
      <c r="S144" s="53">
        <v>6</v>
      </c>
      <c r="T144" s="45">
        <v>245.93</v>
      </c>
      <c r="U144" s="45"/>
      <c r="V144" s="45"/>
      <c r="W144" s="45"/>
      <c r="X144" s="45"/>
      <c r="Y144" s="45"/>
      <c r="Z144" s="51"/>
      <c r="AA144" s="53">
        <v>6</v>
      </c>
      <c r="AB144" s="45">
        <v>245.93</v>
      </c>
      <c r="AC144" s="45"/>
      <c r="AD144" s="45"/>
      <c r="AE144" s="45"/>
      <c r="AF144" s="45"/>
      <c r="AG144" s="45"/>
      <c r="AH144" s="51"/>
      <c r="AI144" s="53">
        <v>6</v>
      </c>
      <c r="AJ144" s="45">
        <v>245.74</v>
      </c>
      <c r="AK144" s="45"/>
      <c r="AL144" s="45"/>
      <c r="AM144" s="45"/>
      <c r="AN144" s="45"/>
      <c r="AO144" s="45"/>
      <c r="AP144" s="51"/>
    </row>
    <row r="145" spans="1:42" ht="21" customHeight="1" thickTop="1" thickBot="1" x14ac:dyDescent="0.35">
      <c r="A145" s="63"/>
      <c r="B145" s="66"/>
      <c r="C145" s="53">
        <v>7</v>
      </c>
      <c r="D145" s="45">
        <v>240.95</v>
      </c>
      <c r="E145" s="45"/>
      <c r="F145" s="45"/>
      <c r="G145" s="45"/>
      <c r="H145" s="45"/>
      <c r="I145" s="45"/>
      <c r="J145" s="51"/>
      <c r="K145" s="53">
        <v>7</v>
      </c>
      <c r="L145" s="45">
        <v>243.51</v>
      </c>
      <c r="M145" s="45"/>
      <c r="N145" s="45"/>
      <c r="O145" s="45"/>
      <c r="P145" s="45"/>
      <c r="Q145" s="45"/>
      <c r="R145" s="51"/>
      <c r="S145" s="53">
        <v>7</v>
      </c>
      <c r="T145" s="45">
        <v>244.47</v>
      </c>
      <c r="U145" s="45"/>
      <c r="V145" s="45"/>
      <c r="W145" s="45"/>
      <c r="X145" s="45"/>
      <c r="Y145" s="45"/>
      <c r="Z145" s="51"/>
      <c r="AA145" s="53">
        <v>7</v>
      </c>
      <c r="AB145" s="45">
        <v>245.44</v>
      </c>
      <c r="AC145" s="45"/>
      <c r="AD145" s="45"/>
      <c r="AE145" s="45"/>
      <c r="AF145" s="45"/>
      <c r="AG145" s="45"/>
      <c r="AH145" s="51"/>
      <c r="AI145" s="53">
        <v>7</v>
      </c>
      <c r="AJ145" s="45">
        <v>245.9</v>
      </c>
      <c r="AK145" s="45"/>
      <c r="AL145" s="45"/>
      <c r="AM145" s="45"/>
      <c r="AN145" s="45"/>
      <c r="AO145" s="45"/>
      <c r="AP145" s="51"/>
    </row>
    <row r="146" spans="1:42" ht="21" customHeight="1" thickTop="1" thickBot="1" x14ac:dyDescent="0.35">
      <c r="A146" s="63"/>
      <c r="B146" s="66"/>
      <c r="C146" s="53">
        <v>8</v>
      </c>
      <c r="D146" s="45">
        <v>241.12</v>
      </c>
      <c r="E146" s="45"/>
      <c r="F146" s="45"/>
      <c r="G146" s="45"/>
      <c r="H146" s="45"/>
      <c r="I146" s="45"/>
      <c r="J146" s="51"/>
      <c r="K146" s="53">
        <v>8</v>
      </c>
      <c r="L146" s="45">
        <v>244.72</v>
      </c>
      <c r="M146" s="45"/>
      <c r="N146" s="45"/>
      <c r="O146" s="45"/>
      <c r="P146" s="45"/>
      <c r="Q146" s="45"/>
      <c r="R146" s="51"/>
      <c r="S146" s="53">
        <v>8</v>
      </c>
      <c r="T146" s="45">
        <v>244.36</v>
      </c>
      <c r="U146" s="45"/>
      <c r="V146" s="45"/>
      <c r="W146" s="45"/>
      <c r="X146" s="45"/>
      <c r="Y146" s="45"/>
      <c r="Z146" s="51"/>
      <c r="AA146" s="53">
        <v>8</v>
      </c>
      <c r="AB146" s="45">
        <v>245.73</v>
      </c>
      <c r="AC146" s="45"/>
      <c r="AD146" s="45"/>
      <c r="AE146" s="45"/>
      <c r="AF146" s="45"/>
      <c r="AG146" s="45"/>
      <c r="AH146" s="51"/>
      <c r="AI146" s="53">
        <v>8</v>
      </c>
      <c r="AJ146" s="45">
        <v>245.93</v>
      </c>
      <c r="AK146" s="45"/>
      <c r="AL146" s="45"/>
      <c r="AM146" s="45"/>
      <c r="AN146" s="45"/>
      <c r="AO146" s="45"/>
      <c r="AP146" s="51"/>
    </row>
    <row r="147" spans="1:42" ht="21" customHeight="1" thickTop="1" thickBot="1" x14ac:dyDescent="0.35">
      <c r="A147" s="63"/>
      <c r="B147" s="66"/>
      <c r="C147" s="53">
        <v>9</v>
      </c>
      <c r="D147" s="45">
        <v>241.21</v>
      </c>
      <c r="E147" s="45"/>
      <c r="F147" s="45"/>
      <c r="G147" s="45"/>
      <c r="H147" s="45"/>
      <c r="I147" s="45"/>
      <c r="J147" s="51"/>
      <c r="K147" s="53">
        <v>9</v>
      </c>
      <c r="L147" s="45">
        <v>241.32</v>
      </c>
      <c r="M147" s="45"/>
      <c r="N147" s="45"/>
      <c r="O147" s="45"/>
      <c r="P147" s="45"/>
      <c r="Q147" s="45"/>
      <c r="R147" s="51"/>
      <c r="S147" s="53">
        <v>9</v>
      </c>
      <c r="T147" s="45">
        <v>245.75</v>
      </c>
      <c r="U147" s="45"/>
      <c r="V147" s="45"/>
      <c r="W147" s="45"/>
      <c r="X147" s="45"/>
      <c r="Y147" s="45"/>
      <c r="Z147" s="51"/>
      <c r="AA147" s="53">
        <v>9</v>
      </c>
      <c r="AB147" s="45">
        <v>245.56</v>
      </c>
      <c r="AC147" s="45"/>
      <c r="AD147" s="45"/>
      <c r="AE147" s="45"/>
      <c r="AF147" s="45"/>
      <c r="AG147" s="45"/>
      <c r="AH147" s="51"/>
      <c r="AI147" s="53">
        <v>9</v>
      </c>
      <c r="AJ147" s="45">
        <v>246.49</v>
      </c>
      <c r="AK147" s="45"/>
      <c r="AL147" s="45"/>
      <c r="AM147" s="45"/>
      <c r="AN147" s="45"/>
      <c r="AO147" s="45"/>
      <c r="AP147" s="51"/>
    </row>
    <row r="148" spans="1:42" ht="21" customHeight="1" thickTop="1" thickBot="1" x14ac:dyDescent="0.35">
      <c r="A148" s="63"/>
      <c r="B148" s="66"/>
      <c r="C148" s="53">
        <v>10</v>
      </c>
      <c r="D148" s="45">
        <v>240.95</v>
      </c>
      <c r="E148" s="45"/>
      <c r="F148" s="45"/>
      <c r="G148" s="45"/>
      <c r="H148" s="45"/>
      <c r="I148" s="45"/>
      <c r="J148" s="51"/>
      <c r="K148" s="53">
        <v>10</v>
      </c>
      <c r="L148" s="45">
        <v>242.47</v>
      </c>
      <c r="M148" s="45"/>
      <c r="N148" s="45"/>
      <c r="O148" s="45"/>
      <c r="P148" s="45"/>
      <c r="Q148" s="45"/>
      <c r="R148" s="51"/>
      <c r="S148" s="53">
        <v>10</v>
      </c>
      <c r="T148" s="45">
        <v>244.47</v>
      </c>
      <c r="U148" s="45"/>
      <c r="V148" s="45"/>
      <c r="W148" s="45"/>
      <c r="X148" s="45"/>
      <c r="Y148" s="45"/>
      <c r="Z148" s="51"/>
      <c r="AA148" s="53">
        <v>10</v>
      </c>
      <c r="AB148" s="45">
        <v>242.5</v>
      </c>
      <c r="AC148" s="45"/>
      <c r="AD148" s="45"/>
      <c r="AE148" s="45"/>
      <c r="AF148" s="45"/>
      <c r="AG148" s="45"/>
      <c r="AH148" s="51"/>
      <c r="AI148" s="53">
        <v>10</v>
      </c>
      <c r="AJ148" s="45">
        <v>246.33</v>
      </c>
      <c r="AK148" s="45"/>
      <c r="AL148" s="45"/>
      <c r="AM148" s="45"/>
      <c r="AN148" s="45"/>
      <c r="AO148" s="45"/>
      <c r="AP148" s="51"/>
    </row>
    <row r="149" spans="1:42" ht="21" customHeight="1" thickTop="1" thickBot="1" x14ac:dyDescent="0.35">
      <c r="A149" s="63"/>
      <c r="B149" s="66"/>
      <c r="C149" s="53"/>
      <c r="D149" s="45"/>
      <c r="E149" s="45"/>
      <c r="F149" s="45"/>
      <c r="G149" s="45"/>
      <c r="H149" s="45"/>
      <c r="I149" s="45"/>
      <c r="J149" s="51"/>
      <c r="K149" s="53"/>
      <c r="L149" s="45"/>
      <c r="M149" s="45"/>
      <c r="N149" s="45"/>
      <c r="O149" s="45"/>
      <c r="P149" s="45"/>
      <c r="Q149" s="45"/>
      <c r="R149" s="51"/>
      <c r="S149" s="53"/>
      <c r="T149" s="45"/>
      <c r="U149" s="45"/>
      <c r="V149" s="45"/>
      <c r="W149" s="45"/>
      <c r="X149" s="45"/>
      <c r="Y149" s="45"/>
      <c r="Z149" s="51"/>
      <c r="AA149" s="53"/>
      <c r="AB149" s="45"/>
      <c r="AC149" s="45"/>
      <c r="AD149" s="45"/>
      <c r="AE149" s="45"/>
      <c r="AF149" s="45"/>
      <c r="AG149" s="45"/>
      <c r="AH149" s="51"/>
      <c r="AI149" s="53"/>
      <c r="AJ149" s="45"/>
      <c r="AK149" s="45"/>
      <c r="AL149" s="45"/>
      <c r="AM149" s="45"/>
      <c r="AN149" s="45"/>
      <c r="AO149" s="45"/>
      <c r="AP149" s="51"/>
    </row>
    <row r="150" spans="1:42" ht="21" customHeight="1" thickTop="1" thickBot="1" x14ac:dyDescent="0.35">
      <c r="A150" s="63"/>
      <c r="B150" s="66"/>
      <c r="C150" s="54" t="s">
        <v>16</v>
      </c>
      <c r="D150" s="49">
        <f>MIN(D139:D148)</f>
        <v>240.95</v>
      </c>
      <c r="E150" s="45"/>
      <c r="F150" s="55" t="s">
        <v>17</v>
      </c>
      <c r="G150" s="49" t="s">
        <v>18</v>
      </c>
      <c r="H150" s="49" t="s">
        <v>19</v>
      </c>
      <c r="I150" s="45"/>
      <c r="J150" s="51"/>
      <c r="K150" s="54" t="s">
        <v>16</v>
      </c>
      <c r="L150" s="49">
        <f>MIN(L139:L148)</f>
        <v>241.32</v>
      </c>
      <c r="M150" s="45"/>
      <c r="N150" s="55" t="s">
        <v>17</v>
      </c>
      <c r="O150" s="49" t="s">
        <v>18</v>
      </c>
      <c r="P150" s="49" t="s">
        <v>19</v>
      </c>
      <c r="Q150" s="45"/>
      <c r="R150" s="51"/>
      <c r="S150" s="54" t="s">
        <v>16</v>
      </c>
      <c r="T150" s="49">
        <f>MIN(T139:T148)</f>
        <v>244.36</v>
      </c>
      <c r="U150" s="45"/>
      <c r="V150" s="55" t="s">
        <v>17</v>
      </c>
      <c r="W150" s="49" t="s">
        <v>18</v>
      </c>
      <c r="X150" s="49" t="s">
        <v>19</v>
      </c>
      <c r="Y150" s="45"/>
      <c r="Z150" s="51"/>
      <c r="AA150" s="54" t="s">
        <v>16</v>
      </c>
      <c r="AB150" s="49">
        <f>MIN(AB139:AB148)</f>
        <v>242.5</v>
      </c>
      <c r="AC150" s="45"/>
      <c r="AD150" s="55" t="s">
        <v>17</v>
      </c>
      <c r="AE150" s="49" t="s">
        <v>18</v>
      </c>
      <c r="AF150" s="49" t="s">
        <v>19</v>
      </c>
      <c r="AG150" s="45"/>
      <c r="AH150" s="51"/>
      <c r="AI150" s="54" t="s">
        <v>16</v>
      </c>
      <c r="AJ150" s="49">
        <f>MIN(AJ139:AJ148)</f>
        <v>245.68</v>
      </c>
      <c r="AK150" s="45"/>
      <c r="AL150" s="55" t="s">
        <v>17</v>
      </c>
      <c r="AM150" s="49" t="s">
        <v>18</v>
      </c>
      <c r="AN150" s="49" t="s">
        <v>19</v>
      </c>
      <c r="AO150" s="45"/>
      <c r="AP150" s="51"/>
    </row>
    <row r="151" spans="1:42" ht="21" customHeight="1" thickTop="1" thickBot="1" x14ac:dyDescent="0.35">
      <c r="A151" s="63"/>
      <c r="B151" s="66"/>
      <c r="C151" s="54" t="s">
        <v>20</v>
      </c>
      <c r="D151" s="48">
        <f>AVERAGE(D139:D148)</f>
        <v>241.84299999999999</v>
      </c>
      <c r="E151" s="47"/>
      <c r="F151" s="48">
        <f>_xlfn.STDEV.S(D139:D148) / AVERAGE(D139:D148) * 100%</f>
        <v>4.4455421440716507E-3</v>
      </c>
      <c r="G151" s="48">
        <f t="array" ref="G151">MIN((D139:D148 - MIN(D139:D148,L139:L148,T139:T148,AB139:AB148,AJ139:AJ148))/MIN(D139:D148,L139:L148,T139:T148,AB139:AB148,AJ139:AJ148)*100%)</f>
        <v>0</v>
      </c>
      <c r="H151" s="48">
        <f t="array" ref="H151">AVERAGE((D139:D148 - MIN(D139:D148,L139:L148,T139:T148,AB139:AB148,AJ139:AJ148))/MIN(D139:D148,L139:L148,T139:T148,AB139:AB148,AJ139:AJ148)*100%)</f>
        <v>3.7061631043785294E-3</v>
      </c>
      <c r="I151" s="45"/>
      <c r="J151" s="51"/>
      <c r="K151" s="54" t="s">
        <v>20</v>
      </c>
      <c r="L151" s="48">
        <f>AVERAGE(L139:L148)</f>
        <v>243.00200000000001</v>
      </c>
      <c r="M151" s="47"/>
      <c r="N151" s="48">
        <f>_xlfn.STDEV.S(L139:L148) / AVERAGE(L139:L148) * 100%</f>
        <v>3.8660816335527571E-3</v>
      </c>
      <c r="O151" s="48">
        <f t="array" ref="O151">MIN((L139:L148 - MIN(D139:D148,L139:L148,T139:T148,AB139:AB148,AJ139:AJ148))/MIN(D139:D148,L139:L148,T139:T148,AB139:AB148,AJ139:AJ148)*100%)</f>
        <v>1.5355882963270578E-3</v>
      </c>
      <c r="P151" s="48">
        <f t="array" ref="P151">AVERAGE((L139:L148 - MIN(D139:D148,L139:L148,T139:T148,AB139:AB148,AJ139:AJ148))/MIN(D139:D148,L139:L148,T139:T148,AB139:AB148,AJ139:AJ148)*100%)</f>
        <v>8.5162896866570227E-3</v>
      </c>
      <c r="Q151" s="44"/>
      <c r="R151" s="51"/>
      <c r="S151" s="54" t="s">
        <v>20</v>
      </c>
      <c r="T151" s="48">
        <f>AVERAGE(T139:T148)</f>
        <v>245.95299999999997</v>
      </c>
      <c r="U151" s="47"/>
      <c r="V151" s="48">
        <f>_xlfn.STDEV.S(T139:T148) / AVERAGE(T139:T148) * 100%</f>
        <v>5.3066507090023685E-3</v>
      </c>
      <c r="W151" s="48">
        <f t="array" ref="W151">MIN((T139:T148 - MIN(D139:D148,L139:L148,T139:T148,AB139:AB148,AJ139:AJ148))/MIN(D139:D148,L139:L148,T139:T148,AB139:AB148,AJ139:AJ148)*100%)</f>
        <v>1.4152313758041192E-2</v>
      </c>
      <c r="X151" s="48">
        <f t="array" ref="X151">AVERAGE((T139:T148 - MIN(D139:D148,L139:L148,T139:T148,AB139:AB148,AJ139:AJ148))/MIN(D139:D148,L139:L148,T139:T148,AB139:AB148,AJ139:AJ148)*100%)</f>
        <v>2.0763643909524867E-2</v>
      </c>
      <c r="Y151" s="44"/>
      <c r="Z151" s="51"/>
      <c r="AA151" s="54" t="s">
        <v>20</v>
      </c>
      <c r="AB151" s="48">
        <f>AVERAGE(AB139:AB148)</f>
        <v>244.72400000000002</v>
      </c>
      <c r="AC151" s="47"/>
      <c r="AD151" s="48">
        <f>_xlfn.STDEV.S(AB139:AB148) / AVERAGE(AB139:AB148) * 100%</f>
        <v>4.9070837268313768E-3</v>
      </c>
      <c r="AE151" s="48">
        <f t="array" ref="AE151">MIN((AB139:AB148 - MIN(D139:D148,L139:L148,T139:T148,AB139:AB148,AJ139:AJ148))/MIN(D139:D148,L139:L148,T139:T148,AB139:AB148,AJ139:AJ148)*100%)</f>
        <v>6.4328698900187236E-3</v>
      </c>
      <c r="AF151" s="48">
        <f t="array" ref="AF151">AVERAGE((AB139:AB148 - MIN(D139:D148,L139:L148,T139:T148,AB139:AB148,AJ139:AJ148))/MIN(D139:D148,L139:L148,T139:T148,AB139:AB148,AJ139:AJ148)*100%)</f>
        <v>1.5663000622535846E-2</v>
      </c>
      <c r="AG151" s="44"/>
      <c r="AH151" s="51"/>
      <c r="AI151" s="54" t="s">
        <v>20</v>
      </c>
      <c r="AJ151" s="48">
        <f>AVERAGE(AJ139:AJ148)</f>
        <v>246.154</v>
      </c>
      <c r="AK151" s="47"/>
      <c r="AL151" s="48">
        <f>_xlfn.STDEV.S(AJ139:AJ148) / AVERAGE(AJ139:AJ148) * 100%</f>
        <v>1.8384964306755523E-3</v>
      </c>
      <c r="AM151" s="48">
        <f t="array" ref="AM151">MIN((AJ139:AJ148 - MIN(D139:D148,L139:L148,T139:T148,AB139:AB148,AJ139:AJ148))/MIN(D139:D148,L139:L148,T139:T148,AB139:AB148,AJ139:AJ148)*100%)</f>
        <v>1.9630628761153842E-2</v>
      </c>
      <c r="AN151" s="48">
        <f t="array" ref="AN151">AVERAGE((AJ139:AJ148 - MIN(D139:D148,L139:L148,T139:T148,AB139:AB148,AJ139:AJ148))/MIN(D139:D148,L139:L148,T139:T148,AB139:AB148,AJ139:AJ148)*100%)</f>
        <v>2.1597841875907946E-2</v>
      </c>
      <c r="AO151" s="44"/>
      <c r="AP151" s="51"/>
    </row>
    <row r="152" spans="1:42" ht="21" customHeight="1" thickTop="1" thickBot="1" x14ac:dyDescent="0.35">
      <c r="A152" s="63"/>
      <c r="B152" s="67"/>
      <c r="C152" s="53"/>
      <c r="D152" s="44"/>
      <c r="E152" s="44"/>
      <c r="F152" s="44"/>
      <c r="G152" s="44"/>
      <c r="H152" s="44"/>
      <c r="I152" s="44"/>
      <c r="J152" s="51"/>
      <c r="K152" s="53"/>
      <c r="L152" s="44"/>
      <c r="M152" s="44"/>
      <c r="N152" s="44"/>
      <c r="O152" s="44"/>
      <c r="P152" s="44"/>
      <c r="Q152" s="44"/>
      <c r="R152" s="51"/>
      <c r="S152" s="53"/>
      <c r="T152" s="44"/>
      <c r="U152" s="44"/>
      <c r="V152" s="44"/>
      <c r="W152" s="44"/>
      <c r="X152" s="44"/>
      <c r="Y152" s="44"/>
      <c r="Z152" s="51"/>
      <c r="AA152" s="53"/>
      <c r="AB152" s="44"/>
      <c r="AC152" s="44"/>
      <c r="AD152" s="44"/>
      <c r="AE152" s="44"/>
      <c r="AF152" s="44"/>
      <c r="AG152" s="44"/>
      <c r="AH152" s="51"/>
      <c r="AI152" s="53"/>
      <c r="AJ152" s="44"/>
      <c r="AK152" s="44"/>
      <c r="AL152" s="44"/>
      <c r="AM152" s="44"/>
      <c r="AN152" s="44"/>
      <c r="AO152" s="44"/>
      <c r="AP152" s="51"/>
    </row>
    <row r="153" spans="1:42" ht="21" customHeight="1" thickTop="1" thickBot="1" x14ac:dyDescent="0.35">
      <c r="A153" s="63"/>
      <c r="B153" s="65" t="s">
        <v>76</v>
      </c>
      <c r="C153" s="59" t="s">
        <v>8</v>
      </c>
      <c r="D153" s="46" t="s">
        <v>9</v>
      </c>
      <c r="E153" s="46" t="s">
        <v>10</v>
      </c>
      <c r="F153" s="46" t="s">
        <v>11</v>
      </c>
      <c r="G153" s="46" t="s">
        <v>12</v>
      </c>
      <c r="H153" s="46" t="s">
        <v>13</v>
      </c>
      <c r="I153" s="46" t="s">
        <v>14</v>
      </c>
      <c r="J153" s="60" t="s">
        <v>15</v>
      </c>
      <c r="K153" s="59" t="s">
        <v>8</v>
      </c>
      <c r="L153" s="46" t="s">
        <v>9</v>
      </c>
      <c r="M153" s="46" t="s">
        <v>10</v>
      </c>
      <c r="N153" s="46" t="s">
        <v>11</v>
      </c>
      <c r="O153" s="46" t="s">
        <v>12</v>
      </c>
      <c r="P153" s="46" t="s">
        <v>13</v>
      </c>
      <c r="Q153" s="46" t="s">
        <v>14</v>
      </c>
      <c r="R153" s="60" t="s">
        <v>15</v>
      </c>
      <c r="S153" s="59" t="s">
        <v>8</v>
      </c>
      <c r="T153" s="46" t="s">
        <v>9</v>
      </c>
      <c r="U153" s="46" t="s">
        <v>10</v>
      </c>
      <c r="V153" s="46" t="s">
        <v>11</v>
      </c>
      <c r="W153" s="46" t="s">
        <v>12</v>
      </c>
      <c r="X153" s="46" t="s">
        <v>13</v>
      </c>
      <c r="Y153" s="46" t="s">
        <v>14</v>
      </c>
      <c r="Z153" s="60" t="s">
        <v>15</v>
      </c>
      <c r="AA153" s="59" t="s">
        <v>8</v>
      </c>
      <c r="AB153" s="46" t="s">
        <v>9</v>
      </c>
      <c r="AC153" s="46" t="s">
        <v>10</v>
      </c>
      <c r="AD153" s="46" t="s">
        <v>11</v>
      </c>
      <c r="AE153" s="46" t="s">
        <v>12</v>
      </c>
      <c r="AF153" s="46" t="s">
        <v>13</v>
      </c>
      <c r="AG153" s="46" t="s">
        <v>14</v>
      </c>
      <c r="AH153" s="60" t="s">
        <v>15</v>
      </c>
      <c r="AI153" s="59" t="s">
        <v>8</v>
      </c>
      <c r="AJ153" s="46" t="s">
        <v>9</v>
      </c>
      <c r="AK153" s="46" t="s">
        <v>10</v>
      </c>
      <c r="AL153" s="46" t="s">
        <v>11</v>
      </c>
      <c r="AM153" s="46" t="s">
        <v>12</v>
      </c>
      <c r="AN153" s="46" t="s">
        <v>13</v>
      </c>
      <c r="AO153" s="46" t="s">
        <v>14</v>
      </c>
      <c r="AP153" s="60" t="s">
        <v>15</v>
      </c>
    </row>
    <row r="154" spans="1:42" ht="21" customHeight="1" thickTop="1" thickBot="1" x14ac:dyDescent="0.35">
      <c r="A154" s="63"/>
      <c r="B154" s="66"/>
      <c r="C154" s="52">
        <v>1</v>
      </c>
      <c r="D154" s="44">
        <v>243.61</v>
      </c>
      <c r="E154" s="44"/>
      <c r="F154" s="44"/>
      <c r="G154" s="44"/>
      <c r="H154" s="44"/>
      <c r="I154" s="44"/>
      <c r="J154" s="51"/>
      <c r="K154" s="52">
        <v>1</v>
      </c>
      <c r="L154" s="44">
        <v>245.6</v>
      </c>
      <c r="M154" s="44"/>
      <c r="N154" s="44"/>
      <c r="O154" s="44"/>
      <c r="P154" s="44"/>
      <c r="Q154" s="44"/>
      <c r="R154" s="51"/>
      <c r="S154" s="52">
        <v>1</v>
      </c>
      <c r="T154" s="44">
        <v>247.33</v>
      </c>
      <c r="U154" s="44"/>
      <c r="V154" s="44"/>
      <c r="W154" s="44"/>
      <c r="X154" s="44"/>
      <c r="Y154" s="44"/>
      <c r="Z154" s="51"/>
      <c r="AA154" s="52">
        <v>1</v>
      </c>
      <c r="AB154" s="44">
        <v>246.87</v>
      </c>
      <c r="AC154" s="44"/>
      <c r="AD154" s="44"/>
      <c r="AE154" s="44"/>
      <c r="AF154" s="44"/>
      <c r="AG154" s="44"/>
      <c r="AH154" s="51"/>
      <c r="AI154" s="52">
        <v>1</v>
      </c>
      <c r="AJ154" s="44">
        <v>246.28</v>
      </c>
      <c r="AK154" s="44"/>
      <c r="AL154" s="44"/>
      <c r="AM154" s="44"/>
      <c r="AN154" s="44"/>
      <c r="AO154" s="44"/>
      <c r="AP154" s="51"/>
    </row>
    <row r="155" spans="1:42" ht="21" customHeight="1" thickTop="1" thickBot="1" x14ac:dyDescent="0.35">
      <c r="A155" s="63"/>
      <c r="B155" s="66"/>
      <c r="C155" s="53">
        <v>2</v>
      </c>
      <c r="D155" s="45">
        <v>244.04</v>
      </c>
      <c r="E155" s="45"/>
      <c r="F155" s="45"/>
      <c r="G155" s="45"/>
      <c r="H155" s="45"/>
      <c r="I155" s="45"/>
      <c r="J155" s="51"/>
      <c r="K155" s="53">
        <v>2</v>
      </c>
      <c r="L155" s="45">
        <v>245.62</v>
      </c>
      <c r="M155" s="45"/>
      <c r="N155" s="45"/>
      <c r="O155" s="45"/>
      <c r="P155" s="45"/>
      <c r="Q155" s="45"/>
      <c r="R155" s="51"/>
      <c r="S155" s="53">
        <v>2</v>
      </c>
      <c r="T155" s="45">
        <v>249.26</v>
      </c>
      <c r="U155" s="45"/>
      <c r="V155" s="45"/>
      <c r="W155" s="45"/>
      <c r="X155" s="45"/>
      <c r="Y155" s="45"/>
      <c r="Z155" s="51"/>
      <c r="AA155" s="53">
        <v>2</v>
      </c>
      <c r="AB155" s="45">
        <v>245.63</v>
      </c>
      <c r="AC155" s="45"/>
      <c r="AD155" s="45"/>
      <c r="AE155" s="45"/>
      <c r="AF155" s="45"/>
      <c r="AG155" s="45"/>
      <c r="AH155" s="51"/>
      <c r="AI155" s="53">
        <v>2</v>
      </c>
      <c r="AJ155" s="45">
        <v>245.35</v>
      </c>
      <c r="AK155" s="45"/>
      <c r="AL155" s="45"/>
      <c r="AM155" s="45"/>
      <c r="AN155" s="45"/>
      <c r="AO155" s="45"/>
      <c r="AP155" s="51"/>
    </row>
    <row r="156" spans="1:42" ht="21" customHeight="1" thickTop="1" thickBot="1" x14ac:dyDescent="0.35">
      <c r="A156" s="63"/>
      <c r="B156" s="66"/>
      <c r="C156" s="53">
        <v>3</v>
      </c>
      <c r="D156" s="45">
        <v>243.47</v>
      </c>
      <c r="E156" s="45"/>
      <c r="F156" s="45"/>
      <c r="G156" s="44"/>
      <c r="H156" s="44"/>
      <c r="I156" s="44"/>
      <c r="J156" s="51"/>
      <c r="K156" s="53">
        <v>3</v>
      </c>
      <c r="L156" s="45">
        <v>244.11</v>
      </c>
      <c r="M156" s="45"/>
      <c r="N156" s="45"/>
      <c r="O156" s="44"/>
      <c r="P156" s="44"/>
      <c r="Q156" s="44"/>
      <c r="R156" s="51"/>
      <c r="S156" s="53">
        <v>3</v>
      </c>
      <c r="T156" s="45">
        <v>245.08</v>
      </c>
      <c r="U156" s="45"/>
      <c r="V156" s="45"/>
      <c r="W156" s="44"/>
      <c r="X156" s="44"/>
      <c r="Y156" s="44"/>
      <c r="Z156" s="51"/>
      <c r="AA156" s="53">
        <v>3</v>
      </c>
      <c r="AB156" s="45">
        <v>244.57</v>
      </c>
      <c r="AC156" s="45"/>
      <c r="AD156" s="45"/>
      <c r="AE156" s="44"/>
      <c r="AF156" s="44"/>
      <c r="AG156" s="44"/>
      <c r="AH156" s="51"/>
      <c r="AI156" s="53">
        <v>3</v>
      </c>
      <c r="AJ156" s="45">
        <v>246.28</v>
      </c>
      <c r="AK156" s="45"/>
      <c r="AL156" s="45"/>
      <c r="AM156" s="44"/>
      <c r="AN156" s="44"/>
      <c r="AO156" s="44"/>
      <c r="AP156" s="51"/>
    </row>
    <row r="157" spans="1:42" ht="21" customHeight="1" thickTop="1" thickBot="1" x14ac:dyDescent="0.35">
      <c r="A157" s="63"/>
      <c r="B157" s="66"/>
      <c r="C157" s="53">
        <v>4</v>
      </c>
      <c r="D157" s="45">
        <v>242.9</v>
      </c>
      <c r="E157" s="45"/>
      <c r="F157" s="45"/>
      <c r="G157" s="45"/>
      <c r="H157" s="45"/>
      <c r="I157" s="45"/>
      <c r="J157" s="51"/>
      <c r="K157" s="53">
        <v>4</v>
      </c>
      <c r="L157" s="45">
        <v>244.38</v>
      </c>
      <c r="M157" s="45"/>
      <c r="N157" s="45"/>
      <c r="O157" s="45"/>
      <c r="P157" s="45"/>
      <c r="Q157" s="45"/>
      <c r="R157" s="51"/>
      <c r="S157" s="53">
        <v>4</v>
      </c>
      <c r="T157" s="45">
        <v>247.22</v>
      </c>
      <c r="U157" s="45"/>
      <c r="V157" s="45"/>
      <c r="W157" s="45"/>
      <c r="X157" s="45"/>
      <c r="Y157" s="45"/>
      <c r="Z157" s="51"/>
      <c r="AA157" s="53">
        <v>4</v>
      </c>
      <c r="AB157" s="45">
        <v>245.48</v>
      </c>
      <c r="AC157" s="45"/>
      <c r="AD157" s="45"/>
      <c r="AE157" s="45"/>
      <c r="AF157" s="45"/>
      <c r="AG157" s="45"/>
      <c r="AH157" s="51"/>
      <c r="AI157" s="53">
        <v>4</v>
      </c>
      <c r="AJ157" s="45">
        <v>247.1</v>
      </c>
      <c r="AK157" s="45"/>
      <c r="AL157" s="45"/>
      <c r="AM157" s="45"/>
      <c r="AN157" s="45"/>
      <c r="AO157" s="45"/>
      <c r="AP157" s="51"/>
    </row>
    <row r="158" spans="1:42" ht="21" customHeight="1" thickTop="1" thickBot="1" x14ac:dyDescent="0.35">
      <c r="A158" s="63"/>
      <c r="B158" s="66"/>
      <c r="C158" s="53">
        <v>5</v>
      </c>
      <c r="D158" s="45">
        <v>243.83</v>
      </c>
      <c r="E158" s="45"/>
      <c r="F158" s="45"/>
      <c r="G158" s="45"/>
      <c r="H158" s="45"/>
      <c r="I158" s="45"/>
      <c r="J158" s="51"/>
      <c r="K158" s="53">
        <v>5</v>
      </c>
      <c r="L158" s="45">
        <v>244.38</v>
      </c>
      <c r="M158" s="45"/>
      <c r="N158" s="45"/>
      <c r="O158" s="45"/>
      <c r="P158" s="45"/>
      <c r="Q158" s="45"/>
      <c r="R158" s="51"/>
      <c r="S158" s="53">
        <v>5</v>
      </c>
      <c r="T158" s="45">
        <v>244.38</v>
      </c>
      <c r="U158" s="45"/>
      <c r="V158" s="45"/>
      <c r="W158" s="45"/>
      <c r="X158" s="45"/>
      <c r="Y158" s="45"/>
      <c r="Z158" s="51"/>
      <c r="AA158" s="53">
        <v>5</v>
      </c>
      <c r="AB158" s="45">
        <v>246.7</v>
      </c>
      <c r="AC158" s="45"/>
      <c r="AD158" s="45"/>
      <c r="AE158" s="45"/>
      <c r="AF158" s="45"/>
      <c r="AG158" s="45"/>
      <c r="AH158" s="51"/>
      <c r="AI158" s="53">
        <v>5</v>
      </c>
      <c r="AJ158" s="45">
        <v>246.86</v>
      </c>
      <c r="AK158" s="45"/>
      <c r="AL158" s="45"/>
      <c r="AM158" s="45"/>
      <c r="AN158" s="45"/>
      <c r="AO158" s="45"/>
      <c r="AP158" s="51"/>
    </row>
    <row r="159" spans="1:42" ht="21" customHeight="1" thickTop="1" thickBot="1" x14ac:dyDescent="0.35">
      <c r="A159" s="63"/>
      <c r="B159" s="66"/>
      <c r="C159" s="53">
        <v>6</v>
      </c>
      <c r="D159" s="45">
        <v>244.69</v>
      </c>
      <c r="E159" s="45"/>
      <c r="F159" s="45"/>
      <c r="G159" s="45"/>
      <c r="H159" s="45"/>
      <c r="I159" s="45"/>
      <c r="J159" s="51"/>
      <c r="K159" s="53">
        <v>6</v>
      </c>
      <c r="L159" s="45">
        <v>244.38</v>
      </c>
      <c r="M159" s="45"/>
      <c r="N159" s="45"/>
      <c r="O159" s="45"/>
      <c r="P159" s="45"/>
      <c r="Q159" s="45"/>
      <c r="R159" s="51"/>
      <c r="S159" s="53">
        <v>6</v>
      </c>
      <c r="T159" s="45">
        <v>247.86</v>
      </c>
      <c r="U159" s="45"/>
      <c r="V159" s="45"/>
      <c r="W159" s="45"/>
      <c r="X159" s="45"/>
      <c r="Y159" s="45"/>
      <c r="Z159" s="51"/>
      <c r="AA159" s="53">
        <v>6</v>
      </c>
      <c r="AB159" s="45">
        <v>244.81</v>
      </c>
      <c r="AC159" s="45"/>
      <c r="AD159" s="45"/>
      <c r="AE159" s="45"/>
      <c r="AF159" s="45"/>
      <c r="AG159" s="45"/>
      <c r="AH159" s="51"/>
      <c r="AI159" s="53">
        <v>6</v>
      </c>
      <c r="AJ159" s="45">
        <v>247.1</v>
      </c>
      <c r="AK159" s="45"/>
      <c r="AL159" s="45"/>
      <c r="AM159" s="45"/>
      <c r="AN159" s="45"/>
      <c r="AO159" s="45"/>
      <c r="AP159" s="51"/>
    </row>
    <row r="160" spans="1:42" ht="21" customHeight="1" thickTop="1" thickBot="1" x14ac:dyDescent="0.35">
      <c r="A160" s="63"/>
      <c r="B160" s="66"/>
      <c r="C160" s="53">
        <v>7</v>
      </c>
      <c r="D160" s="45">
        <v>243.44</v>
      </c>
      <c r="E160" s="45"/>
      <c r="F160" s="45"/>
      <c r="G160" s="45"/>
      <c r="H160" s="45"/>
      <c r="I160" s="45"/>
      <c r="J160" s="51"/>
      <c r="K160" s="53">
        <v>7</v>
      </c>
      <c r="L160" s="45">
        <v>246.3</v>
      </c>
      <c r="M160" s="45"/>
      <c r="N160" s="45"/>
      <c r="O160" s="45"/>
      <c r="P160" s="45"/>
      <c r="Q160" s="45"/>
      <c r="R160" s="51"/>
      <c r="S160" s="53">
        <v>7</v>
      </c>
      <c r="T160" s="45">
        <v>244.38</v>
      </c>
      <c r="U160" s="45"/>
      <c r="V160" s="45"/>
      <c r="W160" s="45"/>
      <c r="X160" s="45"/>
      <c r="Y160" s="45"/>
      <c r="Z160" s="51"/>
      <c r="AA160" s="53">
        <v>7</v>
      </c>
      <c r="AB160" s="45">
        <v>244.67</v>
      </c>
      <c r="AC160" s="45"/>
      <c r="AD160" s="45"/>
      <c r="AE160" s="45"/>
      <c r="AF160" s="45"/>
      <c r="AG160" s="45"/>
      <c r="AH160" s="51"/>
      <c r="AI160" s="53">
        <v>7</v>
      </c>
      <c r="AJ160" s="45">
        <v>247.4</v>
      </c>
      <c r="AK160" s="45"/>
      <c r="AL160" s="45"/>
      <c r="AM160" s="45"/>
      <c r="AN160" s="45"/>
      <c r="AO160" s="45"/>
      <c r="AP160" s="51"/>
    </row>
    <row r="161" spans="1:42" ht="21" customHeight="1" thickTop="1" thickBot="1" x14ac:dyDescent="0.35">
      <c r="A161" s="63"/>
      <c r="B161" s="66"/>
      <c r="C161" s="53">
        <v>8</v>
      </c>
      <c r="D161" s="45">
        <v>244.03</v>
      </c>
      <c r="E161" s="45"/>
      <c r="F161" s="45"/>
      <c r="G161" s="45"/>
      <c r="H161" s="45"/>
      <c r="I161" s="45"/>
      <c r="J161" s="51"/>
      <c r="K161" s="53">
        <v>8</v>
      </c>
      <c r="L161" s="45">
        <v>244.38</v>
      </c>
      <c r="M161" s="45"/>
      <c r="N161" s="45"/>
      <c r="O161" s="45"/>
      <c r="P161" s="45"/>
      <c r="Q161" s="45"/>
      <c r="R161" s="51"/>
      <c r="S161" s="53">
        <v>8</v>
      </c>
      <c r="T161" s="45">
        <v>245.11</v>
      </c>
      <c r="U161" s="45"/>
      <c r="V161" s="45"/>
      <c r="W161" s="45"/>
      <c r="X161" s="45"/>
      <c r="Y161" s="45"/>
      <c r="Z161" s="51"/>
      <c r="AA161" s="53">
        <v>8</v>
      </c>
      <c r="AB161" s="45">
        <v>248.28</v>
      </c>
      <c r="AC161" s="45"/>
      <c r="AD161" s="45"/>
      <c r="AE161" s="45"/>
      <c r="AF161" s="45"/>
      <c r="AG161" s="45"/>
      <c r="AH161" s="51"/>
      <c r="AI161" s="53">
        <v>8</v>
      </c>
      <c r="AJ161" s="45">
        <v>245.35</v>
      </c>
      <c r="AK161" s="45"/>
      <c r="AL161" s="45"/>
      <c r="AM161" s="45"/>
      <c r="AN161" s="45"/>
      <c r="AO161" s="45"/>
      <c r="AP161" s="51"/>
    </row>
    <row r="162" spans="1:42" ht="21" customHeight="1" thickTop="1" thickBot="1" x14ac:dyDescent="0.35">
      <c r="A162" s="63"/>
      <c r="B162" s="66"/>
      <c r="C162" s="53">
        <v>9</v>
      </c>
      <c r="D162" s="45">
        <v>243.64</v>
      </c>
      <c r="E162" s="45"/>
      <c r="F162" s="45"/>
      <c r="G162" s="45"/>
      <c r="H162" s="45"/>
      <c r="I162" s="45"/>
      <c r="J162" s="51"/>
      <c r="K162" s="53">
        <v>9</v>
      </c>
      <c r="L162" s="45">
        <v>245.13</v>
      </c>
      <c r="M162" s="45"/>
      <c r="N162" s="45"/>
      <c r="O162" s="45"/>
      <c r="P162" s="45"/>
      <c r="Q162" s="45"/>
      <c r="R162" s="51"/>
      <c r="S162" s="53">
        <v>9</v>
      </c>
      <c r="T162" s="45">
        <v>244.38</v>
      </c>
      <c r="U162" s="45"/>
      <c r="V162" s="45"/>
      <c r="W162" s="45"/>
      <c r="X162" s="45"/>
      <c r="Y162" s="45"/>
      <c r="Z162" s="51"/>
      <c r="AA162" s="53">
        <v>9</v>
      </c>
      <c r="AB162" s="45">
        <v>244.38</v>
      </c>
      <c r="AC162" s="45"/>
      <c r="AD162" s="45"/>
      <c r="AE162" s="45"/>
      <c r="AF162" s="45"/>
      <c r="AG162" s="45"/>
      <c r="AH162" s="51"/>
      <c r="AI162" s="53">
        <v>9</v>
      </c>
      <c r="AJ162" s="45">
        <v>247.72</v>
      </c>
      <c r="AK162" s="45"/>
      <c r="AL162" s="45"/>
      <c r="AM162" s="45"/>
      <c r="AN162" s="45"/>
      <c r="AO162" s="45"/>
      <c r="AP162" s="51"/>
    </row>
    <row r="163" spans="1:42" ht="21" customHeight="1" thickTop="1" thickBot="1" x14ac:dyDescent="0.35">
      <c r="A163" s="63"/>
      <c r="B163" s="66"/>
      <c r="C163" s="53">
        <v>10</v>
      </c>
      <c r="D163" s="45">
        <v>244.38</v>
      </c>
      <c r="E163" s="45"/>
      <c r="F163" s="45"/>
      <c r="G163" s="45"/>
      <c r="H163" s="45"/>
      <c r="I163" s="45"/>
      <c r="J163" s="51"/>
      <c r="K163" s="53">
        <v>10</v>
      </c>
      <c r="L163" s="45">
        <v>245.67</v>
      </c>
      <c r="M163" s="45"/>
      <c r="N163" s="45"/>
      <c r="O163" s="45"/>
      <c r="P163" s="45"/>
      <c r="Q163" s="45"/>
      <c r="R163" s="51"/>
      <c r="S163" s="53">
        <v>10</v>
      </c>
      <c r="T163" s="45">
        <v>245.92</v>
      </c>
      <c r="U163" s="45"/>
      <c r="V163" s="45"/>
      <c r="W163" s="45"/>
      <c r="X163" s="45"/>
      <c r="Y163" s="45"/>
      <c r="Z163" s="51"/>
      <c r="AA163" s="53">
        <v>10</v>
      </c>
      <c r="AB163" s="45">
        <v>246.65</v>
      </c>
      <c r="AC163" s="45"/>
      <c r="AD163" s="45"/>
      <c r="AE163" s="45"/>
      <c r="AF163" s="45"/>
      <c r="AG163" s="45"/>
      <c r="AH163" s="51"/>
      <c r="AI163" s="53">
        <v>10</v>
      </c>
      <c r="AJ163" s="45">
        <v>246.99</v>
      </c>
      <c r="AK163" s="45"/>
      <c r="AL163" s="45"/>
      <c r="AM163" s="45"/>
      <c r="AN163" s="45"/>
      <c r="AO163" s="45"/>
      <c r="AP163" s="51"/>
    </row>
    <row r="164" spans="1:42" ht="21" customHeight="1" thickTop="1" thickBot="1" x14ac:dyDescent="0.35">
      <c r="A164" s="63"/>
      <c r="B164" s="66"/>
      <c r="C164" s="53"/>
      <c r="D164" s="45"/>
      <c r="E164" s="45"/>
      <c r="F164" s="45"/>
      <c r="G164" s="45"/>
      <c r="H164" s="45"/>
      <c r="I164" s="45"/>
      <c r="J164" s="51"/>
      <c r="K164" s="53"/>
      <c r="L164" s="45"/>
      <c r="M164" s="45"/>
      <c r="N164" s="45"/>
      <c r="O164" s="45"/>
      <c r="P164" s="45"/>
      <c r="Q164" s="45"/>
      <c r="R164" s="51"/>
      <c r="S164" s="53"/>
      <c r="T164" s="45"/>
      <c r="U164" s="45"/>
      <c r="V164" s="45"/>
      <c r="W164" s="45"/>
      <c r="X164" s="45"/>
      <c r="Y164" s="45"/>
      <c r="Z164" s="51"/>
      <c r="AA164" s="53"/>
      <c r="AB164" s="45"/>
      <c r="AC164" s="45"/>
      <c r="AD164" s="45"/>
      <c r="AE164" s="45"/>
      <c r="AF164" s="45"/>
      <c r="AG164" s="45"/>
      <c r="AH164" s="51"/>
      <c r="AI164" s="53"/>
      <c r="AJ164" s="45"/>
      <c r="AK164" s="45"/>
      <c r="AL164" s="45"/>
      <c r="AM164" s="45"/>
      <c r="AN164" s="45"/>
      <c r="AO164" s="45"/>
      <c r="AP164" s="51"/>
    </row>
    <row r="165" spans="1:42" ht="21" customHeight="1" thickTop="1" thickBot="1" x14ac:dyDescent="0.35">
      <c r="A165" s="63"/>
      <c r="B165" s="66"/>
      <c r="C165" s="54" t="s">
        <v>16</v>
      </c>
      <c r="D165" s="49">
        <f>MIN(D154:D163)</f>
        <v>242.9</v>
      </c>
      <c r="E165" s="45"/>
      <c r="F165" s="55" t="s">
        <v>17</v>
      </c>
      <c r="G165" s="49" t="s">
        <v>18</v>
      </c>
      <c r="H165" s="49" t="s">
        <v>19</v>
      </c>
      <c r="I165" s="45"/>
      <c r="J165" s="51"/>
      <c r="K165" s="54" t="s">
        <v>16</v>
      </c>
      <c r="L165" s="49">
        <f>MIN(L154:L163)</f>
        <v>244.11</v>
      </c>
      <c r="M165" s="45"/>
      <c r="N165" s="55" t="s">
        <v>17</v>
      </c>
      <c r="O165" s="49" t="s">
        <v>18</v>
      </c>
      <c r="P165" s="49" t="s">
        <v>19</v>
      </c>
      <c r="Q165" s="45"/>
      <c r="R165" s="51"/>
      <c r="S165" s="54" t="s">
        <v>16</v>
      </c>
      <c r="T165" s="49">
        <f>MIN(T154:T163)</f>
        <v>244.38</v>
      </c>
      <c r="U165" s="45"/>
      <c r="V165" s="55" t="s">
        <v>17</v>
      </c>
      <c r="W165" s="49" t="s">
        <v>18</v>
      </c>
      <c r="X165" s="49" t="s">
        <v>19</v>
      </c>
      <c r="Y165" s="45"/>
      <c r="Z165" s="51"/>
      <c r="AA165" s="54" t="s">
        <v>16</v>
      </c>
      <c r="AB165" s="49">
        <f>MIN(AB154:AB163)</f>
        <v>244.38</v>
      </c>
      <c r="AC165" s="45"/>
      <c r="AD165" s="55" t="s">
        <v>17</v>
      </c>
      <c r="AE165" s="49" t="s">
        <v>18</v>
      </c>
      <c r="AF165" s="49" t="s">
        <v>19</v>
      </c>
      <c r="AG165" s="45"/>
      <c r="AH165" s="51"/>
      <c r="AI165" s="54" t="s">
        <v>16</v>
      </c>
      <c r="AJ165" s="49">
        <f>MIN(AJ154:AJ163)</f>
        <v>245.35</v>
      </c>
      <c r="AK165" s="45"/>
      <c r="AL165" s="55" t="s">
        <v>17</v>
      </c>
      <c r="AM165" s="49" t="s">
        <v>18</v>
      </c>
      <c r="AN165" s="49" t="s">
        <v>19</v>
      </c>
      <c r="AO165" s="45"/>
      <c r="AP165" s="51"/>
    </row>
    <row r="166" spans="1:42" ht="21" customHeight="1" thickTop="1" thickBot="1" x14ac:dyDescent="0.35">
      <c r="A166" s="63"/>
      <c r="B166" s="66"/>
      <c r="C166" s="54" t="s">
        <v>20</v>
      </c>
      <c r="D166" s="48">
        <f>AVERAGE(D154:D163)</f>
        <v>243.80300000000003</v>
      </c>
      <c r="E166" s="47"/>
      <c r="F166" s="48">
        <f>_xlfn.STDEV.S(D154:D163) / AVERAGE(D154:D163) * 100%</f>
        <v>2.0959192918223288E-3</v>
      </c>
      <c r="G166" s="48">
        <f t="array" ref="G166">MIN((D154:D163 - MIN(D154:D163,L154:L163,T154:T163,AB154:AB163,AJ154:AJ163))/MIN(D154:D163,L154:L163,T154:T163,AB154:AB163,AJ154:AJ163)*100%)</f>
        <v>0</v>
      </c>
      <c r="H166" s="48">
        <f t="array" ref="H166">AVERAGE((D154:D163 - MIN(D154:D163,L154:L163,T154:T163,AB154:AB163,AJ154:AJ163))/MIN(D154:D163,L154:L163,T154:T163,AB154:AB163,AJ154:AJ163)*100%)</f>
        <v>3.7175792507204383E-3</v>
      </c>
      <c r="I166" s="45"/>
      <c r="J166" s="51"/>
      <c r="K166" s="54" t="s">
        <v>20</v>
      </c>
      <c r="L166" s="48">
        <f>AVERAGE(L154:L163)</f>
        <v>244.99500000000003</v>
      </c>
      <c r="M166" s="47"/>
      <c r="N166" s="48">
        <f>_xlfn.STDEV.S(L154:L163) / AVERAGE(L154:L163) * 100%</f>
        <v>3.1114142489553028E-3</v>
      </c>
      <c r="O166" s="48">
        <f t="array" ref="O166">MIN((L154:L163 - MIN(D154:D163,L154:L163,T154:T163,AB154:AB163,AJ154:AJ163))/MIN(D154:D163,L154:L163,T154:T163,AB154:AB163,AJ154:AJ163)*100%)</f>
        <v>4.9814738575545822E-3</v>
      </c>
      <c r="P166" s="48">
        <f t="array" ref="P166">AVERAGE((L154:L163 - MIN(D154:D163,L154:L163,T154:T163,AB154:AB163,AJ154:AJ163))/MIN(D154:D163,L154:L163,T154:T163,AB154:AB163,AJ154:AJ163)*100%)</f>
        <v>8.6249485384931775E-3</v>
      </c>
      <c r="Q166" s="44"/>
      <c r="R166" s="51"/>
      <c r="S166" s="54" t="s">
        <v>20</v>
      </c>
      <c r="T166" s="48">
        <f>AVERAGE(T154:T163)</f>
        <v>246.09200000000004</v>
      </c>
      <c r="U166" s="47"/>
      <c r="V166" s="48">
        <f>_xlfn.STDEV.S(T154:T163) / AVERAGE(T154:T163) * 100%</f>
        <v>7.0092248775135277E-3</v>
      </c>
      <c r="W166" s="48">
        <f t="array" ref="W166">MIN((T154:T163 - MIN(D154:D163,L154:L163,T154:T163,AB154:AB163,AJ154:AJ163))/MIN(D154:D163,L154:L163,T154:T163,AB154:AB163,AJ154:AJ163)*100%)</f>
        <v>6.0930424042815552E-3</v>
      </c>
      <c r="X166" s="48">
        <f t="array" ref="X166">AVERAGE((T154:T163 - MIN(D154:D163,L154:L163,T154:T163,AB154:AB163,AJ154:AJ163))/MIN(D154:D163,L154:L163,T154:T163,AB154:AB163,AJ154:AJ163)*100%)</f>
        <v>1.3141210374639755E-2</v>
      </c>
      <c r="Y166" s="44"/>
      <c r="Z166" s="51"/>
      <c r="AA166" s="54" t="s">
        <v>20</v>
      </c>
      <c r="AB166" s="48">
        <f>AVERAGE(AB154:AB163)</f>
        <v>245.804</v>
      </c>
      <c r="AC166" s="47"/>
      <c r="AD166" s="48">
        <f>_xlfn.STDEV.S(AB154:AB163) / AVERAGE(AB154:AB163) * 100%</f>
        <v>5.2073374514028832E-3</v>
      </c>
      <c r="AE166" s="48">
        <f t="array" ref="AE166">MIN((AB154:AB163 - MIN(D154:D163,L154:L163,T154:T163,AB154:AB163,AJ154:AJ163))/MIN(D154:D163,L154:L163,T154:T163,AB154:AB163,AJ154:AJ163)*100%)</f>
        <v>6.0930424042815552E-3</v>
      </c>
      <c r="AF166" s="48">
        <f t="array" ref="AF166">AVERAGE((AB154:AB163 - MIN(D154:D163,L154:L163,T154:T163,AB154:AB163,AJ154:AJ163))/MIN(D154:D163,L154:L163,T154:T163,AB154:AB163,AJ154:AJ163)*100%)</f>
        <v>1.1955537258130878E-2</v>
      </c>
      <c r="AG166" s="44"/>
      <c r="AH166" s="51"/>
      <c r="AI166" s="54" t="s">
        <v>20</v>
      </c>
      <c r="AJ166" s="48">
        <f>AVERAGE(AJ154:AJ163)</f>
        <v>246.64299999999994</v>
      </c>
      <c r="AK166" s="47"/>
      <c r="AL166" s="48">
        <f>_xlfn.STDEV.S(AJ154:AJ163) / AVERAGE(AJ154:AJ163) * 100%</f>
        <v>3.2897974081213198E-3</v>
      </c>
      <c r="AM166" s="48">
        <f t="array" ref="AM166">MIN((AJ154:AJ163 - MIN(D154:D163,L154:L163,T154:T163,AB154:AB163,AJ154:AJ163))/MIN(D154:D163,L154:L163,T154:T163,AB154:AB163,AJ154:AJ163)*100%)</f>
        <v>1.0086455331412057E-2</v>
      </c>
      <c r="AN166" s="48">
        <f t="array" ref="AN166">AVERAGE((AJ154:AJ163 - MIN(D154:D163,L154:L163,T154:T163,AB154:AB163,AJ154:AJ163))/MIN(D154:D163,L154:L163,T154:T163,AB154:AB163,AJ154:AJ163)*100%)</f>
        <v>1.5409633594071614E-2</v>
      </c>
      <c r="AO166" s="44"/>
      <c r="AP166" s="51"/>
    </row>
    <row r="167" spans="1:42" ht="21" customHeight="1" thickTop="1" thickBot="1" x14ac:dyDescent="0.35">
      <c r="A167" s="63"/>
      <c r="B167" s="67"/>
      <c r="C167" s="53"/>
      <c r="D167" s="44"/>
      <c r="E167" s="44"/>
      <c r="F167" s="44"/>
      <c r="G167" s="44"/>
      <c r="H167" s="44"/>
      <c r="I167" s="44"/>
      <c r="J167" s="51"/>
      <c r="K167" s="53"/>
      <c r="L167" s="44"/>
      <c r="M167" s="44"/>
      <c r="N167" s="44"/>
      <c r="O167" s="44"/>
      <c r="P167" s="44"/>
      <c r="Q167" s="44"/>
      <c r="R167" s="51"/>
      <c r="S167" s="53"/>
      <c r="T167" s="44"/>
      <c r="U167" s="44"/>
      <c r="V167" s="44"/>
      <c r="W167" s="44"/>
      <c r="X167" s="44"/>
      <c r="Y167" s="44"/>
      <c r="Z167" s="51"/>
      <c r="AA167" s="53"/>
      <c r="AB167" s="44"/>
      <c r="AC167" s="44"/>
      <c r="AD167" s="44"/>
      <c r="AE167" s="44"/>
      <c r="AF167" s="44"/>
      <c r="AG167" s="44"/>
      <c r="AH167" s="51"/>
      <c r="AI167" s="53"/>
      <c r="AJ167" s="44"/>
      <c r="AK167" s="44"/>
      <c r="AL167" s="44"/>
      <c r="AM167" s="44"/>
      <c r="AN167" s="44"/>
      <c r="AO167" s="44"/>
      <c r="AP167" s="51"/>
    </row>
    <row r="168" spans="1:42" ht="21" customHeight="1" thickTop="1" thickBot="1" x14ac:dyDescent="0.35">
      <c r="A168" s="63"/>
      <c r="B168" s="65" t="s">
        <v>77</v>
      </c>
      <c r="C168" s="59" t="s">
        <v>8</v>
      </c>
      <c r="D168" s="46" t="s">
        <v>9</v>
      </c>
      <c r="E168" s="46" t="s">
        <v>10</v>
      </c>
      <c r="F168" s="46" t="s">
        <v>11</v>
      </c>
      <c r="G168" s="46" t="s">
        <v>12</v>
      </c>
      <c r="H168" s="46" t="s">
        <v>13</v>
      </c>
      <c r="I168" s="46" t="s">
        <v>14</v>
      </c>
      <c r="J168" s="60" t="s">
        <v>15</v>
      </c>
      <c r="K168" s="59" t="s">
        <v>8</v>
      </c>
      <c r="L168" s="46" t="s">
        <v>9</v>
      </c>
      <c r="M168" s="46" t="s">
        <v>10</v>
      </c>
      <c r="N168" s="46" t="s">
        <v>11</v>
      </c>
      <c r="O168" s="46" t="s">
        <v>12</v>
      </c>
      <c r="P168" s="46" t="s">
        <v>13</v>
      </c>
      <c r="Q168" s="46" t="s">
        <v>14</v>
      </c>
      <c r="R168" s="60" t="s">
        <v>15</v>
      </c>
      <c r="S168" s="59" t="s">
        <v>8</v>
      </c>
      <c r="T168" s="46" t="s">
        <v>9</v>
      </c>
      <c r="U168" s="46" t="s">
        <v>10</v>
      </c>
      <c r="V168" s="46" t="s">
        <v>11</v>
      </c>
      <c r="W168" s="46" t="s">
        <v>12</v>
      </c>
      <c r="X168" s="46" t="s">
        <v>13</v>
      </c>
      <c r="Y168" s="46" t="s">
        <v>14</v>
      </c>
      <c r="Z168" s="60" t="s">
        <v>15</v>
      </c>
      <c r="AA168" s="59" t="s">
        <v>8</v>
      </c>
      <c r="AB168" s="46" t="s">
        <v>9</v>
      </c>
      <c r="AC168" s="46" t="s">
        <v>10</v>
      </c>
      <c r="AD168" s="46" t="s">
        <v>11</v>
      </c>
      <c r="AE168" s="46" t="s">
        <v>12</v>
      </c>
      <c r="AF168" s="46" t="s">
        <v>13</v>
      </c>
      <c r="AG168" s="46" t="s">
        <v>14</v>
      </c>
      <c r="AH168" s="60" t="s">
        <v>15</v>
      </c>
      <c r="AI168" s="59" t="s">
        <v>8</v>
      </c>
      <c r="AJ168" s="46" t="s">
        <v>9</v>
      </c>
      <c r="AK168" s="46" t="s">
        <v>10</v>
      </c>
      <c r="AL168" s="46" t="s">
        <v>11</v>
      </c>
      <c r="AM168" s="46" t="s">
        <v>12</v>
      </c>
      <c r="AN168" s="46" t="s">
        <v>13</v>
      </c>
      <c r="AO168" s="46" t="s">
        <v>14</v>
      </c>
      <c r="AP168" s="60" t="s">
        <v>15</v>
      </c>
    </row>
    <row r="169" spans="1:42" ht="21" customHeight="1" thickTop="1" thickBot="1" x14ac:dyDescent="0.35">
      <c r="A169" s="63"/>
      <c r="B169" s="66"/>
      <c r="C169" s="52">
        <v>1</v>
      </c>
      <c r="D169" s="44">
        <v>275.60000000000002</v>
      </c>
      <c r="E169" s="44"/>
      <c r="F169" s="44"/>
      <c r="G169" s="44"/>
      <c r="H169" s="44"/>
      <c r="I169" s="44"/>
      <c r="J169" s="51"/>
      <c r="K169" s="52">
        <v>1</v>
      </c>
      <c r="L169" s="44">
        <v>274.83</v>
      </c>
      <c r="M169" s="44"/>
      <c r="N169" s="44"/>
      <c r="O169" s="44"/>
      <c r="P169" s="44"/>
      <c r="Q169" s="44"/>
      <c r="R169" s="51"/>
      <c r="S169" s="52">
        <v>1</v>
      </c>
      <c r="T169" s="44">
        <v>275.47000000000003</v>
      </c>
      <c r="U169" s="44"/>
      <c r="V169" s="44"/>
      <c r="W169" s="44"/>
      <c r="X169" s="44"/>
      <c r="Y169" s="44"/>
      <c r="Z169" s="51"/>
      <c r="AA169" s="52">
        <v>1</v>
      </c>
      <c r="AB169" s="44">
        <v>274.7</v>
      </c>
      <c r="AC169" s="44"/>
      <c r="AD169" s="44"/>
      <c r="AE169" s="44"/>
      <c r="AF169" s="44"/>
      <c r="AG169" s="44"/>
      <c r="AH169" s="51"/>
      <c r="AI169" s="52">
        <v>1</v>
      </c>
      <c r="AJ169" s="44">
        <v>274.99</v>
      </c>
      <c r="AK169" s="44"/>
      <c r="AL169" s="44"/>
      <c r="AM169" s="44"/>
      <c r="AN169" s="44"/>
      <c r="AO169" s="44"/>
      <c r="AP169" s="51"/>
    </row>
    <row r="170" spans="1:42" ht="21" customHeight="1" thickTop="1" thickBot="1" x14ac:dyDescent="0.35">
      <c r="A170" s="63"/>
      <c r="B170" s="66"/>
      <c r="C170" s="53">
        <v>2</v>
      </c>
      <c r="D170" s="45">
        <v>274.14</v>
      </c>
      <c r="E170" s="45"/>
      <c r="F170" s="45"/>
      <c r="G170" s="45"/>
      <c r="H170" s="45"/>
      <c r="I170" s="45"/>
      <c r="J170" s="51"/>
      <c r="K170" s="53">
        <v>2</v>
      </c>
      <c r="L170" s="45">
        <v>275.82999999999993</v>
      </c>
      <c r="M170" s="45"/>
      <c r="N170" s="45"/>
      <c r="O170" s="45"/>
      <c r="P170" s="45"/>
      <c r="Q170" s="45"/>
      <c r="R170" s="51"/>
      <c r="S170" s="53">
        <v>2</v>
      </c>
      <c r="T170" s="45">
        <v>274.39999999999998</v>
      </c>
      <c r="U170" s="45"/>
      <c r="V170" s="45"/>
      <c r="W170" s="45"/>
      <c r="X170" s="45"/>
      <c r="Y170" s="45"/>
      <c r="Z170" s="51"/>
      <c r="AA170" s="53">
        <v>2</v>
      </c>
      <c r="AB170" s="45">
        <v>275.58</v>
      </c>
      <c r="AC170" s="45"/>
      <c r="AD170" s="45"/>
      <c r="AE170" s="45"/>
      <c r="AF170" s="45"/>
      <c r="AG170" s="45"/>
      <c r="AH170" s="51"/>
      <c r="AI170" s="53">
        <v>2</v>
      </c>
      <c r="AJ170" s="45">
        <v>276.57999999999993</v>
      </c>
      <c r="AK170" s="45"/>
      <c r="AL170" s="45"/>
      <c r="AM170" s="45"/>
      <c r="AN170" s="45"/>
      <c r="AO170" s="45"/>
      <c r="AP170" s="51"/>
    </row>
    <row r="171" spans="1:42" ht="21" customHeight="1" thickTop="1" thickBot="1" x14ac:dyDescent="0.35">
      <c r="A171" s="63"/>
      <c r="B171" s="66"/>
      <c r="C171" s="53">
        <v>3</v>
      </c>
      <c r="D171" s="45">
        <v>273.47000000000003</v>
      </c>
      <c r="E171" s="45"/>
      <c r="F171" s="45"/>
      <c r="G171" s="44"/>
      <c r="H171" s="44"/>
      <c r="I171" s="44"/>
      <c r="J171" s="51"/>
      <c r="K171" s="53">
        <v>3</v>
      </c>
      <c r="L171" s="45">
        <v>275.18</v>
      </c>
      <c r="M171" s="45"/>
      <c r="N171" s="45"/>
      <c r="O171" s="44"/>
      <c r="P171" s="44"/>
      <c r="Q171" s="44"/>
      <c r="R171" s="51"/>
      <c r="S171" s="53">
        <v>3</v>
      </c>
      <c r="T171" s="45">
        <v>275.47000000000003</v>
      </c>
      <c r="U171" s="45"/>
      <c r="V171" s="45"/>
      <c r="W171" s="44"/>
      <c r="X171" s="44"/>
      <c r="Y171" s="44"/>
      <c r="Z171" s="51"/>
      <c r="AA171" s="53">
        <v>3</v>
      </c>
      <c r="AB171" s="45">
        <v>274.08</v>
      </c>
      <c r="AC171" s="45"/>
      <c r="AD171" s="45"/>
      <c r="AE171" s="44"/>
      <c r="AF171" s="44"/>
      <c r="AG171" s="44"/>
      <c r="AH171" s="51"/>
      <c r="AI171" s="53">
        <v>3</v>
      </c>
      <c r="AJ171" s="45">
        <v>273.39999999999992</v>
      </c>
      <c r="AK171" s="45"/>
      <c r="AL171" s="45"/>
      <c r="AM171" s="44"/>
      <c r="AN171" s="44"/>
      <c r="AO171" s="44"/>
      <c r="AP171" s="51"/>
    </row>
    <row r="172" spans="1:42" ht="21" customHeight="1" thickTop="1" thickBot="1" x14ac:dyDescent="0.35">
      <c r="A172" s="63"/>
      <c r="B172" s="66"/>
      <c r="C172" s="53">
        <v>4</v>
      </c>
      <c r="D172" s="45">
        <v>274.91000000000003</v>
      </c>
      <c r="E172" s="45"/>
      <c r="F172" s="45"/>
      <c r="G172" s="45"/>
      <c r="H172" s="45"/>
      <c r="I172" s="45"/>
      <c r="J172" s="51"/>
      <c r="K172" s="53">
        <v>4</v>
      </c>
      <c r="L172" s="45">
        <v>275.48</v>
      </c>
      <c r="M172" s="45"/>
      <c r="N172" s="45"/>
      <c r="O172" s="45"/>
      <c r="P172" s="45"/>
      <c r="Q172" s="45"/>
      <c r="R172" s="51"/>
      <c r="S172" s="53">
        <v>4</v>
      </c>
      <c r="T172" s="45">
        <v>275.07</v>
      </c>
      <c r="U172" s="45"/>
      <c r="V172" s="45"/>
      <c r="W172" s="45"/>
      <c r="X172" s="45"/>
      <c r="Y172" s="45"/>
      <c r="Z172" s="51"/>
      <c r="AA172" s="53">
        <v>4</v>
      </c>
      <c r="AB172" s="45">
        <v>274.66000000000003</v>
      </c>
      <c r="AC172" s="45"/>
      <c r="AD172" s="45"/>
      <c r="AE172" s="45"/>
      <c r="AF172" s="45"/>
      <c r="AG172" s="45"/>
      <c r="AH172" s="51"/>
      <c r="AI172" s="53">
        <v>4</v>
      </c>
      <c r="AJ172" s="45">
        <v>277.58</v>
      </c>
      <c r="AK172" s="45"/>
      <c r="AL172" s="45"/>
      <c r="AM172" s="45"/>
      <c r="AN172" s="45"/>
      <c r="AO172" s="45"/>
      <c r="AP172" s="51"/>
    </row>
    <row r="173" spans="1:42" ht="21" customHeight="1" thickTop="1" thickBot="1" x14ac:dyDescent="0.35">
      <c r="A173" s="63"/>
      <c r="B173" s="66"/>
      <c r="C173" s="53">
        <v>5</v>
      </c>
      <c r="D173" s="45">
        <v>275.67999999999989</v>
      </c>
      <c r="E173" s="45"/>
      <c r="F173" s="45"/>
      <c r="G173" s="45"/>
      <c r="H173" s="45"/>
      <c r="I173" s="45"/>
      <c r="J173" s="51"/>
      <c r="K173" s="53">
        <v>5</v>
      </c>
      <c r="L173" s="45">
        <v>275.18</v>
      </c>
      <c r="M173" s="45"/>
      <c r="N173" s="45"/>
      <c r="O173" s="45"/>
      <c r="P173" s="45"/>
      <c r="Q173" s="45"/>
      <c r="R173" s="51"/>
      <c r="S173" s="53">
        <v>5</v>
      </c>
      <c r="T173" s="45">
        <v>276.57</v>
      </c>
      <c r="U173" s="45"/>
      <c r="V173" s="45"/>
      <c r="W173" s="45"/>
      <c r="X173" s="45"/>
      <c r="Y173" s="45"/>
      <c r="Z173" s="51"/>
      <c r="AA173" s="53">
        <v>5</v>
      </c>
      <c r="AB173" s="45">
        <v>275.69</v>
      </c>
      <c r="AC173" s="45"/>
      <c r="AD173" s="45"/>
      <c r="AE173" s="45"/>
      <c r="AF173" s="45"/>
      <c r="AG173" s="45"/>
      <c r="AH173" s="51"/>
      <c r="AI173" s="53">
        <v>5</v>
      </c>
      <c r="AJ173" s="45">
        <v>274.77</v>
      </c>
      <c r="AK173" s="45"/>
      <c r="AL173" s="45"/>
      <c r="AM173" s="45"/>
      <c r="AN173" s="45"/>
      <c r="AO173" s="45"/>
      <c r="AP173" s="51"/>
    </row>
    <row r="174" spans="1:42" ht="21" customHeight="1" thickTop="1" thickBot="1" x14ac:dyDescent="0.35">
      <c r="A174" s="63"/>
      <c r="B174" s="66"/>
      <c r="C174" s="53">
        <v>6</v>
      </c>
      <c r="D174" s="45">
        <v>275.62999999999988</v>
      </c>
      <c r="E174" s="45"/>
      <c r="F174" s="45"/>
      <c r="G174" s="45"/>
      <c r="H174" s="45"/>
      <c r="I174" s="45"/>
      <c r="J174" s="51"/>
      <c r="K174" s="53">
        <v>6</v>
      </c>
      <c r="L174" s="45">
        <v>275.18</v>
      </c>
      <c r="M174" s="45"/>
      <c r="N174" s="45"/>
      <c r="O174" s="45"/>
      <c r="P174" s="45"/>
      <c r="Q174" s="45"/>
      <c r="R174" s="51"/>
      <c r="S174" s="53">
        <v>6</v>
      </c>
      <c r="T174" s="45">
        <v>274.64999999999998</v>
      </c>
      <c r="U174" s="45"/>
      <c r="V174" s="45"/>
      <c r="W174" s="45"/>
      <c r="X174" s="45"/>
      <c r="Y174" s="45"/>
      <c r="Z174" s="51"/>
      <c r="AA174" s="53">
        <v>6</v>
      </c>
      <c r="AB174" s="45">
        <v>275.24999999999989</v>
      </c>
      <c r="AC174" s="45"/>
      <c r="AD174" s="45"/>
      <c r="AE174" s="45"/>
      <c r="AF174" s="45"/>
      <c r="AG174" s="45"/>
      <c r="AH174" s="51"/>
      <c r="AI174" s="53">
        <v>6</v>
      </c>
      <c r="AJ174" s="45">
        <v>276.68</v>
      </c>
      <c r="AK174" s="45"/>
      <c r="AL174" s="45"/>
      <c r="AM174" s="45"/>
      <c r="AN174" s="45"/>
      <c r="AO174" s="45"/>
      <c r="AP174" s="51"/>
    </row>
    <row r="175" spans="1:42" ht="21" customHeight="1" thickTop="1" thickBot="1" x14ac:dyDescent="0.35">
      <c r="A175" s="63"/>
      <c r="B175" s="66"/>
      <c r="C175" s="53">
        <v>7</v>
      </c>
      <c r="D175" s="45">
        <v>273.60000000000002</v>
      </c>
      <c r="E175" s="45"/>
      <c r="F175" s="45"/>
      <c r="G175" s="45"/>
      <c r="H175" s="45"/>
      <c r="I175" s="45"/>
      <c r="J175" s="51"/>
      <c r="K175" s="53">
        <v>7</v>
      </c>
      <c r="L175" s="45">
        <v>276.22000000000003</v>
      </c>
      <c r="M175" s="45"/>
      <c r="N175" s="45"/>
      <c r="O175" s="45"/>
      <c r="P175" s="45"/>
      <c r="Q175" s="45"/>
      <c r="R175" s="51"/>
      <c r="S175" s="53">
        <v>7</v>
      </c>
      <c r="T175" s="45">
        <v>277.7</v>
      </c>
      <c r="U175" s="45"/>
      <c r="V175" s="45"/>
      <c r="W175" s="45"/>
      <c r="X175" s="45"/>
      <c r="Y175" s="45"/>
      <c r="Z175" s="51"/>
      <c r="AA175" s="53">
        <v>7</v>
      </c>
      <c r="AB175" s="45">
        <v>274.91000000000003</v>
      </c>
      <c r="AC175" s="45"/>
      <c r="AD175" s="45"/>
      <c r="AE175" s="45"/>
      <c r="AF175" s="45"/>
      <c r="AG175" s="45"/>
      <c r="AH175" s="51"/>
      <c r="AI175" s="53">
        <v>7</v>
      </c>
      <c r="AJ175" s="45">
        <v>275.36</v>
      </c>
      <c r="AK175" s="45"/>
      <c r="AL175" s="45"/>
      <c r="AM175" s="45"/>
      <c r="AN175" s="45"/>
      <c r="AO175" s="45"/>
      <c r="AP175" s="51"/>
    </row>
    <row r="176" spans="1:42" ht="21" customHeight="1" thickTop="1" thickBot="1" x14ac:dyDescent="0.35">
      <c r="A176" s="63"/>
      <c r="B176" s="66"/>
      <c r="C176" s="53">
        <v>8</v>
      </c>
      <c r="D176" s="45">
        <v>275.36999999999989</v>
      </c>
      <c r="E176" s="45"/>
      <c r="F176" s="45"/>
      <c r="G176" s="45"/>
      <c r="H176" s="45"/>
      <c r="I176" s="45"/>
      <c r="J176" s="51"/>
      <c r="K176" s="53">
        <v>8</v>
      </c>
      <c r="L176" s="45">
        <v>274.61</v>
      </c>
      <c r="M176" s="45"/>
      <c r="N176" s="45"/>
      <c r="O176" s="45"/>
      <c r="P176" s="45"/>
      <c r="Q176" s="45"/>
      <c r="R176" s="51"/>
      <c r="S176" s="53">
        <v>8</v>
      </c>
      <c r="T176" s="45">
        <v>276.87999999999988</v>
      </c>
      <c r="U176" s="45"/>
      <c r="V176" s="45"/>
      <c r="W176" s="45"/>
      <c r="X176" s="45"/>
      <c r="Y176" s="45"/>
      <c r="Z176" s="51"/>
      <c r="AA176" s="53">
        <v>8</v>
      </c>
      <c r="AB176" s="45">
        <v>274.99999999999989</v>
      </c>
      <c r="AC176" s="45"/>
      <c r="AD176" s="45"/>
      <c r="AE176" s="45"/>
      <c r="AF176" s="45"/>
      <c r="AG176" s="45"/>
      <c r="AH176" s="51"/>
      <c r="AI176" s="53">
        <v>8</v>
      </c>
      <c r="AJ176" s="45">
        <v>276.72000000000003</v>
      </c>
      <c r="AK176" s="45"/>
      <c r="AL176" s="45"/>
      <c r="AM176" s="45"/>
      <c r="AN176" s="45"/>
      <c r="AO176" s="45"/>
      <c r="AP176" s="51"/>
    </row>
    <row r="177" spans="1:42" ht="21" customHeight="1" thickTop="1" thickBot="1" x14ac:dyDescent="0.35">
      <c r="A177" s="63"/>
      <c r="B177" s="66"/>
      <c r="C177" s="53">
        <v>9</v>
      </c>
      <c r="D177" s="45">
        <v>275.37999999999988</v>
      </c>
      <c r="E177" s="45"/>
      <c r="F177" s="45"/>
      <c r="G177" s="45"/>
      <c r="H177" s="45"/>
      <c r="I177" s="45"/>
      <c r="J177" s="51"/>
      <c r="K177" s="53">
        <v>9</v>
      </c>
      <c r="L177" s="45">
        <v>275.18</v>
      </c>
      <c r="M177" s="45"/>
      <c r="N177" s="45"/>
      <c r="O177" s="45"/>
      <c r="P177" s="45"/>
      <c r="Q177" s="45"/>
      <c r="R177" s="51"/>
      <c r="S177" s="53">
        <v>9</v>
      </c>
      <c r="T177" s="45">
        <v>274.54000000000002</v>
      </c>
      <c r="U177" s="45"/>
      <c r="V177" s="45"/>
      <c r="W177" s="45"/>
      <c r="X177" s="45"/>
      <c r="Y177" s="45"/>
      <c r="Z177" s="51"/>
      <c r="AA177" s="53">
        <v>9</v>
      </c>
      <c r="AB177" s="45">
        <v>275.17</v>
      </c>
      <c r="AC177" s="45"/>
      <c r="AD177" s="45"/>
      <c r="AE177" s="45"/>
      <c r="AF177" s="45"/>
      <c r="AG177" s="45"/>
      <c r="AH177" s="51"/>
      <c r="AI177" s="53">
        <v>9</v>
      </c>
      <c r="AJ177" s="45">
        <v>275.92</v>
      </c>
      <c r="AK177" s="45"/>
      <c r="AL177" s="45"/>
      <c r="AM177" s="45"/>
      <c r="AN177" s="45"/>
      <c r="AO177" s="45"/>
      <c r="AP177" s="51"/>
    </row>
    <row r="178" spans="1:42" ht="21" customHeight="1" thickTop="1" thickBot="1" x14ac:dyDescent="0.35">
      <c r="A178" s="63"/>
      <c r="B178" s="66"/>
      <c r="C178" s="53">
        <v>10</v>
      </c>
      <c r="D178" s="45">
        <v>274.93</v>
      </c>
      <c r="E178" s="45"/>
      <c r="F178" s="45"/>
      <c r="G178" s="45"/>
      <c r="H178" s="45"/>
      <c r="I178" s="45"/>
      <c r="J178" s="51"/>
      <c r="K178" s="53">
        <v>10</v>
      </c>
      <c r="L178" s="45">
        <v>275.12999999999988</v>
      </c>
      <c r="M178" s="45"/>
      <c r="N178" s="45"/>
      <c r="O178" s="45"/>
      <c r="P178" s="45"/>
      <c r="Q178" s="45"/>
      <c r="R178" s="51"/>
      <c r="S178" s="53">
        <v>10</v>
      </c>
      <c r="T178" s="45">
        <v>274.89999999999998</v>
      </c>
      <c r="U178" s="45"/>
      <c r="V178" s="45"/>
      <c r="W178" s="45"/>
      <c r="X178" s="45"/>
      <c r="Y178" s="45"/>
      <c r="Z178" s="51"/>
      <c r="AA178" s="53">
        <v>10</v>
      </c>
      <c r="AB178" s="45">
        <v>274.60000000000002</v>
      </c>
      <c r="AC178" s="45"/>
      <c r="AD178" s="45"/>
      <c r="AE178" s="45"/>
      <c r="AF178" s="45"/>
      <c r="AG178" s="45"/>
      <c r="AH178" s="51"/>
      <c r="AI178" s="53">
        <v>10</v>
      </c>
      <c r="AJ178" s="45">
        <v>274.54000000000002</v>
      </c>
      <c r="AK178" s="45"/>
      <c r="AL178" s="45"/>
      <c r="AM178" s="45"/>
      <c r="AN178" s="45"/>
      <c r="AO178" s="45"/>
      <c r="AP178" s="51"/>
    </row>
    <row r="179" spans="1:42" ht="21" customHeight="1" thickTop="1" thickBot="1" x14ac:dyDescent="0.35">
      <c r="A179" s="63"/>
      <c r="B179" s="66"/>
      <c r="C179" s="53"/>
      <c r="D179" s="45"/>
      <c r="E179" s="45"/>
      <c r="F179" s="45"/>
      <c r="G179" s="45"/>
      <c r="H179" s="45"/>
      <c r="I179" s="45"/>
      <c r="J179" s="51"/>
      <c r="K179" s="53"/>
      <c r="L179" s="45"/>
      <c r="M179" s="45"/>
      <c r="N179" s="45"/>
      <c r="O179" s="45"/>
      <c r="P179" s="45"/>
      <c r="Q179" s="45"/>
      <c r="R179" s="51"/>
      <c r="S179" s="53"/>
      <c r="T179" s="45"/>
      <c r="U179" s="45"/>
      <c r="V179" s="45"/>
      <c r="W179" s="45"/>
      <c r="X179" s="45"/>
      <c r="Y179" s="45"/>
      <c r="Z179" s="51"/>
      <c r="AA179" s="53"/>
      <c r="AB179" s="45"/>
      <c r="AC179" s="45"/>
      <c r="AD179" s="45"/>
      <c r="AE179" s="45"/>
      <c r="AF179" s="45"/>
      <c r="AG179" s="45"/>
      <c r="AH179" s="51"/>
      <c r="AI179" s="53"/>
      <c r="AJ179" s="45"/>
      <c r="AK179" s="45"/>
      <c r="AL179" s="45"/>
      <c r="AM179" s="45"/>
      <c r="AN179" s="45"/>
      <c r="AO179" s="45"/>
      <c r="AP179" s="51"/>
    </row>
    <row r="180" spans="1:42" ht="21" customHeight="1" thickTop="1" thickBot="1" x14ac:dyDescent="0.35">
      <c r="A180" s="63"/>
      <c r="B180" s="66"/>
      <c r="C180" s="54" t="s">
        <v>16</v>
      </c>
      <c r="D180" s="49">
        <f>MIN(D169:D178)</f>
        <v>273.47000000000003</v>
      </c>
      <c r="E180" s="45"/>
      <c r="F180" s="55" t="s">
        <v>17</v>
      </c>
      <c r="G180" s="49" t="s">
        <v>18</v>
      </c>
      <c r="H180" s="49" t="s">
        <v>19</v>
      </c>
      <c r="I180" s="45"/>
      <c r="J180" s="51"/>
      <c r="K180" s="54" t="s">
        <v>16</v>
      </c>
      <c r="L180" s="49">
        <f>MIN(L169:L178)</f>
        <v>274.61</v>
      </c>
      <c r="M180" s="45"/>
      <c r="N180" s="55" t="s">
        <v>17</v>
      </c>
      <c r="O180" s="49" t="s">
        <v>18</v>
      </c>
      <c r="P180" s="49" t="s">
        <v>19</v>
      </c>
      <c r="Q180" s="45"/>
      <c r="R180" s="51"/>
      <c r="S180" s="54" t="s">
        <v>16</v>
      </c>
      <c r="T180" s="49">
        <f>MIN(T169:T178)</f>
        <v>274.39999999999998</v>
      </c>
      <c r="U180" s="45"/>
      <c r="V180" s="55" t="s">
        <v>17</v>
      </c>
      <c r="W180" s="49" t="s">
        <v>18</v>
      </c>
      <c r="X180" s="49" t="s">
        <v>19</v>
      </c>
      <c r="Y180" s="45"/>
      <c r="Z180" s="51"/>
      <c r="AA180" s="54" t="s">
        <v>16</v>
      </c>
      <c r="AB180" s="49">
        <f>MIN(AB169:AB178)</f>
        <v>274.08</v>
      </c>
      <c r="AC180" s="45"/>
      <c r="AD180" s="55" t="s">
        <v>17</v>
      </c>
      <c r="AE180" s="49" t="s">
        <v>18</v>
      </c>
      <c r="AF180" s="49" t="s">
        <v>19</v>
      </c>
      <c r="AG180" s="45"/>
      <c r="AH180" s="51"/>
      <c r="AI180" s="54" t="s">
        <v>16</v>
      </c>
      <c r="AJ180" s="49">
        <f>MIN(AJ169:AJ178)</f>
        <v>273.39999999999992</v>
      </c>
      <c r="AK180" s="45"/>
      <c r="AL180" s="55" t="s">
        <v>17</v>
      </c>
      <c r="AM180" s="49" t="s">
        <v>18</v>
      </c>
      <c r="AN180" s="49" t="s">
        <v>19</v>
      </c>
      <c r="AO180" s="45"/>
      <c r="AP180" s="51"/>
    </row>
    <row r="181" spans="1:42" ht="21" customHeight="1" thickTop="1" thickBot="1" x14ac:dyDescent="0.35">
      <c r="A181" s="63"/>
      <c r="B181" s="66"/>
      <c r="C181" s="54" t="s">
        <v>20</v>
      </c>
      <c r="D181" s="48">
        <f>AVERAGE(D169:D178)</f>
        <v>274.87099999999998</v>
      </c>
      <c r="E181" s="47"/>
      <c r="F181" s="48">
        <f>_xlfn.STDEV.S(D169:D178) / AVERAGE(D169:D178) * 100%</f>
        <v>3.064938316171723E-3</v>
      </c>
      <c r="G181" s="48">
        <f t="array" ref="G181">MIN((D169:D178 - MIN(D169:D178,L169:L178,T169:T178,AB169:AB178,AJ169:AJ178))/MIN(D169:D178,L169:L178,T169:T178,AB169:AB178,AJ169:AJ178)*100%)</f>
        <v>2.5603511338736975E-4</v>
      </c>
      <c r="H181" s="48">
        <f t="array" ref="H181">AVERAGE((D169:D178 - MIN(D169:D178,L169:L178,T169:T178,AB169:AB178,AJ169:AJ178))/MIN(D169:D178,L169:L178,T169:T178,AB169:AB178,AJ169:AJ178)*100%)</f>
        <v>5.3803950256036716E-3</v>
      </c>
      <c r="I181" s="45"/>
      <c r="J181" s="51"/>
      <c r="K181" s="54" t="s">
        <v>20</v>
      </c>
      <c r="L181" s="48">
        <f>AVERAGE(L169:L178)</f>
        <v>275.28199999999998</v>
      </c>
      <c r="M181" s="47"/>
      <c r="N181" s="48">
        <f>_xlfn.STDEV.S(L169:L178) / AVERAGE(L169:L178) * 100%</f>
        <v>1.6865426102217901E-3</v>
      </c>
      <c r="O181" s="48">
        <f t="array" ref="O181">MIN((L169:L178 - MIN(D169:D178,L169:L178,T169:T178,AB169:AB178,AJ169:AJ178))/MIN(D169:D178,L169:L178,T169:T178,AB169:AB178,AJ169:AJ178)*100%)</f>
        <v>4.4257498171181185E-3</v>
      </c>
      <c r="P181" s="48">
        <f t="array" ref="P181">AVERAGE((L169:L178 - MIN(D169:D178,L169:L178,T169:T178,AB169:AB178,AJ169:AJ178))/MIN(D169:D178,L169:L178,T169:T178,AB169:AB178,AJ169:AJ178)*100%)</f>
        <v>6.8836869056330225E-3</v>
      </c>
      <c r="Q181" s="44"/>
      <c r="R181" s="51"/>
      <c r="S181" s="54" t="s">
        <v>20</v>
      </c>
      <c r="T181" s="48">
        <f>AVERAGE(T169:T178)</f>
        <v>275.565</v>
      </c>
      <c r="U181" s="47"/>
      <c r="V181" s="48">
        <f>_xlfn.STDEV.S(T169:T178) / AVERAGE(T169:T178) * 100%</f>
        <v>4.0568546415043968E-3</v>
      </c>
      <c r="W181" s="48">
        <f t="array" ref="W181">MIN((T169:T178 - MIN(D169:D178,L169:L178,T169:T178,AB169:AB178,AJ169:AJ178))/MIN(D169:D178,L169:L178,T169:T178,AB169:AB178,AJ169:AJ178)*100%)</f>
        <v>3.6576444769570488E-3</v>
      </c>
      <c r="X181" s="48">
        <f t="array" ref="X181">AVERAGE((T169:T178 - MIN(D169:D178,L169:L178,T169:T178,AB169:AB178,AJ169:AJ178))/MIN(D169:D178,L169:L178,T169:T178,AB169:AB178,AJ169:AJ178)*100%)</f>
        <v>7.918800292611803E-3</v>
      </c>
      <c r="Y181" s="44"/>
      <c r="Z181" s="51"/>
      <c r="AA181" s="54" t="s">
        <v>20</v>
      </c>
      <c r="AB181" s="48">
        <f>AVERAGE(AB169:AB178)</f>
        <v>274.964</v>
      </c>
      <c r="AC181" s="47"/>
      <c r="AD181" s="48">
        <f>_xlfn.STDEV.S(AB169:AB178) / AVERAGE(AB169:AB178) * 100%</f>
        <v>1.7613722078718655E-3</v>
      </c>
      <c r="AE181" s="48">
        <f t="array" ref="AE181">MIN((AB169:AB178 - MIN(D169:D178,L169:L178,T169:T178,AB169:AB178,AJ169:AJ178))/MIN(D169:D178,L169:L178,T169:T178,AB169:AB178,AJ169:AJ178)*100%)</f>
        <v>2.4871982443308844E-3</v>
      </c>
      <c r="AF181" s="48">
        <f t="array" ref="AF181">AVERAGE((AB169:AB178 - MIN(D169:D178,L169:L178,T169:T178,AB169:AB178,AJ169:AJ178))/MIN(D169:D178,L169:L178,T169:T178,AB169:AB178,AJ169:AJ178)*100%)</f>
        <v>5.7205559619607233E-3</v>
      </c>
      <c r="AG181" s="44"/>
      <c r="AH181" s="51"/>
      <c r="AI181" s="54" t="s">
        <v>20</v>
      </c>
      <c r="AJ181" s="48">
        <f>AVERAGE(AJ169:AJ178)</f>
        <v>275.654</v>
      </c>
      <c r="AK181" s="47"/>
      <c r="AL181" s="48">
        <f>_xlfn.STDEV.S(AJ169:AJ178) / AVERAGE(AJ169:AJ178) * 100%</f>
        <v>4.5978430014934979E-3</v>
      </c>
      <c r="AM181" s="48">
        <f t="array" ref="AM181">MIN((AJ169:AJ178 - MIN(D169:D178,L169:L178,T169:T178,AB169:AB178,AJ169:AJ178))/MIN(D169:D178,L169:L178,T169:T178,AB169:AB178,AJ169:AJ178)*100%)</f>
        <v>0</v>
      </c>
      <c r="AN181" s="48">
        <f t="array" ref="AN181">AVERAGE((AJ169:AJ178 - MIN(D169:D178,L169:L178,T169:T178,AB169:AB178,AJ169:AJ178))/MIN(D169:D178,L169:L178,T169:T178,AB169:AB178,AJ169:AJ178)*100%)</f>
        <v>8.2443306510609753E-3</v>
      </c>
      <c r="AO181" s="44"/>
      <c r="AP181" s="51"/>
    </row>
    <row r="182" spans="1:42" ht="21" customHeight="1" thickTop="1" thickBot="1" x14ac:dyDescent="0.35">
      <c r="A182" s="63"/>
      <c r="B182" s="67"/>
      <c r="C182" s="53"/>
      <c r="D182" s="44"/>
      <c r="E182" s="44"/>
      <c r="F182" s="44"/>
      <c r="G182" s="44"/>
      <c r="H182" s="44"/>
      <c r="I182" s="44"/>
      <c r="J182" s="51"/>
      <c r="K182" s="53"/>
      <c r="L182" s="44"/>
      <c r="M182" s="44"/>
      <c r="N182" s="44"/>
      <c r="O182" s="44"/>
      <c r="P182" s="44"/>
      <c r="Q182" s="44"/>
      <c r="R182" s="51"/>
      <c r="S182" s="53"/>
      <c r="T182" s="44"/>
      <c r="U182" s="44"/>
      <c r="V182" s="44"/>
      <c r="W182" s="44"/>
      <c r="X182" s="44"/>
      <c r="Y182" s="44"/>
      <c r="Z182" s="51"/>
      <c r="AA182" s="53"/>
      <c r="AB182" s="44"/>
      <c r="AC182" s="44"/>
      <c r="AD182" s="44"/>
      <c r="AE182" s="44"/>
      <c r="AF182" s="44"/>
      <c r="AG182" s="44"/>
      <c r="AH182" s="51"/>
      <c r="AI182" s="53"/>
      <c r="AJ182" s="44"/>
      <c r="AK182" s="44"/>
      <c r="AL182" s="44"/>
      <c r="AM182" s="44"/>
      <c r="AN182" s="44"/>
      <c r="AO182" s="44"/>
      <c r="AP182" s="51"/>
    </row>
    <row r="183" spans="1:42" ht="21" customHeight="1" thickTop="1" thickBot="1" x14ac:dyDescent="0.35">
      <c r="A183" s="63"/>
      <c r="B183" s="65" t="s">
        <v>78</v>
      </c>
      <c r="C183" s="59" t="s">
        <v>8</v>
      </c>
      <c r="D183" s="46" t="s">
        <v>9</v>
      </c>
      <c r="E183" s="46" t="s">
        <v>10</v>
      </c>
      <c r="F183" s="46" t="s">
        <v>11</v>
      </c>
      <c r="G183" s="46" t="s">
        <v>12</v>
      </c>
      <c r="H183" s="46" t="s">
        <v>13</v>
      </c>
      <c r="I183" s="46" t="s">
        <v>14</v>
      </c>
      <c r="J183" s="60" t="s">
        <v>15</v>
      </c>
      <c r="K183" s="59" t="s">
        <v>8</v>
      </c>
      <c r="L183" s="46" t="s">
        <v>9</v>
      </c>
      <c r="M183" s="46" t="s">
        <v>10</v>
      </c>
      <c r="N183" s="46" t="s">
        <v>11</v>
      </c>
      <c r="O183" s="46" t="s">
        <v>12</v>
      </c>
      <c r="P183" s="46" t="s">
        <v>13</v>
      </c>
      <c r="Q183" s="46" t="s">
        <v>14</v>
      </c>
      <c r="R183" s="60" t="s">
        <v>15</v>
      </c>
      <c r="S183" s="59" t="s">
        <v>8</v>
      </c>
      <c r="T183" s="46" t="s">
        <v>9</v>
      </c>
      <c r="U183" s="46" t="s">
        <v>10</v>
      </c>
      <c r="V183" s="46" t="s">
        <v>11</v>
      </c>
      <c r="W183" s="46" t="s">
        <v>12</v>
      </c>
      <c r="X183" s="46" t="s">
        <v>13</v>
      </c>
      <c r="Y183" s="46" t="s">
        <v>14</v>
      </c>
      <c r="Z183" s="60" t="s">
        <v>15</v>
      </c>
      <c r="AA183" s="59" t="s">
        <v>8</v>
      </c>
      <c r="AB183" s="46" t="s">
        <v>9</v>
      </c>
      <c r="AC183" s="46" t="s">
        <v>10</v>
      </c>
      <c r="AD183" s="46" t="s">
        <v>11</v>
      </c>
      <c r="AE183" s="46" t="s">
        <v>12</v>
      </c>
      <c r="AF183" s="46" t="s">
        <v>13</v>
      </c>
      <c r="AG183" s="46" t="s">
        <v>14</v>
      </c>
      <c r="AH183" s="60" t="s">
        <v>15</v>
      </c>
      <c r="AI183" s="59" t="s">
        <v>8</v>
      </c>
      <c r="AJ183" s="46" t="s">
        <v>9</v>
      </c>
      <c r="AK183" s="46" t="s">
        <v>10</v>
      </c>
      <c r="AL183" s="46" t="s">
        <v>11</v>
      </c>
      <c r="AM183" s="46" t="s">
        <v>12</v>
      </c>
      <c r="AN183" s="46" t="s">
        <v>13</v>
      </c>
      <c r="AO183" s="46" t="s">
        <v>14</v>
      </c>
      <c r="AP183" s="60" t="s">
        <v>15</v>
      </c>
    </row>
    <row r="184" spans="1:42" ht="21" customHeight="1" thickTop="1" thickBot="1" x14ac:dyDescent="0.35">
      <c r="A184" s="63"/>
      <c r="B184" s="66"/>
      <c r="C184" s="52">
        <v>1</v>
      </c>
      <c r="D184" s="44">
        <v>284.74999999999989</v>
      </c>
      <c r="E184" s="44"/>
      <c r="F184" s="44"/>
      <c r="G184" s="44"/>
      <c r="H184" s="44"/>
      <c r="I184" s="44"/>
      <c r="J184" s="51"/>
      <c r="K184" s="52">
        <v>1</v>
      </c>
      <c r="L184" s="44">
        <v>282.55</v>
      </c>
      <c r="M184" s="44"/>
      <c r="N184" s="44"/>
      <c r="O184" s="44"/>
      <c r="P184" s="44"/>
      <c r="Q184" s="44"/>
      <c r="R184" s="51"/>
      <c r="S184" s="52">
        <v>1</v>
      </c>
      <c r="T184" s="44">
        <v>285.95999999999992</v>
      </c>
      <c r="U184" s="44"/>
      <c r="V184" s="44"/>
      <c r="W184" s="44"/>
      <c r="X184" s="44"/>
      <c r="Y184" s="44"/>
      <c r="Z184" s="51"/>
      <c r="AA184" s="52">
        <v>1</v>
      </c>
      <c r="AB184" s="44">
        <v>284.95999999999998</v>
      </c>
      <c r="AC184" s="44"/>
      <c r="AD184" s="44"/>
      <c r="AE184" s="44"/>
      <c r="AF184" s="44"/>
      <c r="AG184" s="44"/>
      <c r="AH184" s="51"/>
      <c r="AI184" s="52">
        <v>1</v>
      </c>
      <c r="AJ184" s="44">
        <v>283.61</v>
      </c>
      <c r="AK184" s="44"/>
      <c r="AL184" s="44"/>
      <c r="AM184" s="44"/>
      <c r="AN184" s="44"/>
      <c r="AO184" s="44"/>
      <c r="AP184" s="51"/>
    </row>
    <row r="185" spans="1:42" ht="21" customHeight="1" thickTop="1" thickBot="1" x14ac:dyDescent="0.35">
      <c r="A185" s="63"/>
      <c r="B185" s="66"/>
      <c r="C185" s="53">
        <v>2</v>
      </c>
      <c r="D185" s="45">
        <v>284.08</v>
      </c>
      <c r="E185" s="45"/>
      <c r="F185" s="45"/>
      <c r="G185" s="45"/>
      <c r="H185" s="45"/>
      <c r="I185" s="45"/>
      <c r="J185" s="51"/>
      <c r="K185" s="53">
        <v>2</v>
      </c>
      <c r="L185" s="45">
        <v>282.86999999999989</v>
      </c>
      <c r="M185" s="45"/>
      <c r="N185" s="45"/>
      <c r="O185" s="45"/>
      <c r="P185" s="45"/>
      <c r="Q185" s="45"/>
      <c r="R185" s="51"/>
      <c r="S185" s="53">
        <v>2</v>
      </c>
      <c r="T185" s="45">
        <v>283.24</v>
      </c>
      <c r="U185" s="45"/>
      <c r="V185" s="45"/>
      <c r="W185" s="45"/>
      <c r="X185" s="45"/>
      <c r="Y185" s="45"/>
      <c r="Z185" s="51"/>
      <c r="AA185" s="53">
        <v>2</v>
      </c>
      <c r="AB185" s="45">
        <v>284.98</v>
      </c>
      <c r="AC185" s="45"/>
      <c r="AD185" s="45"/>
      <c r="AE185" s="45"/>
      <c r="AF185" s="45"/>
      <c r="AG185" s="45"/>
      <c r="AH185" s="51"/>
      <c r="AI185" s="53">
        <v>2</v>
      </c>
      <c r="AJ185" s="45">
        <v>282.70999999999998</v>
      </c>
      <c r="AK185" s="45"/>
      <c r="AL185" s="45"/>
      <c r="AM185" s="45"/>
      <c r="AN185" s="45"/>
      <c r="AO185" s="45"/>
      <c r="AP185" s="51"/>
    </row>
    <row r="186" spans="1:42" ht="21" customHeight="1" thickTop="1" thickBot="1" x14ac:dyDescent="0.35">
      <c r="A186" s="63"/>
      <c r="B186" s="66"/>
      <c r="C186" s="53">
        <v>3</v>
      </c>
      <c r="D186" s="45">
        <v>284.66000000000003</v>
      </c>
      <c r="E186" s="45"/>
      <c r="F186" s="45"/>
      <c r="G186" s="44"/>
      <c r="H186" s="44"/>
      <c r="I186" s="44"/>
      <c r="J186" s="51"/>
      <c r="K186" s="53">
        <v>3</v>
      </c>
      <c r="L186" s="45">
        <v>284.86</v>
      </c>
      <c r="M186" s="45"/>
      <c r="N186" s="45"/>
      <c r="O186" s="44"/>
      <c r="P186" s="44"/>
      <c r="Q186" s="44"/>
      <c r="R186" s="51"/>
      <c r="S186" s="53">
        <v>3</v>
      </c>
      <c r="T186" s="45">
        <v>284.45999999999998</v>
      </c>
      <c r="U186" s="45"/>
      <c r="V186" s="45"/>
      <c r="W186" s="44"/>
      <c r="X186" s="44"/>
      <c r="Y186" s="44"/>
      <c r="Z186" s="51"/>
      <c r="AA186" s="53">
        <v>3</v>
      </c>
      <c r="AB186" s="45">
        <v>285.06999999999988</v>
      </c>
      <c r="AC186" s="45"/>
      <c r="AD186" s="45"/>
      <c r="AE186" s="44"/>
      <c r="AF186" s="44"/>
      <c r="AG186" s="44"/>
      <c r="AH186" s="51"/>
      <c r="AI186" s="53">
        <v>3</v>
      </c>
      <c r="AJ186" s="45">
        <v>282.72000000000003</v>
      </c>
      <c r="AK186" s="45"/>
      <c r="AL186" s="45"/>
      <c r="AM186" s="44"/>
      <c r="AN186" s="44"/>
      <c r="AO186" s="44"/>
      <c r="AP186" s="51"/>
    </row>
    <row r="187" spans="1:42" ht="21" customHeight="1" thickTop="1" thickBot="1" x14ac:dyDescent="0.35">
      <c r="A187" s="63"/>
      <c r="B187" s="66"/>
      <c r="C187" s="53">
        <v>4</v>
      </c>
      <c r="D187" s="45">
        <v>284.24</v>
      </c>
      <c r="E187" s="45"/>
      <c r="F187" s="45"/>
      <c r="G187" s="45"/>
      <c r="H187" s="45"/>
      <c r="I187" s="45"/>
      <c r="J187" s="51"/>
      <c r="K187" s="53">
        <v>4</v>
      </c>
      <c r="L187" s="45">
        <v>284.38</v>
      </c>
      <c r="M187" s="45"/>
      <c r="N187" s="45"/>
      <c r="O187" s="45"/>
      <c r="P187" s="45"/>
      <c r="Q187" s="45"/>
      <c r="R187" s="51"/>
      <c r="S187" s="53">
        <v>4</v>
      </c>
      <c r="T187" s="45">
        <v>284.2299999999999</v>
      </c>
      <c r="U187" s="45"/>
      <c r="V187" s="45"/>
      <c r="W187" s="45"/>
      <c r="X187" s="45"/>
      <c r="Y187" s="45"/>
      <c r="Z187" s="51"/>
      <c r="AA187" s="53">
        <v>4</v>
      </c>
      <c r="AB187" s="45">
        <v>283.54000000000002</v>
      </c>
      <c r="AC187" s="45"/>
      <c r="AD187" s="45"/>
      <c r="AE187" s="45"/>
      <c r="AF187" s="45"/>
      <c r="AG187" s="45"/>
      <c r="AH187" s="51"/>
      <c r="AI187" s="53">
        <v>4</v>
      </c>
      <c r="AJ187" s="45">
        <v>282.70999999999998</v>
      </c>
      <c r="AK187" s="45"/>
      <c r="AL187" s="45"/>
      <c r="AM187" s="45"/>
      <c r="AN187" s="45"/>
      <c r="AO187" s="45"/>
      <c r="AP187" s="51"/>
    </row>
    <row r="188" spans="1:42" ht="21" customHeight="1" thickTop="1" thickBot="1" x14ac:dyDescent="0.35">
      <c r="A188" s="63"/>
      <c r="B188" s="66"/>
      <c r="C188" s="53">
        <v>5</v>
      </c>
      <c r="D188" s="45">
        <v>284.17</v>
      </c>
      <c r="E188" s="45"/>
      <c r="F188" s="45"/>
      <c r="G188" s="45"/>
      <c r="H188" s="45"/>
      <c r="I188" s="45"/>
      <c r="J188" s="51"/>
      <c r="K188" s="53">
        <v>5</v>
      </c>
      <c r="L188" s="45">
        <v>284.49</v>
      </c>
      <c r="M188" s="45"/>
      <c r="N188" s="45"/>
      <c r="O188" s="45"/>
      <c r="P188" s="45"/>
      <c r="Q188" s="45"/>
      <c r="R188" s="51"/>
      <c r="S188" s="53">
        <v>5</v>
      </c>
      <c r="T188" s="45">
        <v>283.70999999999992</v>
      </c>
      <c r="U188" s="45"/>
      <c r="V188" s="45"/>
      <c r="W188" s="45"/>
      <c r="X188" s="45"/>
      <c r="Y188" s="45"/>
      <c r="Z188" s="51"/>
      <c r="AA188" s="53">
        <v>5</v>
      </c>
      <c r="AB188" s="45">
        <v>284.87999999999988</v>
      </c>
      <c r="AC188" s="45"/>
      <c r="AD188" s="45"/>
      <c r="AE188" s="45"/>
      <c r="AF188" s="45"/>
      <c r="AG188" s="45"/>
      <c r="AH188" s="51"/>
      <c r="AI188" s="53">
        <v>5</v>
      </c>
      <c r="AJ188" s="45">
        <v>283.89999999999998</v>
      </c>
      <c r="AK188" s="45"/>
      <c r="AL188" s="45"/>
      <c r="AM188" s="45"/>
      <c r="AN188" s="45"/>
      <c r="AO188" s="45"/>
      <c r="AP188" s="51"/>
    </row>
    <row r="189" spans="1:42" ht="21" customHeight="1" thickTop="1" thickBot="1" x14ac:dyDescent="0.35">
      <c r="A189" s="63"/>
      <c r="B189" s="66"/>
      <c r="C189" s="53">
        <v>6</v>
      </c>
      <c r="D189" s="45">
        <v>284.99999999999989</v>
      </c>
      <c r="E189" s="45"/>
      <c r="F189" s="45"/>
      <c r="G189" s="45"/>
      <c r="H189" s="45"/>
      <c r="I189" s="45"/>
      <c r="J189" s="51"/>
      <c r="K189" s="53">
        <v>6</v>
      </c>
      <c r="L189" s="45">
        <v>284.87</v>
      </c>
      <c r="M189" s="45"/>
      <c r="N189" s="45"/>
      <c r="O189" s="45"/>
      <c r="P189" s="45"/>
      <c r="Q189" s="45"/>
      <c r="R189" s="51"/>
      <c r="S189" s="53">
        <v>6</v>
      </c>
      <c r="T189" s="45">
        <v>283.29000000000002</v>
      </c>
      <c r="U189" s="45"/>
      <c r="V189" s="45"/>
      <c r="W189" s="45"/>
      <c r="X189" s="45"/>
      <c r="Y189" s="45"/>
      <c r="Z189" s="51"/>
      <c r="AA189" s="53">
        <v>6</v>
      </c>
      <c r="AB189" s="45">
        <v>284.81999999999988</v>
      </c>
      <c r="AC189" s="45"/>
      <c r="AD189" s="45"/>
      <c r="AE189" s="45"/>
      <c r="AF189" s="45"/>
      <c r="AG189" s="45"/>
      <c r="AH189" s="51"/>
      <c r="AI189" s="53">
        <v>6</v>
      </c>
      <c r="AJ189" s="45">
        <v>283.70999999999998</v>
      </c>
      <c r="AK189" s="45"/>
      <c r="AL189" s="45"/>
      <c r="AM189" s="45"/>
      <c r="AN189" s="45"/>
      <c r="AO189" s="45"/>
      <c r="AP189" s="51"/>
    </row>
    <row r="190" spans="1:42" ht="21" customHeight="1" thickTop="1" thickBot="1" x14ac:dyDescent="0.35">
      <c r="A190" s="63"/>
      <c r="B190" s="66"/>
      <c r="C190" s="53">
        <v>7</v>
      </c>
      <c r="D190" s="45">
        <v>284.80999999999989</v>
      </c>
      <c r="E190" s="45"/>
      <c r="F190" s="45"/>
      <c r="G190" s="45"/>
      <c r="H190" s="45"/>
      <c r="I190" s="45"/>
      <c r="J190" s="51"/>
      <c r="K190" s="53">
        <v>7</v>
      </c>
      <c r="L190" s="45">
        <v>282.86999999999989</v>
      </c>
      <c r="M190" s="45"/>
      <c r="N190" s="45"/>
      <c r="O190" s="45"/>
      <c r="P190" s="45"/>
      <c r="Q190" s="45"/>
      <c r="R190" s="51"/>
      <c r="S190" s="53">
        <v>7</v>
      </c>
      <c r="T190" s="45">
        <v>285.43</v>
      </c>
      <c r="U190" s="45"/>
      <c r="V190" s="45"/>
      <c r="W190" s="45"/>
      <c r="X190" s="45"/>
      <c r="Y190" s="45"/>
      <c r="Z190" s="51"/>
      <c r="AA190" s="53">
        <v>7</v>
      </c>
      <c r="AB190" s="45">
        <v>285.05</v>
      </c>
      <c r="AC190" s="45"/>
      <c r="AD190" s="45"/>
      <c r="AE190" s="45"/>
      <c r="AF190" s="45"/>
      <c r="AG190" s="45"/>
      <c r="AH190" s="51"/>
      <c r="AI190" s="53">
        <v>7</v>
      </c>
      <c r="AJ190" s="45">
        <v>282.80999999999989</v>
      </c>
      <c r="AK190" s="45"/>
      <c r="AL190" s="45"/>
      <c r="AM190" s="45"/>
      <c r="AN190" s="45"/>
      <c r="AO190" s="45"/>
      <c r="AP190" s="51"/>
    </row>
    <row r="191" spans="1:42" ht="21" customHeight="1" thickTop="1" thickBot="1" x14ac:dyDescent="0.35">
      <c r="A191" s="63"/>
      <c r="B191" s="66"/>
      <c r="C191" s="53">
        <v>8</v>
      </c>
      <c r="D191" s="45">
        <v>284.61</v>
      </c>
      <c r="E191" s="45"/>
      <c r="F191" s="45"/>
      <c r="G191" s="45"/>
      <c r="H191" s="45"/>
      <c r="I191" s="45"/>
      <c r="J191" s="51"/>
      <c r="K191" s="53">
        <v>8</v>
      </c>
      <c r="L191" s="45">
        <v>284.52999999999997</v>
      </c>
      <c r="M191" s="45"/>
      <c r="N191" s="45"/>
      <c r="O191" s="45"/>
      <c r="P191" s="45"/>
      <c r="Q191" s="45"/>
      <c r="R191" s="51"/>
      <c r="S191" s="53">
        <v>8</v>
      </c>
      <c r="T191" s="45">
        <v>285.83999999999997</v>
      </c>
      <c r="U191" s="45"/>
      <c r="V191" s="45"/>
      <c r="W191" s="45"/>
      <c r="X191" s="45"/>
      <c r="Y191" s="45"/>
      <c r="Z191" s="51"/>
      <c r="AA191" s="53">
        <v>8</v>
      </c>
      <c r="AB191" s="45">
        <v>284.54000000000002</v>
      </c>
      <c r="AC191" s="45"/>
      <c r="AD191" s="45"/>
      <c r="AE191" s="45"/>
      <c r="AF191" s="45"/>
      <c r="AG191" s="45"/>
      <c r="AH191" s="51"/>
      <c r="AI191" s="53">
        <v>8</v>
      </c>
      <c r="AJ191" s="45">
        <v>282.86</v>
      </c>
      <c r="AK191" s="45"/>
      <c r="AL191" s="45"/>
      <c r="AM191" s="45"/>
      <c r="AN191" s="45"/>
      <c r="AO191" s="45"/>
      <c r="AP191" s="51"/>
    </row>
    <row r="192" spans="1:42" ht="21" customHeight="1" thickTop="1" thickBot="1" x14ac:dyDescent="0.35">
      <c r="A192" s="63"/>
      <c r="B192" s="66"/>
      <c r="C192" s="53">
        <v>9</v>
      </c>
      <c r="D192" s="45">
        <v>284.93999999999988</v>
      </c>
      <c r="E192" s="45"/>
      <c r="F192" s="45"/>
      <c r="G192" s="45"/>
      <c r="H192" s="45"/>
      <c r="I192" s="45"/>
      <c r="J192" s="51"/>
      <c r="K192" s="53">
        <v>9</v>
      </c>
      <c r="L192" s="45">
        <v>284.35000000000002</v>
      </c>
      <c r="M192" s="45"/>
      <c r="N192" s="45"/>
      <c r="O192" s="45"/>
      <c r="P192" s="45"/>
      <c r="Q192" s="45"/>
      <c r="R192" s="51"/>
      <c r="S192" s="53">
        <v>9</v>
      </c>
      <c r="T192" s="45">
        <v>283.29000000000002</v>
      </c>
      <c r="U192" s="45"/>
      <c r="V192" s="45"/>
      <c r="W192" s="45"/>
      <c r="X192" s="45"/>
      <c r="Y192" s="45"/>
      <c r="Z192" s="51"/>
      <c r="AA192" s="53">
        <v>9</v>
      </c>
      <c r="AB192" s="45">
        <v>285.19</v>
      </c>
      <c r="AC192" s="45"/>
      <c r="AD192" s="45"/>
      <c r="AE192" s="45"/>
      <c r="AF192" s="45"/>
      <c r="AG192" s="45"/>
      <c r="AH192" s="51"/>
      <c r="AI192" s="53">
        <v>9</v>
      </c>
      <c r="AJ192" s="45">
        <v>282.70999999999998</v>
      </c>
      <c r="AK192" s="45"/>
      <c r="AL192" s="45"/>
      <c r="AM192" s="45"/>
      <c r="AN192" s="45"/>
      <c r="AO192" s="45"/>
      <c r="AP192" s="51"/>
    </row>
    <row r="193" spans="1:42" ht="21" customHeight="1" thickTop="1" thickBot="1" x14ac:dyDescent="0.35">
      <c r="A193" s="63"/>
      <c r="B193" s="66"/>
      <c r="C193" s="53">
        <v>10</v>
      </c>
      <c r="D193" s="45">
        <v>285.27999999999997</v>
      </c>
      <c r="E193" s="45"/>
      <c r="F193" s="45"/>
      <c r="G193" s="45"/>
      <c r="H193" s="45"/>
      <c r="I193" s="45"/>
      <c r="J193" s="51"/>
      <c r="K193" s="53">
        <v>10</v>
      </c>
      <c r="L193" s="45">
        <v>284.35000000000002</v>
      </c>
      <c r="M193" s="45"/>
      <c r="N193" s="45"/>
      <c r="O193" s="45"/>
      <c r="P193" s="45"/>
      <c r="Q193" s="45"/>
      <c r="R193" s="51"/>
      <c r="S193" s="53">
        <v>10</v>
      </c>
      <c r="T193" s="45">
        <v>284.92</v>
      </c>
      <c r="U193" s="45"/>
      <c r="V193" s="45"/>
      <c r="W193" s="45"/>
      <c r="X193" s="45"/>
      <c r="Y193" s="45"/>
      <c r="Z193" s="51"/>
      <c r="AA193" s="53">
        <v>10</v>
      </c>
      <c r="AB193" s="45">
        <v>284.87999999999988</v>
      </c>
      <c r="AC193" s="45"/>
      <c r="AD193" s="45"/>
      <c r="AE193" s="45"/>
      <c r="AF193" s="45"/>
      <c r="AG193" s="45"/>
      <c r="AH193" s="51"/>
      <c r="AI193" s="53">
        <v>10</v>
      </c>
      <c r="AJ193" s="45">
        <v>283.56</v>
      </c>
      <c r="AK193" s="45"/>
      <c r="AL193" s="45"/>
      <c r="AM193" s="45"/>
      <c r="AN193" s="45"/>
      <c r="AO193" s="45"/>
      <c r="AP193" s="51"/>
    </row>
    <row r="194" spans="1:42" ht="21" customHeight="1" thickTop="1" thickBot="1" x14ac:dyDescent="0.35">
      <c r="A194" s="63"/>
      <c r="B194" s="66"/>
      <c r="C194" s="53"/>
      <c r="D194" s="45"/>
      <c r="E194" s="45"/>
      <c r="F194" s="45"/>
      <c r="G194" s="45"/>
      <c r="H194" s="45"/>
      <c r="I194" s="45"/>
      <c r="J194" s="51"/>
      <c r="K194" s="53"/>
      <c r="L194" s="45"/>
      <c r="M194" s="45"/>
      <c r="N194" s="45"/>
      <c r="O194" s="45"/>
      <c r="P194" s="45"/>
      <c r="Q194" s="45"/>
      <c r="R194" s="51"/>
      <c r="S194" s="53"/>
      <c r="T194" s="45"/>
      <c r="U194" s="45"/>
      <c r="V194" s="45"/>
      <c r="W194" s="45"/>
      <c r="X194" s="45"/>
      <c r="Y194" s="45"/>
      <c r="Z194" s="51"/>
      <c r="AA194" s="53"/>
      <c r="AB194" s="45"/>
      <c r="AC194" s="45"/>
      <c r="AD194" s="45"/>
      <c r="AE194" s="45"/>
      <c r="AF194" s="45"/>
      <c r="AG194" s="45"/>
      <c r="AH194" s="51"/>
      <c r="AI194" s="53"/>
      <c r="AJ194" s="45"/>
      <c r="AK194" s="45"/>
      <c r="AL194" s="45"/>
      <c r="AM194" s="45"/>
      <c r="AN194" s="45"/>
      <c r="AO194" s="45"/>
      <c r="AP194" s="51"/>
    </row>
    <row r="195" spans="1:42" ht="21" customHeight="1" thickTop="1" thickBot="1" x14ac:dyDescent="0.35">
      <c r="A195" s="63"/>
      <c r="B195" s="66"/>
      <c r="C195" s="54" t="s">
        <v>16</v>
      </c>
      <c r="D195" s="49">
        <f>MIN(D184:D193)</f>
        <v>284.08</v>
      </c>
      <c r="E195" s="45"/>
      <c r="F195" s="55" t="s">
        <v>17</v>
      </c>
      <c r="G195" s="49" t="s">
        <v>18</v>
      </c>
      <c r="H195" s="49" t="s">
        <v>19</v>
      </c>
      <c r="I195" s="45"/>
      <c r="J195" s="51"/>
      <c r="K195" s="54" t="s">
        <v>16</v>
      </c>
      <c r="L195" s="49">
        <f>MIN(L184:L193)</f>
        <v>282.55</v>
      </c>
      <c r="M195" s="45"/>
      <c r="N195" s="55" t="s">
        <v>17</v>
      </c>
      <c r="O195" s="49" t="s">
        <v>18</v>
      </c>
      <c r="P195" s="49" t="s">
        <v>19</v>
      </c>
      <c r="Q195" s="45"/>
      <c r="R195" s="51"/>
      <c r="S195" s="54" t="s">
        <v>16</v>
      </c>
      <c r="T195" s="49">
        <f>MIN(T184:T193)</f>
        <v>283.24</v>
      </c>
      <c r="U195" s="45"/>
      <c r="V195" s="55" t="s">
        <v>17</v>
      </c>
      <c r="W195" s="49" t="s">
        <v>18</v>
      </c>
      <c r="X195" s="49" t="s">
        <v>19</v>
      </c>
      <c r="Y195" s="45"/>
      <c r="Z195" s="51"/>
      <c r="AA195" s="54" t="s">
        <v>16</v>
      </c>
      <c r="AB195" s="49">
        <f>MIN(AB184:AB193)</f>
        <v>283.54000000000002</v>
      </c>
      <c r="AC195" s="45"/>
      <c r="AD195" s="55" t="s">
        <v>17</v>
      </c>
      <c r="AE195" s="49" t="s">
        <v>18</v>
      </c>
      <c r="AF195" s="49" t="s">
        <v>19</v>
      </c>
      <c r="AG195" s="45"/>
      <c r="AH195" s="51"/>
      <c r="AI195" s="54" t="s">
        <v>16</v>
      </c>
      <c r="AJ195" s="49">
        <f>MIN(AJ184:AJ193)</f>
        <v>282.70999999999998</v>
      </c>
      <c r="AK195" s="45"/>
      <c r="AL195" s="55" t="s">
        <v>17</v>
      </c>
      <c r="AM195" s="49" t="s">
        <v>18</v>
      </c>
      <c r="AN195" s="49" t="s">
        <v>19</v>
      </c>
      <c r="AO195" s="45"/>
      <c r="AP195" s="51"/>
    </row>
    <row r="196" spans="1:42" ht="21" customHeight="1" thickTop="1" thickBot="1" x14ac:dyDescent="0.35">
      <c r="A196" s="63"/>
      <c r="B196" s="66"/>
      <c r="C196" s="54" t="s">
        <v>20</v>
      </c>
      <c r="D196" s="48">
        <f>AVERAGE(D184:D193)</f>
        <v>284.654</v>
      </c>
      <c r="E196" s="47"/>
      <c r="F196" s="48">
        <f>_xlfn.STDEV.S(D184:D193) / AVERAGE(D184:D193) * 100%</f>
        <v>1.3676501181791422E-3</v>
      </c>
      <c r="G196" s="48">
        <f t="array" ref="G196">MIN((D184:D193 - MIN(D184:D193,L184:L193,T184:T193,AB184:AB193,AJ184:AJ193))/MIN(D184:D193,L184:L193,T184:T193,AB184:AB193,AJ184:AJ193)*100%)</f>
        <v>5.414970801627934E-3</v>
      </c>
      <c r="H196" s="48">
        <f t="array" ref="H196">AVERAGE((D184:D193 - MIN(D184:D193,L184:L193,T184:T193,AB184:AB193,AJ184:AJ193))/MIN(D184:D193,L184:L193,T184:T193,AB184:AB193,AJ184:AJ193)*100%)</f>
        <v>7.4464696513889417E-3</v>
      </c>
      <c r="I196" s="45"/>
      <c r="J196" s="51"/>
      <c r="K196" s="54" t="s">
        <v>20</v>
      </c>
      <c r="L196" s="48">
        <f>AVERAGE(L184:L193)</f>
        <v>284.012</v>
      </c>
      <c r="M196" s="47"/>
      <c r="N196" s="48">
        <f>_xlfn.STDEV.S(L184:L193) / AVERAGE(L184:L193) * 100%</f>
        <v>3.1188790413175563E-3</v>
      </c>
      <c r="O196" s="48">
        <f t="array" ref="O196">MIN((L184:L193 - MIN(D184:D193,L184:L193,T184:T193,AB184:AB193,AJ184:AJ193))/MIN(D184:D193,L184:L193,T184:T193,AB184:AB193,AJ184:AJ193)*100%)</f>
        <v>0</v>
      </c>
      <c r="P196" s="48">
        <f t="array" ref="P196">AVERAGE((L184:L193 - MIN(D184:D193,L184:L193,T184:T193,AB184:AB193,AJ184:AJ193))/MIN(D184:D193,L184:L193,T184:T193,AB184:AB193,AJ184:AJ193)*100%)</f>
        <v>5.174305432666686E-3</v>
      </c>
      <c r="Q196" s="44"/>
      <c r="R196" s="51"/>
      <c r="S196" s="54" t="s">
        <v>20</v>
      </c>
      <c r="T196" s="48">
        <f>AVERAGE(T184:T193)</f>
        <v>284.43700000000001</v>
      </c>
      <c r="U196" s="47"/>
      <c r="V196" s="48">
        <f>_xlfn.STDEV.S(T184:T193) / AVERAGE(T184:T193) * 100%</f>
        <v>3.7323328251418742E-3</v>
      </c>
      <c r="W196" s="48">
        <f t="array" ref="W196">MIN((T184:T193 - MIN(D184:D193,L184:L193,T184:T193,AB184:AB193,AJ184:AJ193))/MIN(D184:D193,L184:L193,T184:T193,AB184:AB193,AJ184:AJ193)*100%)</f>
        <v>2.4420456556361624E-3</v>
      </c>
      <c r="X196" s="48">
        <f t="array" ref="X196">AVERAGE((T184:T193 - MIN(D184:D193,L184:L193,T184:T193,AB184:AB193,AJ184:AJ193))/MIN(D184:D193,L184:L193,T184:T193,AB184:AB193,AJ184:AJ193)*100%)</f>
        <v>6.6784639886744504E-3</v>
      </c>
      <c r="Y196" s="44"/>
      <c r="Z196" s="51"/>
      <c r="AA196" s="54" t="s">
        <v>20</v>
      </c>
      <c r="AB196" s="48">
        <f>AVERAGE(AB184:AB193)</f>
        <v>284.791</v>
      </c>
      <c r="AC196" s="47"/>
      <c r="AD196" s="48">
        <f>_xlfn.STDEV.S(AB184:AB193) / AVERAGE(AB184:AB193) * 100%</f>
        <v>1.6606728306589372E-3</v>
      </c>
      <c r="AE196" s="48">
        <f t="array" ref="AE196">MIN((AB184:AB193 - MIN(D184:D193,L184:L193,T184:T193,AB184:AB193,AJ184:AJ193))/MIN(D184:D193,L184:L193,T184:T193,AB184:AB193,AJ184:AJ193)*100%)</f>
        <v>3.5038046363475811E-3</v>
      </c>
      <c r="AF196" s="48">
        <f t="array" ref="AF196">AVERAGE((AB184:AB193 - MIN(D184:D193,L184:L193,T184:T193,AB184:AB193,AJ184:AJ193))/MIN(D184:D193,L184:L193,T184:T193,AB184:AB193,AJ184:AJ193)*100%)</f>
        <v>7.9313395859138044E-3</v>
      </c>
      <c r="AG196" s="44"/>
      <c r="AH196" s="51"/>
      <c r="AI196" s="54" t="s">
        <v>20</v>
      </c>
      <c r="AJ196" s="48">
        <f>AVERAGE(AJ184:AJ193)</f>
        <v>283.13</v>
      </c>
      <c r="AK196" s="47"/>
      <c r="AL196" s="48">
        <f>_xlfn.STDEV.S(AJ184:AJ193) / AVERAGE(AJ184:AJ193) * 100%</f>
        <v>1.7530539889035266E-3</v>
      </c>
      <c r="AM196" s="48">
        <f t="array" ref="AM196">MIN((AJ184:AJ193 - MIN(D184:D193,L184:L193,T184:T193,AB184:AB193,AJ184:AJ193))/MIN(D184:D193,L184:L193,T184:T193,AB184:AB193,AJ184:AJ193)*100%)</f>
        <v>5.662714563792892E-4</v>
      </c>
      <c r="AN196" s="48">
        <f t="array" ref="AN196">AVERAGE((AJ184:AJ193 - MIN(D184:D193,L184:L193,T184:T193,AB184:AB193,AJ184:AJ193))/MIN(D184:D193,L184:L193,T184:T193,AB184:AB193,AJ184:AJ193)*100%)</f>
        <v>2.052734029375235E-3</v>
      </c>
      <c r="AO196" s="44"/>
      <c r="AP196" s="51"/>
    </row>
    <row r="197" spans="1:42" ht="21" customHeight="1" thickTop="1" thickBot="1" x14ac:dyDescent="0.35">
      <c r="A197" s="63"/>
      <c r="B197" s="67"/>
      <c r="C197" s="53"/>
      <c r="D197" s="44"/>
      <c r="E197" s="44"/>
      <c r="F197" s="44"/>
      <c r="G197" s="44"/>
      <c r="H197" s="44"/>
      <c r="I197" s="44"/>
      <c r="J197" s="51"/>
      <c r="K197" s="53"/>
      <c r="L197" s="44"/>
      <c r="M197" s="44"/>
      <c r="N197" s="44"/>
      <c r="O197" s="44"/>
      <c r="P197" s="44"/>
      <c r="Q197" s="44"/>
      <c r="R197" s="51"/>
      <c r="S197" s="53"/>
      <c r="T197" s="44"/>
      <c r="U197" s="44"/>
      <c r="V197" s="44"/>
      <c r="W197" s="44"/>
      <c r="X197" s="44"/>
      <c r="Y197" s="44"/>
      <c r="Z197" s="51"/>
      <c r="AA197" s="53"/>
      <c r="AB197" s="44"/>
      <c r="AC197" s="44"/>
      <c r="AD197" s="44"/>
      <c r="AE197" s="44"/>
      <c r="AF197" s="44"/>
      <c r="AG197" s="44"/>
      <c r="AH197" s="51"/>
      <c r="AI197" s="53"/>
      <c r="AJ197" s="44"/>
      <c r="AK197" s="44"/>
      <c r="AL197" s="44"/>
      <c r="AM197" s="44"/>
      <c r="AN197" s="44"/>
      <c r="AO197" s="44"/>
      <c r="AP197" s="51"/>
    </row>
    <row r="198" spans="1:42" ht="21" customHeight="1" thickTop="1" thickBot="1" x14ac:dyDescent="0.35">
      <c r="A198" s="63"/>
      <c r="B198" s="65" t="s">
        <v>79</v>
      </c>
      <c r="C198" s="59" t="s">
        <v>8</v>
      </c>
      <c r="D198" s="46" t="s">
        <v>9</v>
      </c>
      <c r="E198" s="46" t="s">
        <v>10</v>
      </c>
      <c r="F198" s="46" t="s">
        <v>11</v>
      </c>
      <c r="G198" s="46" t="s">
        <v>12</v>
      </c>
      <c r="H198" s="46" t="s">
        <v>13</v>
      </c>
      <c r="I198" s="46" t="s">
        <v>14</v>
      </c>
      <c r="J198" s="60" t="s">
        <v>15</v>
      </c>
      <c r="K198" s="59" t="s">
        <v>8</v>
      </c>
      <c r="L198" s="46" t="s">
        <v>9</v>
      </c>
      <c r="M198" s="46" t="s">
        <v>10</v>
      </c>
      <c r="N198" s="46" t="s">
        <v>11</v>
      </c>
      <c r="O198" s="46" t="s">
        <v>12</v>
      </c>
      <c r="P198" s="46" t="s">
        <v>13</v>
      </c>
      <c r="Q198" s="46" t="s">
        <v>14</v>
      </c>
      <c r="R198" s="60" t="s">
        <v>15</v>
      </c>
      <c r="S198" s="59" t="s">
        <v>8</v>
      </c>
      <c r="T198" s="46" t="s">
        <v>9</v>
      </c>
      <c r="U198" s="46" t="s">
        <v>10</v>
      </c>
      <c r="V198" s="46" t="s">
        <v>11</v>
      </c>
      <c r="W198" s="46" t="s">
        <v>12</v>
      </c>
      <c r="X198" s="46" t="s">
        <v>13</v>
      </c>
      <c r="Y198" s="46" t="s">
        <v>14</v>
      </c>
      <c r="Z198" s="60" t="s">
        <v>15</v>
      </c>
      <c r="AA198" s="59" t="s">
        <v>8</v>
      </c>
      <c r="AB198" s="46" t="s">
        <v>9</v>
      </c>
      <c r="AC198" s="46" t="s">
        <v>10</v>
      </c>
      <c r="AD198" s="46" t="s">
        <v>11</v>
      </c>
      <c r="AE198" s="46" t="s">
        <v>12</v>
      </c>
      <c r="AF198" s="46" t="s">
        <v>13</v>
      </c>
      <c r="AG198" s="46" t="s">
        <v>14</v>
      </c>
      <c r="AH198" s="60" t="s">
        <v>15</v>
      </c>
      <c r="AI198" s="59" t="s">
        <v>8</v>
      </c>
      <c r="AJ198" s="46" t="s">
        <v>9</v>
      </c>
      <c r="AK198" s="46" t="s">
        <v>10</v>
      </c>
      <c r="AL198" s="46" t="s">
        <v>11</v>
      </c>
      <c r="AM198" s="46" t="s">
        <v>12</v>
      </c>
      <c r="AN198" s="46" t="s">
        <v>13</v>
      </c>
      <c r="AO198" s="46" t="s">
        <v>14</v>
      </c>
      <c r="AP198" s="60" t="s">
        <v>15</v>
      </c>
    </row>
    <row r="199" spans="1:42" ht="21" customHeight="1" thickTop="1" thickBot="1" x14ac:dyDescent="0.35">
      <c r="A199" s="63"/>
      <c r="B199" s="66"/>
      <c r="C199" s="52">
        <v>1</v>
      </c>
      <c r="D199" s="44">
        <v>288.81</v>
      </c>
      <c r="E199" s="44"/>
      <c r="F199" s="44"/>
      <c r="G199" s="44"/>
      <c r="H199" s="44"/>
      <c r="I199" s="44"/>
      <c r="J199" s="51"/>
      <c r="K199" s="52">
        <v>1</v>
      </c>
      <c r="L199" s="44">
        <v>289.18</v>
      </c>
      <c r="M199" s="44"/>
      <c r="N199" s="44"/>
      <c r="O199" s="44"/>
      <c r="P199" s="44"/>
      <c r="Q199" s="44"/>
      <c r="R199" s="51"/>
      <c r="S199" s="52">
        <v>1</v>
      </c>
      <c r="T199" s="44">
        <v>290.30999999999989</v>
      </c>
      <c r="U199" s="44"/>
      <c r="V199" s="44"/>
      <c r="W199" s="44"/>
      <c r="X199" s="44"/>
      <c r="Y199" s="44"/>
      <c r="Z199" s="51"/>
      <c r="AA199" s="52">
        <v>1</v>
      </c>
      <c r="AB199" s="44">
        <v>290.31999999999988</v>
      </c>
      <c r="AC199" s="44"/>
      <c r="AD199" s="44"/>
      <c r="AE199" s="44"/>
      <c r="AF199" s="44"/>
      <c r="AG199" s="44"/>
      <c r="AH199" s="51"/>
      <c r="AI199" s="52">
        <v>1</v>
      </c>
      <c r="AJ199" s="44">
        <v>289.38999999999987</v>
      </c>
      <c r="AK199" s="44"/>
      <c r="AL199" s="44"/>
      <c r="AM199" s="44"/>
      <c r="AN199" s="44"/>
      <c r="AO199" s="44"/>
      <c r="AP199" s="51"/>
    </row>
    <row r="200" spans="1:42" ht="21" customHeight="1" thickTop="1" thickBot="1" x14ac:dyDescent="0.35">
      <c r="A200" s="63"/>
      <c r="B200" s="66"/>
      <c r="C200" s="53">
        <v>2</v>
      </c>
      <c r="D200" s="45">
        <v>288.54000000000002</v>
      </c>
      <c r="E200" s="45"/>
      <c r="F200" s="45"/>
      <c r="G200" s="45"/>
      <c r="H200" s="45"/>
      <c r="I200" s="45"/>
      <c r="J200" s="51"/>
      <c r="K200" s="53">
        <v>2</v>
      </c>
      <c r="L200" s="45">
        <v>288.73</v>
      </c>
      <c r="M200" s="45"/>
      <c r="N200" s="45"/>
      <c r="O200" s="45"/>
      <c r="P200" s="45"/>
      <c r="Q200" s="45"/>
      <c r="R200" s="51"/>
      <c r="S200" s="53">
        <v>2</v>
      </c>
      <c r="T200" s="45">
        <v>289.51</v>
      </c>
      <c r="U200" s="45"/>
      <c r="V200" s="45"/>
      <c r="W200" s="45"/>
      <c r="X200" s="45"/>
      <c r="Y200" s="45"/>
      <c r="Z200" s="51"/>
      <c r="AA200" s="53">
        <v>2</v>
      </c>
      <c r="AB200" s="45">
        <v>289.75</v>
      </c>
      <c r="AC200" s="45"/>
      <c r="AD200" s="45"/>
      <c r="AE200" s="45"/>
      <c r="AF200" s="45"/>
      <c r="AG200" s="45"/>
      <c r="AH200" s="51"/>
      <c r="AI200" s="53">
        <v>2</v>
      </c>
      <c r="AJ200" s="45">
        <v>289.49</v>
      </c>
      <c r="AK200" s="45"/>
      <c r="AL200" s="45"/>
      <c r="AM200" s="45"/>
      <c r="AN200" s="45"/>
      <c r="AO200" s="45"/>
      <c r="AP200" s="51"/>
    </row>
    <row r="201" spans="1:42" ht="21" customHeight="1" thickTop="1" thickBot="1" x14ac:dyDescent="0.35">
      <c r="A201" s="63"/>
      <c r="B201" s="66"/>
      <c r="C201" s="53">
        <v>3</v>
      </c>
      <c r="D201" s="45">
        <v>288.54000000000002</v>
      </c>
      <c r="E201" s="45"/>
      <c r="F201" s="45"/>
      <c r="G201" s="44"/>
      <c r="H201" s="44"/>
      <c r="I201" s="44"/>
      <c r="J201" s="51"/>
      <c r="K201" s="53">
        <v>3</v>
      </c>
      <c r="L201" s="45">
        <v>289.2</v>
      </c>
      <c r="M201" s="45"/>
      <c r="N201" s="45"/>
      <c r="O201" s="44"/>
      <c r="P201" s="44"/>
      <c r="Q201" s="44"/>
      <c r="R201" s="51"/>
      <c r="S201" s="53">
        <v>3</v>
      </c>
      <c r="T201" s="45">
        <v>290.12999999999988</v>
      </c>
      <c r="U201" s="45"/>
      <c r="V201" s="45"/>
      <c r="W201" s="44"/>
      <c r="X201" s="44"/>
      <c r="Y201" s="44"/>
      <c r="Z201" s="51"/>
      <c r="AA201" s="53">
        <v>3</v>
      </c>
      <c r="AB201" s="45">
        <v>290.74999999999989</v>
      </c>
      <c r="AC201" s="45"/>
      <c r="AD201" s="45"/>
      <c r="AE201" s="44"/>
      <c r="AF201" s="44"/>
      <c r="AG201" s="44"/>
      <c r="AH201" s="51"/>
      <c r="AI201" s="53">
        <v>3</v>
      </c>
      <c r="AJ201" s="45">
        <v>289.17</v>
      </c>
      <c r="AK201" s="45"/>
      <c r="AL201" s="45"/>
      <c r="AM201" s="44"/>
      <c r="AN201" s="44"/>
      <c r="AO201" s="44"/>
      <c r="AP201" s="51"/>
    </row>
    <row r="202" spans="1:42" ht="21" customHeight="1" thickTop="1" thickBot="1" x14ac:dyDescent="0.35">
      <c r="A202" s="63"/>
      <c r="B202" s="66"/>
      <c r="C202" s="53">
        <v>4</v>
      </c>
      <c r="D202" s="45">
        <v>289.27999999999997</v>
      </c>
      <c r="E202" s="45"/>
      <c r="F202" s="45"/>
      <c r="G202" s="45"/>
      <c r="H202" s="45"/>
      <c r="I202" s="45"/>
      <c r="J202" s="51"/>
      <c r="K202" s="53">
        <v>4</v>
      </c>
      <c r="L202" s="45">
        <v>289.25999999999988</v>
      </c>
      <c r="M202" s="45"/>
      <c r="N202" s="45"/>
      <c r="O202" s="45"/>
      <c r="P202" s="45"/>
      <c r="Q202" s="45"/>
      <c r="R202" s="51"/>
      <c r="S202" s="53">
        <v>4</v>
      </c>
      <c r="T202" s="45">
        <v>291.11999999999989</v>
      </c>
      <c r="U202" s="45"/>
      <c r="V202" s="45"/>
      <c r="W202" s="45"/>
      <c r="X202" s="45"/>
      <c r="Y202" s="45"/>
      <c r="Z202" s="51"/>
      <c r="AA202" s="53">
        <v>4</v>
      </c>
      <c r="AB202" s="45">
        <v>289.12999999999988</v>
      </c>
      <c r="AC202" s="45"/>
      <c r="AD202" s="45"/>
      <c r="AE202" s="45"/>
      <c r="AF202" s="45"/>
      <c r="AG202" s="45"/>
      <c r="AH202" s="51"/>
      <c r="AI202" s="53">
        <v>4</v>
      </c>
      <c r="AJ202" s="45">
        <v>289.24</v>
      </c>
      <c r="AK202" s="45"/>
      <c r="AL202" s="45"/>
      <c r="AM202" s="45"/>
      <c r="AN202" s="45"/>
      <c r="AO202" s="45"/>
      <c r="AP202" s="51"/>
    </row>
    <row r="203" spans="1:42" ht="21" customHeight="1" thickTop="1" thickBot="1" x14ac:dyDescent="0.35">
      <c r="A203" s="63"/>
      <c r="B203" s="66"/>
      <c r="C203" s="53">
        <v>5</v>
      </c>
      <c r="D203" s="45">
        <v>288.73</v>
      </c>
      <c r="E203" s="45"/>
      <c r="F203" s="45"/>
      <c r="G203" s="45"/>
      <c r="H203" s="45"/>
      <c r="I203" s="45"/>
      <c r="J203" s="51"/>
      <c r="K203" s="53">
        <v>5</v>
      </c>
      <c r="L203" s="45">
        <v>288.99</v>
      </c>
      <c r="M203" s="45"/>
      <c r="N203" s="45"/>
      <c r="O203" s="45"/>
      <c r="P203" s="45"/>
      <c r="Q203" s="45"/>
      <c r="R203" s="51"/>
      <c r="S203" s="53">
        <v>5</v>
      </c>
      <c r="T203" s="45">
        <v>289.41000000000003</v>
      </c>
      <c r="U203" s="45"/>
      <c r="V203" s="45"/>
      <c r="W203" s="45"/>
      <c r="X203" s="45"/>
      <c r="Y203" s="45"/>
      <c r="Z203" s="51"/>
      <c r="AA203" s="53">
        <v>5</v>
      </c>
      <c r="AB203" s="45">
        <v>288.74</v>
      </c>
      <c r="AC203" s="45"/>
      <c r="AD203" s="45"/>
      <c r="AE203" s="45"/>
      <c r="AF203" s="45"/>
      <c r="AG203" s="45"/>
      <c r="AH203" s="51"/>
      <c r="AI203" s="53">
        <v>5</v>
      </c>
      <c r="AJ203" s="45">
        <v>288.74</v>
      </c>
      <c r="AK203" s="45"/>
      <c r="AL203" s="45"/>
      <c r="AM203" s="45"/>
      <c r="AN203" s="45"/>
      <c r="AO203" s="45"/>
      <c r="AP203" s="51"/>
    </row>
    <row r="204" spans="1:42" ht="21" customHeight="1" thickTop="1" thickBot="1" x14ac:dyDescent="0.35">
      <c r="A204" s="63"/>
      <c r="B204" s="66"/>
      <c r="C204" s="53">
        <v>6</v>
      </c>
      <c r="D204" s="45">
        <v>288.75999999999988</v>
      </c>
      <c r="E204" s="45"/>
      <c r="F204" s="45"/>
      <c r="G204" s="45"/>
      <c r="H204" s="45"/>
      <c r="I204" s="45"/>
      <c r="J204" s="51"/>
      <c r="K204" s="53">
        <v>6</v>
      </c>
      <c r="L204" s="45">
        <v>289.27999999999997</v>
      </c>
      <c r="M204" s="45"/>
      <c r="N204" s="45"/>
      <c r="O204" s="45"/>
      <c r="P204" s="45"/>
      <c r="Q204" s="45"/>
      <c r="R204" s="51"/>
      <c r="S204" s="53">
        <v>6</v>
      </c>
      <c r="T204" s="45">
        <v>291.44999999999987</v>
      </c>
      <c r="U204" s="45"/>
      <c r="V204" s="45"/>
      <c r="W204" s="45"/>
      <c r="X204" s="45"/>
      <c r="Y204" s="45"/>
      <c r="Z204" s="51"/>
      <c r="AA204" s="53">
        <v>6</v>
      </c>
      <c r="AB204" s="45">
        <v>290.08999999999997</v>
      </c>
      <c r="AC204" s="45"/>
      <c r="AD204" s="45"/>
      <c r="AE204" s="45"/>
      <c r="AF204" s="45"/>
      <c r="AG204" s="45"/>
      <c r="AH204" s="51"/>
      <c r="AI204" s="53">
        <v>6</v>
      </c>
      <c r="AJ204" s="45">
        <v>288.77</v>
      </c>
      <c r="AK204" s="45"/>
      <c r="AL204" s="45"/>
      <c r="AM204" s="45"/>
      <c r="AN204" s="45"/>
      <c r="AO204" s="45"/>
      <c r="AP204" s="51"/>
    </row>
    <row r="205" spans="1:42" ht="21" customHeight="1" thickTop="1" thickBot="1" x14ac:dyDescent="0.35">
      <c r="A205" s="63"/>
      <c r="B205" s="66"/>
      <c r="C205" s="53">
        <v>7</v>
      </c>
      <c r="D205" s="45">
        <v>289.17999999999989</v>
      </c>
      <c r="E205" s="45"/>
      <c r="F205" s="45"/>
      <c r="G205" s="45"/>
      <c r="H205" s="45"/>
      <c r="I205" s="45"/>
      <c r="J205" s="51"/>
      <c r="K205" s="53">
        <v>7</v>
      </c>
      <c r="L205" s="45">
        <v>288.67</v>
      </c>
      <c r="M205" s="45"/>
      <c r="N205" s="45"/>
      <c r="O205" s="45"/>
      <c r="P205" s="45"/>
      <c r="Q205" s="45"/>
      <c r="R205" s="51"/>
      <c r="S205" s="53">
        <v>7</v>
      </c>
      <c r="T205" s="45">
        <v>289.20999999999992</v>
      </c>
      <c r="U205" s="45"/>
      <c r="V205" s="45"/>
      <c r="W205" s="45"/>
      <c r="X205" s="45"/>
      <c r="Y205" s="45"/>
      <c r="Z205" s="51"/>
      <c r="AA205" s="53">
        <v>7</v>
      </c>
      <c r="AB205" s="45">
        <v>291.77999999999992</v>
      </c>
      <c r="AC205" s="45"/>
      <c r="AD205" s="45"/>
      <c r="AE205" s="45"/>
      <c r="AF205" s="45"/>
      <c r="AG205" s="45"/>
      <c r="AH205" s="51"/>
      <c r="AI205" s="53">
        <v>7</v>
      </c>
      <c r="AJ205" s="45">
        <v>288.92999999999989</v>
      </c>
      <c r="AK205" s="45"/>
      <c r="AL205" s="45"/>
      <c r="AM205" s="45"/>
      <c r="AN205" s="45"/>
      <c r="AO205" s="45"/>
      <c r="AP205" s="51"/>
    </row>
    <row r="206" spans="1:42" ht="21" customHeight="1" thickTop="1" thickBot="1" x14ac:dyDescent="0.35">
      <c r="A206" s="63"/>
      <c r="B206" s="66"/>
      <c r="C206" s="53">
        <v>8</v>
      </c>
      <c r="D206" s="45">
        <v>288.54000000000002</v>
      </c>
      <c r="E206" s="45"/>
      <c r="F206" s="45"/>
      <c r="G206" s="45"/>
      <c r="H206" s="45"/>
      <c r="I206" s="45"/>
      <c r="J206" s="51"/>
      <c r="K206" s="53">
        <v>8</v>
      </c>
      <c r="L206" s="45">
        <v>288.87</v>
      </c>
      <c r="M206" s="45"/>
      <c r="N206" s="45"/>
      <c r="O206" s="45"/>
      <c r="P206" s="45"/>
      <c r="Q206" s="45"/>
      <c r="R206" s="51"/>
      <c r="S206" s="53">
        <v>8</v>
      </c>
      <c r="T206" s="45">
        <v>291.57</v>
      </c>
      <c r="U206" s="45"/>
      <c r="V206" s="45"/>
      <c r="W206" s="45"/>
      <c r="X206" s="45"/>
      <c r="Y206" s="45"/>
      <c r="Z206" s="51"/>
      <c r="AA206" s="53">
        <v>8</v>
      </c>
      <c r="AB206" s="45">
        <v>288.76</v>
      </c>
      <c r="AC206" s="45"/>
      <c r="AD206" s="45"/>
      <c r="AE206" s="45"/>
      <c r="AF206" s="45"/>
      <c r="AG206" s="45"/>
      <c r="AH206" s="51"/>
      <c r="AI206" s="53">
        <v>8</v>
      </c>
      <c r="AJ206" s="45">
        <v>289.61</v>
      </c>
      <c r="AK206" s="45"/>
      <c r="AL206" s="45"/>
      <c r="AM206" s="45"/>
      <c r="AN206" s="45"/>
      <c r="AO206" s="45"/>
      <c r="AP206" s="51"/>
    </row>
    <row r="207" spans="1:42" ht="21" customHeight="1" thickTop="1" thickBot="1" x14ac:dyDescent="0.35">
      <c r="A207" s="63"/>
      <c r="B207" s="66"/>
      <c r="C207" s="53">
        <v>9</v>
      </c>
      <c r="D207" s="45">
        <v>288.54000000000002</v>
      </c>
      <c r="E207" s="45"/>
      <c r="F207" s="45"/>
      <c r="G207" s="45"/>
      <c r="H207" s="45"/>
      <c r="I207" s="45"/>
      <c r="J207" s="51"/>
      <c r="K207" s="53">
        <v>9</v>
      </c>
      <c r="L207" s="45">
        <v>289.76</v>
      </c>
      <c r="M207" s="45"/>
      <c r="N207" s="45"/>
      <c r="O207" s="45"/>
      <c r="P207" s="45"/>
      <c r="Q207" s="45"/>
      <c r="R207" s="51"/>
      <c r="S207" s="53">
        <v>9</v>
      </c>
      <c r="T207" s="45">
        <v>289.61</v>
      </c>
      <c r="U207" s="45"/>
      <c r="V207" s="45"/>
      <c r="W207" s="45"/>
      <c r="X207" s="45"/>
      <c r="Y207" s="45"/>
      <c r="Z207" s="51"/>
      <c r="AA207" s="53">
        <v>9</v>
      </c>
      <c r="AB207" s="45">
        <v>288.99</v>
      </c>
      <c r="AC207" s="45"/>
      <c r="AD207" s="45"/>
      <c r="AE207" s="45"/>
      <c r="AF207" s="45"/>
      <c r="AG207" s="45"/>
      <c r="AH207" s="51"/>
      <c r="AI207" s="53">
        <v>9</v>
      </c>
      <c r="AJ207" s="45">
        <v>288.83999999999997</v>
      </c>
      <c r="AK207" s="45"/>
      <c r="AL207" s="45"/>
      <c r="AM207" s="45"/>
      <c r="AN207" s="45"/>
      <c r="AO207" s="45"/>
      <c r="AP207" s="51"/>
    </row>
    <row r="208" spans="1:42" ht="21" customHeight="1" thickTop="1" thickBot="1" x14ac:dyDescent="0.35">
      <c r="A208" s="63"/>
      <c r="B208" s="66"/>
      <c r="C208" s="53">
        <v>10</v>
      </c>
      <c r="D208" s="45">
        <v>289.02999999999997</v>
      </c>
      <c r="E208" s="45"/>
      <c r="F208" s="45"/>
      <c r="G208" s="45"/>
      <c r="H208" s="45"/>
      <c r="I208" s="45"/>
      <c r="J208" s="51"/>
      <c r="K208" s="53">
        <v>10</v>
      </c>
      <c r="L208" s="45">
        <v>288.72000000000003</v>
      </c>
      <c r="M208" s="45"/>
      <c r="N208" s="45"/>
      <c r="O208" s="45"/>
      <c r="P208" s="45"/>
      <c r="Q208" s="45"/>
      <c r="R208" s="51"/>
      <c r="S208" s="53">
        <v>10</v>
      </c>
      <c r="T208" s="45">
        <v>289.61</v>
      </c>
      <c r="U208" s="45"/>
      <c r="V208" s="45"/>
      <c r="W208" s="45"/>
      <c r="X208" s="45"/>
      <c r="Y208" s="45"/>
      <c r="Z208" s="51"/>
      <c r="AA208" s="53">
        <v>10</v>
      </c>
      <c r="AB208" s="45">
        <v>291.04000000000002</v>
      </c>
      <c r="AC208" s="45"/>
      <c r="AD208" s="45"/>
      <c r="AE208" s="45"/>
      <c r="AF208" s="45"/>
      <c r="AG208" s="45"/>
      <c r="AH208" s="51"/>
      <c r="AI208" s="53">
        <v>10</v>
      </c>
      <c r="AJ208" s="45">
        <v>288.58</v>
      </c>
      <c r="AK208" s="45"/>
      <c r="AL208" s="45"/>
      <c r="AM208" s="45"/>
      <c r="AN208" s="45"/>
      <c r="AO208" s="45"/>
      <c r="AP208" s="51"/>
    </row>
    <row r="209" spans="1:42" ht="21" customHeight="1" thickTop="1" thickBot="1" x14ac:dyDescent="0.35">
      <c r="A209" s="63"/>
      <c r="B209" s="66"/>
      <c r="C209" s="53"/>
      <c r="D209" s="45"/>
      <c r="E209" s="45"/>
      <c r="F209" s="45"/>
      <c r="G209" s="45"/>
      <c r="H209" s="45"/>
      <c r="I209" s="45"/>
      <c r="J209" s="51"/>
      <c r="K209" s="53"/>
      <c r="L209" s="45"/>
      <c r="M209" s="45"/>
      <c r="N209" s="45"/>
      <c r="O209" s="45"/>
      <c r="P209" s="45"/>
      <c r="Q209" s="45"/>
      <c r="R209" s="51"/>
      <c r="S209" s="53"/>
      <c r="T209" s="45"/>
      <c r="U209" s="45"/>
      <c r="V209" s="45"/>
      <c r="W209" s="45"/>
      <c r="X209" s="45"/>
      <c r="Y209" s="45"/>
      <c r="Z209" s="51"/>
      <c r="AA209" s="53"/>
      <c r="AB209" s="45"/>
      <c r="AC209" s="45"/>
      <c r="AD209" s="45"/>
      <c r="AE209" s="45"/>
      <c r="AF209" s="45"/>
      <c r="AG209" s="45"/>
      <c r="AH209" s="51"/>
      <c r="AI209" s="53"/>
      <c r="AJ209" s="45"/>
      <c r="AK209" s="45"/>
      <c r="AL209" s="45"/>
      <c r="AM209" s="45"/>
      <c r="AN209" s="45"/>
      <c r="AO209" s="45"/>
      <c r="AP209" s="51"/>
    </row>
    <row r="210" spans="1:42" ht="21" customHeight="1" thickTop="1" thickBot="1" x14ac:dyDescent="0.35">
      <c r="A210" s="63"/>
      <c r="B210" s="66"/>
      <c r="C210" s="54" t="s">
        <v>16</v>
      </c>
      <c r="D210" s="49">
        <f>MIN(D199:D208)</f>
        <v>288.54000000000002</v>
      </c>
      <c r="E210" s="45"/>
      <c r="F210" s="55" t="s">
        <v>17</v>
      </c>
      <c r="G210" s="49" t="s">
        <v>18</v>
      </c>
      <c r="H210" s="49" t="s">
        <v>19</v>
      </c>
      <c r="I210" s="45"/>
      <c r="J210" s="51"/>
      <c r="K210" s="54" t="s">
        <v>16</v>
      </c>
      <c r="L210" s="49">
        <f>MIN(L199:L208)</f>
        <v>288.67</v>
      </c>
      <c r="M210" s="45"/>
      <c r="N210" s="55" t="s">
        <v>17</v>
      </c>
      <c r="O210" s="49" t="s">
        <v>18</v>
      </c>
      <c r="P210" s="49" t="s">
        <v>19</v>
      </c>
      <c r="Q210" s="45"/>
      <c r="R210" s="51"/>
      <c r="S210" s="54" t="s">
        <v>16</v>
      </c>
      <c r="T210" s="49">
        <f>MIN(T199:T208)</f>
        <v>289.20999999999992</v>
      </c>
      <c r="U210" s="45"/>
      <c r="V210" s="55" t="s">
        <v>17</v>
      </c>
      <c r="W210" s="49" t="s">
        <v>18</v>
      </c>
      <c r="X210" s="49" t="s">
        <v>19</v>
      </c>
      <c r="Y210" s="45"/>
      <c r="Z210" s="51"/>
      <c r="AA210" s="54" t="s">
        <v>16</v>
      </c>
      <c r="AB210" s="49">
        <f>MIN(AB199:AB208)</f>
        <v>288.74</v>
      </c>
      <c r="AC210" s="45"/>
      <c r="AD210" s="55" t="s">
        <v>17</v>
      </c>
      <c r="AE210" s="49" t="s">
        <v>18</v>
      </c>
      <c r="AF210" s="49" t="s">
        <v>19</v>
      </c>
      <c r="AG210" s="45"/>
      <c r="AH210" s="51"/>
      <c r="AI210" s="54" t="s">
        <v>16</v>
      </c>
      <c r="AJ210" s="49">
        <f>MIN(AJ199:AJ208)</f>
        <v>288.58</v>
      </c>
      <c r="AK210" s="45"/>
      <c r="AL210" s="55" t="s">
        <v>17</v>
      </c>
      <c r="AM210" s="49" t="s">
        <v>18</v>
      </c>
      <c r="AN210" s="49" t="s">
        <v>19</v>
      </c>
      <c r="AO210" s="45"/>
      <c r="AP210" s="51"/>
    </row>
    <row r="211" spans="1:42" ht="21" customHeight="1" thickTop="1" thickBot="1" x14ac:dyDescent="0.35">
      <c r="A211" s="63"/>
      <c r="B211" s="66"/>
      <c r="C211" s="54" t="s">
        <v>20</v>
      </c>
      <c r="D211" s="48">
        <f>AVERAGE(D199:D208)</f>
        <v>288.79499999999996</v>
      </c>
      <c r="E211" s="47"/>
      <c r="F211" s="48">
        <f>_xlfn.STDEV.S(D199:D208) / AVERAGE(D199:D208) * 100%</f>
        <v>9.6875545750498275E-4</v>
      </c>
      <c r="G211" s="48">
        <f t="array" ref="G211">MIN((D199:D208 - MIN(D199:D208,L199:L208,T199:T208,AB199:AB208,AJ199:AJ208))/MIN(D199:D208,L199:L208,T199:T208,AB199:AB208,AJ199:AJ208)*100%)</f>
        <v>0</v>
      </c>
      <c r="H211" s="48">
        <f t="array" ref="H211">AVERAGE((D199:D208 - MIN(D199:D208,L199:L208,T199:T208,AB199:AB208,AJ199:AJ208))/MIN(D199:D208,L199:L208,T199:T208,AB199:AB208,AJ199:AJ208)*100%)</f>
        <v>8.8375961738393761E-4</v>
      </c>
      <c r="I211" s="45"/>
      <c r="J211" s="51"/>
      <c r="K211" s="54" t="s">
        <v>20</v>
      </c>
      <c r="L211" s="48">
        <f>AVERAGE(L199:L208)</f>
        <v>289.06599999999997</v>
      </c>
      <c r="M211" s="47"/>
      <c r="N211" s="48">
        <f>_xlfn.STDEV.S(L199:L208) / AVERAGE(L199:L208) * 100%</f>
        <v>1.1701039229091539E-3</v>
      </c>
      <c r="O211" s="48">
        <f t="array" ref="O211">MIN((L199:L208 - MIN(D199:D208,L199:L208,T199:T208,AB199:AB208,AJ199:AJ208))/MIN(D199:D208,L199:L208,T199:T208,AB199:AB208,AJ199:AJ208)*100%)</f>
        <v>4.5054411866637359E-4</v>
      </c>
      <c r="P211" s="48">
        <f t="array" ref="P211">AVERAGE((L199:L208 - MIN(D199:D208,L199:L208,T199:T208,AB199:AB208,AJ199:AJ208))/MIN(D199:D208,L199:L208,T199:T208,AB199:AB208,AJ199:AJ208)*100%)</f>
        <v>1.8229708186039042E-3</v>
      </c>
      <c r="Q211" s="44"/>
      <c r="R211" s="51"/>
      <c r="S211" s="54" t="s">
        <v>20</v>
      </c>
      <c r="T211" s="48">
        <f>AVERAGE(T199:T208)</f>
        <v>290.19299999999998</v>
      </c>
      <c r="U211" s="47"/>
      <c r="V211" s="48">
        <f>_xlfn.STDEV.S(T199:T208) / AVERAGE(T199:T208) * 100%</f>
        <v>3.0561308221764704E-3</v>
      </c>
      <c r="W211" s="48">
        <f t="array" ref="W211">MIN((T199:T208 - MIN(D199:D208,L199:L208,T199:T208,AB199:AB208,AJ199:AJ208))/MIN(D199:D208,L199:L208,T199:T208,AB199:AB208,AJ199:AJ208)*100%)</f>
        <v>2.3220350731264373E-3</v>
      </c>
      <c r="X211" s="48">
        <f t="array" ref="X211">AVERAGE((T199:T208 - MIN(D199:D208,L199:L208,T199:T208,AB199:AB208,AJ199:AJ208))/MIN(D199:D208,L199:L208,T199:T208,AB199:AB208,AJ199:AJ208)*100%)</f>
        <v>5.7288417550423821E-3</v>
      </c>
      <c r="Y211" s="44"/>
      <c r="Z211" s="51"/>
      <c r="AA211" s="54" t="s">
        <v>20</v>
      </c>
      <c r="AB211" s="48">
        <f>AVERAGE(AB199:AB208)</f>
        <v>289.93499999999995</v>
      </c>
      <c r="AC211" s="47"/>
      <c r="AD211" s="48">
        <f>_xlfn.STDEV.S(AB199:AB208) / AVERAGE(AB199:AB208) * 100%</f>
        <v>3.6074131630557628E-3</v>
      </c>
      <c r="AE211" s="48">
        <f t="array" ref="AE211">MIN((AB199:AB208 - MIN(D199:D208,L199:L208,T199:T208,AB199:AB208,AJ199:AJ208))/MIN(D199:D208,L199:L208,T199:T208,AB199:AB208,AJ199:AJ208)*100%)</f>
        <v>6.9314479794825199E-4</v>
      </c>
      <c r="AF211" s="48">
        <f t="array" ref="AF211">AVERAGE((AB199:AB208 - MIN(D199:D208,L199:L208,T199:T208,AB199:AB208,AJ199:AJ208))/MIN(D199:D208,L199:L208,T199:T208,AB199:AB208,AJ199:AJ208)*100%)</f>
        <v>4.8346849656891108E-3</v>
      </c>
      <c r="AG211" s="44"/>
      <c r="AH211" s="51"/>
      <c r="AI211" s="54" t="s">
        <v>20</v>
      </c>
      <c r="AJ211" s="48">
        <f>AVERAGE(AJ199:AJ208)</f>
        <v>289.07599999999996</v>
      </c>
      <c r="AK211" s="47"/>
      <c r="AL211" s="48">
        <f>_xlfn.STDEV.S(AJ199:AJ208) / AVERAGE(AJ199:AJ208) * 100%</f>
        <v>1.2205652774970085E-3</v>
      </c>
      <c r="AM211" s="48">
        <f t="array" ref="AM211">MIN((AJ199:AJ208 - MIN(D199:D208,L199:L208,T199:T208,AB199:AB208,AJ199:AJ208))/MIN(D199:D208,L199:L208,T199:T208,AB199:AB208,AJ199:AJ208)*100%)</f>
        <v>1.386289595895322E-4</v>
      </c>
      <c r="AN211" s="48">
        <f t="array" ref="AN211">AVERAGE((AJ199:AJ208 - MIN(D199:D208,L199:L208,T199:T208,AB199:AB208,AJ199:AJ208))/MIN(D199:D208,L199:L208,T199:T208,AB199:AB208,AJ199:AJ208)*100%)</f>
        <v>1.8576280585012677E-3</v>
      </c>
      <c r="AO211" s="44"/>
      <c r="AP211" s="51"/>
    </row>
    <row r="212" spans="1:42" ht="21" customHeight="1" thickTop="1" thickBot="1" x14ac:dyDescent="0.35">
      <c r="A212" s="63"/>
      <c r="B212" s="67"/>
      <c r="C212" s="53"/>
      <c r="D212" s="44"/>
      <c r="E212" s="44"/>
      <c r="F212" s="44"/>
      <c r="G212" s="44"/>
      <c r="H212" s="44"/>
      <c r="I212" s="44"/>
      <c r="J212" s="51"/>
      <c r="K212" s="53"/>
      <c r="L212" s="44"/>
      <c r="M212" s="44"/>
      <c r="N212" s="44"/>
      <c r="O212" s="44"/>
      <c r="P212" s="44"/>
      <c r="Q212" s="44"/>
      <c r="R212" s="51"/>
      <c r="S212" s="53"/>
      <c r="T212" s="44"/>
      <c r="U212" s="44"/>
      <c r="V212" s="44"/>
      <c r="W212" s="44"/>
      <c r="X212" s="44"/>
      <c r="Y212" s="44"/>
      <c r="Z212" s="51"/>
      <c r="AA212" s="53"/>
      <c r="AB212" s="44"/>
      <c r="AC212" s="44"/>
      <c r="AD212" s="44"/>
      <c r="AE212" s="44"/>
      <c r="AF212" s="44"/>
      <c r="AG212" s="44"/>
      <c r="AH212" s="51"/>
      <c r="AI212" s="53"/>
      <c r="AJ212" s="44"/>
      <c r="AK212" s="44"/>
      <c r="AL212" s="44"/>
      <c r="AM212" s="44"/>
      <c r="AN212" s="44"/>
      <c r="AO212" s="44"/>
      <c r="AP212" s="51"/>
    </row>
    <row r="213" spans="1:42" ht="21" customHeight="1" thickTop="1" thickBot="1" x14ac:dyDescent="0.35">
      <c r="A213" s="63"/>
      <c r="B213" s="65" t="s">
        <v>80</v>
      </c>
      <c r="C213" s="59" t="s">
        <v>8</v>
      </c>
      <c r="D213" s="46" t="s">
        <v>9</v>
      </c>
      <c r="E213" s="46" t="s">
        <v>10</v>
      </c>
      <c r="F213" s="46" t="s">
        <v>11</v>
      </c>
      <c r="G213" s="46" t="s">
        <v>12</v>
      </c>
      <c r="H213" s="46" t="s">
        <v>13</v>
      </c>
      <c r="I213" s="46" t="s">
        <v>14</v>
      </c>
      <c r="J213" s="60" t="s">
        <v>15</v>
      </c>
      <c r="K213" s="59" t="s">
        <v>8</v>
      </c>
      <c r="L213" s="46" t="s">
        <v>9</v>
      </c>
      <c r="M213" s="46" t="s">
        <v>10</v>
      </c>
      <c r="N213" s="46" t="s">
        <v>11</v>
      </c>
      <c r="O213" s="46" t="s">
        <v>12</v>
      </c>
      <c r="P213" s="46" t="s">
        <v>13</v>
      </c>
      <c r="Q213" s="46" t="s">
        <v>14</v>
      </c>
      <c r="R213" s="60" t="s">
        <v>15</v>
      </c>
      <c r="S213" s="59" t="s">
        <v>8</v>
      </c>
      <c r="T213" s="46" t="s">
        <v>9</v>
      </c>
      <c r="U213" s="46" t="s">
        <v>10</v>
      </c>
      <c r="V213" s="46" t="s">
        <v>11</v>
      </c>
      <c r="W213" s="46" t="s">
        <v>12</v>
      </c>
      <c r="X213" s="46" t="s">
        <v>13</v>
      </c>
      <c r="Y213" s="46" t="s">
        <v>14</v>
      </c>
      <c r="Z213" s="60" t="s">
        <v>15</v>
      </c>
      <c r="AA213" s="59" t="s">
        <v>8</v>
      </c>
      <c r="AB213" s="46" t="s">
        <v>9</v>
      </c>
      <c r="AC213" s="46" t="s">
        <v>10</v>
      </c>
      <c r="AD213" s="46" t="s">
        <v>11</v>
      </c>
      <c r="AE213" s="46" t="s">
        <v>12</v>
      </c>
      <c r="AF213" s="46" t="s">
        <v>13</v>
      </c>
      <c r="AG213" s="46" t="s">
        <v>14</v>
      </c>
      <c r="AH213" s="60" t="s">
        <v>15</v>
      </c>
      <c r="AI213" s="59" t="s">
        <v>8</v>
      </c>
      <c r="AJ213" s="46" t="s">
        <v>9</v>
      </c>
      <c r="AK213" s="46" t="s">
        <v>10</v>
      </c>
      <c r="AL213" s="46" t="s">
        <v>11</v>
      </c>
      <c r="AM213" s="46" t="s">
        <v>12</v>
      </c>
      <c r="AN213" s="46" t="s">
        <v>13</v>
      </c>
      <c r="AO213" s="46" t="s">
        <v>14</v>
      </c>
      <c r="AP213" s="60" t="s">
        <v>15</v>
      </c>
    </row>
    <row r="214" spans="1:42" ht="21" customHeight="1" thickTop="1" thickBot="1" x14ac:dyDescent="0.35">
      <c r="A214" s="63"/>
      <c r="B214" s="66"/>
      <c r="C214" s="52">
        <v>1</v>
      </c>
      <c r="D214" s="44">
        <v>308.65999999999991</v>
      </c>
      <c r="E214" s="44"/>
      <c r="F214" s="44"/>
      <c r="G214" s="44"/>
      <c r="H214" s="44"/>
      <c r="I214" s="44"/>
      <c r="J214" s="51"/>
      <c r="K214" s="52">
        <v>1</v>
      </c>
      <c r="L214" s="44">
        <v>309.13999999999987</v>
      </c>
      <c r="M214" s="44"/>
      <c r="N214" s="44"/>
      <c r="O214" s="44"/>
      <c r="P214" s="44"/>
      <c r="Q214" s="44"/>
      <c r="R214" s="51"/>
      <c r="S214" s="52">
        <v>1</v>
      </c>
      <c r="T214" s="44">
        <v>311.52999999999992</v>
      </c>
      <c r="U214" s="44"/>
      <c r="V214" s="44"/>
      <c r="W214" s="44"/>
      <c r="X214" s="44"/>
      <c r="Y214" s="44"/>
      <c r="Z214" s="51"/>
      <c r="AA214" s="52">
        <v>1</v>
      </c>
      <c r="AB214" s="44">
        <v>309.55</v>
      </c>
      <c r="AC214" s="44"/>
      <c r="AD214" s="44"/>
      <c r="AE214" s="44"/>
      <c r="AF214" s="44"/>
      <c r="AG214" s="44"/>
      <c r="AH214" s="51"/>
      <c r="AI214" s="52">
        <v>1</v>
      </c>
      <c r="AJ214" s="44">
        <v>309.23</v>
      </c>
      <c r="AK214" s="44"/>
      <c r="AL214" s="44"/>
      <c r="AM214" s="44"/>
      <c r="AN214" s="44"/>
      <c r="AO214" s="44"/>
      <c r="AP214" s="51"/>
    </row>
    <row r="215" spans="1:42" ht="21" customHeight="1" thickTop="1" thickBot="1" x14ac:dyDescent="0.35">
      <c r="A215" s="63"/>
      <c r="B215" s="66"/>
      <c r="C215" s="53">
        <v>2</v>
      </c>
      <c r="D215" s="45">
        <v>310.00999999999988</v>
      </c>
      <c r="E215" s="45"/>
      <c r="F215" s="45"/>
      <c r="G215" s="45"/>
      <c r="H215" s="45"/>
      <c r="I215" s="45"/>
      <c r="J215" s="51"/>
      <c r="K215" s="53">
        <v>2</v>
      </c>
      <c r="L215" s="45">
        <v>309.30999999999989</v>
      </c>
      <c r="M215" s="45"/>
      <c r="N215" s="45"/>
      <c r="O215" s="45"/>
      <c r="P215" s="45"/>
      <c r="Q215" s="45"/>
      <c r="R215" s="51"/>
      <c r="S215" s="53">
        <v>2</v>
      </c>
      <c r="T215" s="45">
        <v>310.9799999999999</v>
      </c>
      <c r="U215" s="45"/>
      <c r="V215" s="45"/>
      <c r="W215" s="45"/>
      <c r="X215" s="45"/>
      <c r="Y215" s="45"/>
      <c r="Z215" s="51"/>
      <c r="AA215" s="53">
        <v>2</v>
      </c>
      <c r="AB215" s="45">
        <v>309.58999999999992</v>
      </c>
      <c r="AC215" s="45"/>
      <c r="AD215" s="45"/>
      <c r="AE215" s="45"/>
      <c r="AF215" s="45"/>
      <c r="AG215" s="45"/>
      <c r="AH215" s="51"/>
      <c r="AI215" s="53">
        <v>2</v>
      </c>
      <c r="AJ215" s="45">
        <v>309.67999999999989</v>
      </c>
      <c r="AK215" s="45"/>
      <c r="AL215" s="45"/>
      <c r="AM215" s="45"/>
      <c r="AN215" s="45"/>
      <c r="AO215" s="45"/>
      <c r="AP215" s="51"/>
    </row>
    <row r="216" spans="1:42" ht="21" customHeight="1" thickTop="1" thickBot="1" x14ac:dyDescent="0.35">
      <c r="A216" s="63"/>
      <c r="B216" s="66"/>
      <c r="C216" s="53">
        <v>3</v>
      </c>
      <c r="D216" s="45">
        <v>309.33999999999992</v>
      </c>
      <c r="E216" s="45"/>
      <c r="F216" s="45"/>
      <c r="G216" s="44"/>
      <c r="H216" s="44"/>
      <c r="I216" s="44"/>
      <c r="J216" s="51"/>
      <c r="K216" s="53">
        <v>3</v>
      </c>
      <c r="L216" s="45">
        <v>309.11999999999989</v>
      </c>
      <c r="M216" s="45"/>
      <c r="N216" s="45"/>
      <c r="O216" s="44"/>
      <c r="P216" s="44"/>
      <c r="Q216" s="44"/>
      <c r="R216" s="51"/>
      <c r="S216" s="53">
        <v>3</v>
      </c>
      <c r="T216" s="45">
        <v>309.88999999999987</v>
      </c>
      <c r="U216" s="45"/>
      <c r="V216" s="45"/>
      <c r="W216" s="44"/>
      <c r="X216" s="44"/>
      <c r="Y216" s="44"/>
      <c r="Z216" s="51"/>
      <c r="AA216" s="53">
        <v>3</v>
      </c>
      <c r="AB216" s="45">
        <v>309.92999999999989</v>
      </c>
      <c r="AC216" s="45"/>
      <c r="AD216" s="45"/>
      <c r="AE216" s="44"/>
      <c r="AF216" s="44"/>
      <c r="AG216" s="44"/>
      <c r="AH216" s="51"/>
      <c r="AI216" s="53">
        <v>3</v>
      </c>
      <c r="AJ216" s="45">
        <v>309.86</v>
      </c>
      <c r="AK216" s="45"/>
      <c r="AL216" s="45"/>
      <c r="AM216" s="44"/>
      <c r="AN216" s="44"/>
      <c r="AO216" s="44"/>
      <c r="AP216" s="51"/>
    </row>
    <row r="217" spans="1:42" ht="21" customHeight="1" thickTop="1" thickBot="1" x14ac:dyDescent="0.35">
      <c r="A217" s="63"/>
      <c r="B217" s="66"/>
      <c r="C217" s="53">
        <v>4</v>
      </c>
      <c r="D217" s="45">
        <v>308.66000000000003</v>
      </c>
      <c r="E217" s="45"/>
      <c r="F217" s="45"/>
      <c r="G217" s="45"/>
      <c r="H217" s="45"/>
      <c r="I217" s="45"/>
      <c r="J217" s="51"/>
      <c r="K217" s="53">
        <v>4</v>
      </c>
      <c r="L217" s="45">
        <v>310.24999999999989</v>
      </c>
      <c r="M217" s="45"/>
      <c r="N217" s="45"/>
      <c r="O217" s="45"/>
      <c r="P217" s="45"/>
      <c r="Q217" s="45"/>
      <c r="R217" s="51"/>
      <c r="S217" s="53">
        <v>4</v>
      </c>
      <c r="T217" s="45">
        <v>310.55</v>
      </c>
      <c r="U217" s="45"/>
      <c r="V217" s="45"/>
      <c r="W217" s="45"/>
      <c r="X217" s="45"/>
      <c r="Y217" s="45"/>
      <c r="Z217" s="51"/>
      <c r="AA217" s="53">
        <v>4</v>
      </c>
      <c r="AB217" s="45">
        <v>309.58</v>
      </c>
      <c r="AC217" s="45"/>
      <c r="AD217" s="45"/>
      <c r="AE217" s="45"/>
      <c r="AF217" s="45"/>
      <c r="AG217" s="45"/>
      <c r="AH217" s="51"/>
      <c r="AI217" s="53">
        <v>4</v>
      </c>
      <c r="AJ217" s="45">
        <v>309.63999999999987</v>
      </c>
      <c r="AK217" s="45"/>
      <c r="AL217" s="45"/>
      <c r="AM217" s="45"/>
      <c r="AN217" s="45"/>
      <c r="AO217" s="45"/>
      <c r="AP217" s="51"/>
    </row>
    <row r="218" spans="1:42" ht="21" customHeight="1" thickTop="1" thickBot="1" x14ac:dyDescent="0.35">
      <c r="A218" s="63"/>
      <c r="B218" s="66"/>
      <c r="C218" s="53">
        <v>5</v>
      </c>
      <c r="D218" s="45">
        <v>309.69</v>
      </c>
      <c r="E218" s="45"/>
      <c r="F218" s="45"/>
      <c r="G218" s="45"/>
      <c r="H218" s="45"/>
      <c r="I218" s="45"/>
      <c r="J218" s="51"/>
      <c r="K218" s="53">
        <v>5</v>
      </c>
      <c r="L218" s="45">
        <v>309.91000000000003</v>
      </c>
      <c r="M218" s="45"/>
      <c r="N218" s="45"/>
      <c r="O218" s="45"/>
      <c r="P218" s="45"/>
      <c r="Q218" s="45"/>
      <c r="R218" s="51"/>
      <c r="S218" s="53">
        <v>5</v>
      </c>
      <c r="T218" s="45">
        <v>312.32999999999993</v>
      </c>
      <c r="U218" s="45"/>
      <c r="V218" s="45"/>
      <c r="W218" s="45"/>
      <c r="X218" s="45"/>
      <c r="Y218" s="45"/>
      <c r="Z218" s="51"/>
      <c r="AA218" s="53">
        <v>5</v>
      </c>
      <c r="AB218" s="45">
        <v>308.66000000000003</v>
      </c>
      <c r="AC218" s="45"/>
      <c r="AD218" s="45"/>
      <c r="AE218" s="45"/>
      <c r="AF218" s="45"/>
      <c r="AG218" s="45"/>
      <c r="AH218" s="51"/>
      <c r="AI218" s="53">
        <v>5</v>
      </c>
      <c r="AJ218" s="45">
        <v>309.25999999999988</v>
      </c>
      <c r="AK218" s="45"/>
      <c r="AL218" s="45"/>
      <c r="AM218" s="45"/>
      <c r="AN218" s="45"/>
      <c r="AO218" s="45"/>
      <c r="AP218" s="51"/>
    </row>
    <row r="219" spans="1:42" ht="21" customHeight="1" thickTop="1" thickBot="1" x14ac:dyDescent="0.35">
      <c r="A219" s="63"/>
      <c r="B219" s="66"/>
      <c r="C219" s="53">
        <v>6</v>
      </c>
      <c r="D219" s="45">
        <v>308.66000000000003</v>
      </c>
      <c r="E219" s="45"/>
      <c r="F219" s="45"/>
      <c r="G219" s="45"/>
      <c r="H219" s="45"/>
      <c r="I219" s="45"/>
      <c r="J219" s="51"/>
      <c r="K219" s="53">
        <v>6</v>
      </c>
      <c r="L219" s="45">
        <v>308.67</v>
      </c>
      <c r="M219" s="45"/>
      <c r="N219" s="45"/>
      <c r="O219" s="45"/>
      <c r="P219" s="45"/>
      <c r="Q219" s="45"/>
      <c r="R219" s="51"/>
      <c r="S219" s="53">
        <v>6</v>
      </c>
      <c r="T219" s="45">
        <v>310.83999999999997</v>
      </c>
      <c r="U219" s="45"/>
      <c r="V219" s="45"/>
      <c r="W219" s="45"/>
      <c r="X219" s="45"/>
      <c r="Y219" s="45"/>
      <c r="Z219" s="51"/>
      <c r="AA219" s="53">
        <v>6</v>
      </c>
      <c r="AB219" s="45">
        <v>310.80999999999989</v>
      </c>
      <c r="AC219" s="45"/>
      <c r="AD219" s="45"/>
      <c r="AE219" s="45"/>
      <c r="AF219" s="45"/>
      <c r="AG219" s="45"/>
      <c r="AH219" s="51"/>
      <c r="AI219" s="53">
        <v>6</v>
      </c>
      <c r="AJ219" s="45">
        <v>309.26999999999992</v>
      </c>
      <c r="AK219" s="45"/>
      <c r="AL219" s="45"/>
      <c r="AM219" s="45"/>
      <c r="AN219" s="45"/>
      <c r="AO219" s="45"/>
      <c r="AP219" s="51"/>
    </row>
    <row r="220" spans="1:42" ht="21" customHeight="1" thickTop="1" thickBot="1" x14ac:dyDescent="0.35">
      <c r="A220" s="63"/>
      <c r="B220" s="66"/>
      <c r="C220" s="53">
        <v>7</v>
      </c>
      <c r="D220" s="45">
        <v>310.18999999999988</v>
      </c>
      <c r="E220" s="45"/>
      <c r="F220" s="45"/>
      <c r="G220" s="45"/>
      <c r="H220" s="45"/>
      <c r="I220" s="45"/>
      <c r="J220" s="51"/>
      <c r="K220" s="53">
        <v>7</v>
      </c>
      <c r="L220" s="45">
        <v>310.02999999999997</v>
      </c>
      <c r="M220" s="45"/>
      <c r="N220" s="45"/>
      <c r="O220" s="45"/>
      <c r="P220" s="45"/>
      <c r="Q220" s="45"/>
      <c r="R220" s="51"/>
      <c r="S220" s="53">
        <v>7</v>
      </c>
      <c r="T220" s="45">
        <v>311.70999999999992</v>
      </c>
      <c r="U220" s="45"/>
      <c r="V220" s="45"/>
      <c r="W220" s="45"/>
      <c r="X220" s="45"/>
      <c r="Y220" s="45"/>
      <c r="Z220" s="51"/>
      <c r="AA220" s="53">
        <v>7</v>
      </c>
      <c r="AB220" s="45">
        <v>308.66000000000003</v>
      </c>
      <c r="AC220" s="45"/>
      <c r="AD220" s="45"/>
      <c r="AE220" s="45"/>
      <c r="AF220" s="45"/>
      <c r="AG220" s="45"/>
      <c r="AH220" s="51"/>
      <c r="AI220" s="53">
        <v>7</v>
      </c>
      <c r="AJ220" s="45">
        <v>310.07999999999993</v>
      </c>
      <c r="AK220" s="45"/>
      <c r="AL220" s="45"/>
      <c r="AM220" s="45"/>
      <c r="AN220" s="45"/>
      <c r="AO220" s="45"/>
      <c r="AP220" s="51"/>
    </row>
    <row r="221" spans="1:42" ht="21" customHeight="1" thickTop="1" thickBot="1" x14ac:dyDescent="0.35">
      <c r="A221" s="63"/>
      <c r="B221" s="66"/>
      <c r="C221" s="53">
        <v>8</v>
      </c>
      <c r="D221" s="45">
        <v>308.66000000000003</v>
      </c>
      <c r="E221" s="45"/>
      <c r="F221" s="45"/>
      <c r="G221" s="45"/>
      <c r="H221" s="45"/>
      <c r="I221" s="45"/>
      <c r="J221" s="51"/>
      <c r="K221" s="53">
        <v>8</v>
      </c>
      <c r="L221" s="45">
        <v>308.78999999999991</v>
      </c>
      <c r="M221" s="45"/>
      <c r="N221" s="45"/>
      <c r="O221" s="45"/>
      <c r="P221" s="45"/>
      <c r="Q221" s="45"/>
      <c r="R221" s="51"/>
      <c r="S221" s="53">
        <v>8</v>
      </c>
      <c r="T221" s="45">
        <v>310.68999999999988</v>
      </c>
      <c r="U221" s="45"/>
      <c r="V221" s="45"/>
      <c r="W221" s="45"/>
      <c r="X221" s="45"/>
      <c r="Y221" s="45"/>
      <c r="Z221" s="51"/>
      <c r="AA221" s="53">
        <v>8</v>
      </c>
      <c r="AB221" s="45">
        <v>309.69999999999987</v>
      </c>
      <c r="AC221" s="45"/>
      <c r="AD221" s="45"/>
      <c r="AE221" s="45"/>
      <c r="AF221" s="45"/>
      <c r="AG221" s="45"/>
      <c r="AH221" s="51"/>
      <c r="AI221" s="53">
        <v>8</v>
      </c>
      <c r="AJ221" s="45">
        <v>308.8</v>
      </c>
      <c r="AK221" s="45"/>
      <c r="AL221" s="45"/>
      <c r="AM221" s="45"/>
      <c r="AN221" s="45"/>
      <c r="AO221" s="45"/>
      <c r="AP221" s="51"/>
    </row>
    <row r="222" spans="1:42" ht="21" customHeight="1" thickTop="1" thickBot="1" x14ac:dyDescent="0.35">
      <c r="A222" s="63"/>
      <c r="B222" s="66"/>
      <c r="C222" s="53">
        <v>9</v>
      </c>
      <c r="D222" s="45">
        <v>308.77999999999992</v>
      </c>
      <c r="E222" s="45"/>
      <c r="F222" s="45"/>
      <c r="G222" s="45"/>
      <c r="H222" s="45"/>
      <c r="I222" s="45"/>
      <c r="J222" s="51"/>
      <c r="K222" s="53">
        <v>9</v>
      </c>
      <c r="L222" s="45">
        <v>308.93999999999988</v>
      </c>
      <c r="M222" s="45"/>
      <c r="N222" s="45"/>
      <c r="O222" s="45"/>
      <c r="P222" s="45"/>
      <c r="Q222" s="45"/>
      <c r="R222" s="51"/>
      <c r="S222" s="53">
        <v>9</v>
      </c>
      <c r="T222" s="45">
        <v>311.11</v>
      </c>
      <c r="U222" s="45"/>
      <c r="V222" s="45"/>
      <c r="W222" s="45"/>
      <c r="X222" s="45"/>
      <c r="Y222" s="45"/>
      <c r="Z222" s="51"/>
      <c r="AA222" s="53">
        <v>9</v>
      </c>
      <c r="AB222" s="45">
        <v>310.7399999999999</v>
      </c>
      <c r="AC222" s="45"/>
      <c r="AD222" s="45"/>
      <c r="AE222" s="45"/>
      <c r="AF222" s="45"/>
      <c r="AG222" s="45"/>
      <c r="AH222" s="51"/>
      <c r="AI222" s="53">
        <v>9</v>
      </c>
      <c r="AJ222" s="45">
        <v>309.31999999999988</v>
      </c>
      <c r="AK222" s="45"/>
      <c r="AL222" s="45"/>
      <c r="AM222" s="45"/>
      <c r="AN222" s="45"/>
      <c r="AO222" s="45"/>
      <c r="AP222" s="51"/>
    </row>
    <row r="223" spans="1:42" ht="21" customHeight="1" thickTop="1" thickBot="1" x14ac:dyDescent="0.35">
      <c r="A223" s="63"/>
      <c r="B223" s="66"/>
      <c r="C223" s="53">
        <v>10</v>
      </c>
      <c r="D223" s="45">
        <v>308.66000000000003</v>
      </c>
      <c r="E223" s="45"/>
      <c r="F223" s="45"/>
      <c r="G223" s="45"/>
      <c r="H223" s="45"/>
      <c r="I223" s="45"/>
      <c r="J223" s="51"/>
      <c r="K223" s="53">
        <v>10</v>
      </c>
      <c r="L223" s="45">
        <v>308.66000000000003</v>
      </c>
      <c r="M223" s="45"/>
      <c r="N223" s="45"/>
      <c r="O223" s="45"/>
      <c r="P223" s="45"/>
      <c r="Q223" s="45"/>
      <c r="R223" s="51"/>
      <c r="S223" s="53">
        <v>10</v>
      </c>
      <c r="T223" s="45">
        <v>309.70999999999992</v>
      </c>
      <c r="U223" s="45"/>
      <c r="V223" s="45"/>
      <c r="W223" s="45"/>
      <c r="X223" s="45"/>
      <c r="Y223" s="45"/>
      <c r="Z223" s="51"/>
      <c r="AA223" s="53">
        <v>10</v>
      </c>
      <c r="AB223" s="45">
        <v>312.42</v>
      </c>
      <c r="AC223" s="45"/>
      <c r="AD223" s="45"/>
      <c r="AE223" s="45"/>
      <c r="AF223" s="45"/>
      <c r="AG223" s="45"/>
      <c r="AH223" s="51"/>
      <c r="AI223" s="53">
        <v>10</v>
      </c>
      <c r="AJ223" s="45">
        <v>309.76999999999992</v>
      </c>
      <c r="AK223" s="45"/>
      <c r="AL223" s="45"/>
      <c r="AM223" s="45"/>
      <c r="AN223" s="45"/>
      <c r="AO223" s="45"/>
      <c r="AP223" s="51"/>
    </row>
    <row r="224" spans="1:42" ht="21" customHeight="1" thickTop="1" thickBot="1" x14ac:dyDescent="0.35">
      <c r="A224" s="63"/>
      <c r="B224" s="66"/>
      <c r="C224" s="53"/>
      <c r="D224" s="45"/>
      <c r="E224" s="45"/>
      <c r="F224" s="45"/>
      <c r="G224" s="45"/>
      <c r="H224" s="45"/>
      <c r="I224" s="45"/>
      <c r="J224" s="51"/>
      <c r="K224" s="53"/>
      <c r="L224" s="45"/>
      <c r="M224" s="45"/>
      <c r="N224" s="45"/>
      <c r="O224" s="45"/>
      <c r="P224" s="45"/>
      <c r="Q224" s="45"/>
      <c r="R224" s="51"/>
      <c r="S224" s="53"/>
      <c r="T224" s="45"/>
      <c r="U224" s="45"/>
      <c r="V224" s="45"/>
      <c r="W224" s="45"/>
      <c r="X224" s="45"/>
      <c r="Y224" s="45"/>
      <c r="Z224" s="51"/>
      <c r="AA224" s="53"/>
      <c r="AB224" s="45"/>
      <c r="AC224" s="45"/>
      <c r="AD224" s="45"/>
      <c r="AE224" s="45"/>
      <c r="AF224" s="45"/>
      <c r="AG224" s="45"/>
      <c r="AH224" s="51"/>
      <c r="AI224" s="53"/>
      <c r="AJ224" s="45"/>
      <c r="AK224" s="45"/>
      <c r="AL224" s="45"/>
      <c r="AM224" s="45"/>
      <c r="AN224" s="45"/>
      <c r="AO224" s="45"/>
      <c r="AP224" s="51"/>
    </row>
    <row r="225" spans="1:42" ht="21" customHeight="1" thickTop="1" thickBot="1" x14ac:dyDescent="0.35">
      <c r="A225" s="63"/>
      <c r="B225" s="66"/>
      <c r="C225" s="54" t="s">
        <v>16</v>
      </c>
      <c r="D225" s="49">
        <f>MIN(D214:D223)</f>
        <v>308.65999999999991</v>
      </c>
      <c r="E225" s="45"/>
      <c r="F225" s="55" t="s">
        <v>17</v>
      </c>
      <c r="G225" s="49" t="s">
        <v>18</v>
      </c>
      <c r="H225" s="49" t="s">
        <v>19</v>
      </c>
      <c r="I225" s="45"/>
      <c r="J225" s="51"/>
      <c r="K225" s="54" t="s">
        <v>16</v>
      </c>
      <c r="L225" s="49">
        <f>MIN(L214:L223)</f>
        <v>308.66000000000003</v>
      </c>
      <c r="M225" s="45"/>
      <c r="N225" s="55" t="s">
        <v>17</v>
      </c>
      <c r="O225" s="49" t="s">
        <v>18</v>
      </c>
      <c r="P225" s="49" t="s">
        <v>19</v>
      </c>
      <c r="Q225" s="45"/>
      <c r="R225" s="51"/>
      <c r="S225" s="54" t="s">
        <v>16</v>
      </c>
      <c r="T225" s="49">
        <f>MIN(T214:T223)</f>
        <v>309.70999999999992</v>
      </c>
      <c r="U225" s="45"/>
      <c r="V225" s="55" t="s">
        <v>17</v>
      </c>
      <c r="W225" s="49" t="s">
        <v>18</v>
      </c>
      <c r="X225" s="49" t="s">
        <v>19</v>
      </c>
      <c r="Y225" s="45"/>
      <c r="Z225" s="51"/>
      <c r="AA225" s="54" t="s">
        <v>16</v>
      </c>
      <c r="AB225" s="49">
        <f>MIN(AB214:AB223)</f>
        <v>308.66000000000003</v>
      </c>
      <c r="AC225" s="45"/>
      <c r="AD225" s="55" t="s">
        <v>17</v>
      </c>
      <c r="AE225" s="49" t="s">
        <v>18</v>
      </c>
      <c r="AF225" s="49" t="s">
        <v>19</v>
      </c>
      <c r="AG225" s="45"/>
      <c r="AH225" s="51"/>
      <c r="AI225" s="54" t="s">
        <v>16</v>
      </c>
      <c r="AJ225" s="49">
        <f>MIN(AJ214:AJ223)</f>
        <v>308.8</v>
      </c>
      <c r="AK225" s="45"/>
      <c r="AL225" s="55" t="s">
        <v>17</v>
      </c>
      <c r="AM225" s="49" t="s">
        <v>18</v>
      </c>
      <c r="AN225" s="49" t="s">
        <v>19</v>
      </c>
      <c r="AO225" s="45"/>
      <c r="AP225" s="51"/>
    </row>
    <row r="226" spans="1:42" ht="21" customHeight="1" thickTop="1" thickBot="1" x14ac:dyDescent="0.35">
      <c r="A226" s="63"/>
      <c r="B226" s="66"/>
      <c r="C226" s="54" t="s">
        <v>20</v>
      </c>
      <c r="D226" s="48">
        <f>AVERAGE(D214:D223)</f>
        <v>309.13099999999997</v>
      </c>
      <c r="E226" s="47"/>
      <c r="F226" s="48">
        <f>_xlfn.STDEV.S(D214:D223) / AVERAGE(D214:D223) * 100%</f>
        <v>2.0123040253924736E-3</v>
      </c>
      <c r="G226" s="48">
        <f t="array" ref="G226">MIN((D214:D223 - MIN(D214:D223,L214:L223,T214:T223,AB214:AB223,AJ214:AJ223))/MIN(D214:D223,L214:L223,T214:T223,AB214:AB223,AJ214:AJ223)*100%)</f>
        <v>0</v>
      </c>
      <c r="H226" s="48">
        <f t="array" ref="H226">AVERAGE((D214:D223 - MIN(D214:D223,L214:L223,T214:T223,AB214:AB223,AJ214:AJ223))/MIN(D214:D223,L214:L223,T214:T223,AB214:AB223,AJ214:AJ223)*100%)</f>
        <v>1.5259508844685066E-3</v>
      </c>
      <c r="I226" s="45"/>
      <c r="J226" s="51"/>
      <c r="K226" s="54" t="s">
        <v>20</v>
      </c>
      <c r="L226" s="48">
        <f>AVERAGE(L214:L223)</f>
        <v>309.28199999999998</v>
      </c>
      <c r="M226" s="47"/>
      <c r="N226" s="48">
        <f>_xlfn.STDEV.S(L214:L223) / AVERAGE(L214:L223) * 100%</f>
        <v>1.8848752092639391E-3</v>
      </c>
      <c r="O226" s="48">
        <f t="array" ref="O226">MIN((L214:L223 - MIN(D214:D223,L214:L223,T214:T223,AB214:AB223,AJ214:AJ223))/MIN(D214:D223,L214:L223,T214:T223,AB214:AB223,AJ214:AJ223)*100%)</f>
        <v>3.6832384410554029E-16</v>
      </c>
      <c r="P226" s="48">
        <f t="array" ref="P226">AVERAGE((L214:L223 - MIN(D214:D223,L214:L223,T214:T223,AB214:AB223,AJ214:AJ223))/MIN(D214:D223,L214:L223,T214:T223,AB214:AB223,AJ214:AJ223)*100%)</f>
        <v>2.015162314520915E-3</v>
      </c>
      <c r="Q226" s="44"/>
      <c r="R226" s="51"/>
      <c r="S226" s="54" t="s">
        <v>20</v>
      </c>
      <c r="T226" s="48">
        <f>AVERAGE(T214:T223)</f>
        <v>310.93399999999997</v>
      </c>
      <c r="U226" s="47"/>
      <c r="V226" s="48">
        <f>_xlfn.STDEV.S(T214:T223) / AVERAGE(T214:T223) * 100%</f>
        <v>2.5691473535501921E-3</v>
      </c>
      <c r="W226" s="48">
        <f t="array" ref="W226">MIN((T214:T223 - MIN(D214:D223,L214:L223,T214:T223,AB214:AB223,AJ214:AJ223))/MIN(D214:D223,L214:L223,T214:T223,AB214:AB223,AJ214:AJ223)*100%)</f>
        <v>3.4018013348020852E-3</v>
      </c>
      <c r="X226" s="48">
        <f t="array" ref="X226">AVERAGE((T214:T223 - MIN(D214:D223,L214:L223,T214:T223,AB214:AB223,AJ214:AJ223))/MIN(D214:D223,L214:L223,T214:T223,AB214:AB223,AJ214:AJ223)*100%)</f>
        <v>7.3673297479427994E-3</v>
      </c>
      <c r="Y226" s="44"/>
      <c r="Z226" s="51"/>
      <c r="AA226" s="54" t="s">
        <v>20</v>
      </c>
      <c r="AB226" s="48">
        <f>AVERAGE(AB214:AB223)</f>
        <v>309.96399999999994</v>
      </c>
      <c r="AC226" s="47"/>
      <c r="AD226" s="48">
        <f>_xlfn.STDEV.S(AB214:AB223) / AVERAGE(AB214:AB223) * 100%</f>
        <v>3.611824657099208E-3</v>
      </c>
      <c r="AE226" s="48">
        <f t="array" ref="AE226">MIN((AB214:AB223 - MIN(D214:D223,L214:L223,T214:T223,AB214:AB223,AJ214:AJ223))/MIN(D214:D223,L214:L223,T214:T223,AB214:AB223,AJ214:AJ223)*100%)</f>
        <v>3.6832384410554029E-16</v>
      </c>
      <c r="AF226" s="48">
        <f t="array" ref="AF226">AVERAGE((AB214:AB223 - MIN(D214:D223,L214:L223,T214:T223,AB214:AB223,AJ214:AJ223))/MIN(D214:D223,L214:L223,T214:T223,AB214:AB223,AJ214:AJ223)*100%)</f>
        <v>4.2247132767447744E-3</v>
      </c>
      <c r="AG226" s="44"/>
      <c r="AH226" s="51"/>
      <c r="AI226" s="54" t="s">
        <v>20</v>
      </c>
      <c r="AJ226" s="48">
        <f>AVERAGE(AJ214:AJ223)</f>
        <v>309.49099999999993</v>
      </c>
      <c r="AK226" s="47"/>
      <c r="AL226" s="48">
        <f>_xlfn.STDEV.S(AJ214:AJ223) / AVERAGE(AJ214:AJ223) * 100%</f>
        <v>1.2260686568807268E-3</v>
      </c>
      <c r="AM226" s="48">
        <f t="array" ref="AM226">MIN((AJ214:AJ223 - MIN(D214:D223,L214:L223,T214:T223,AB214:AB223,AJ214:AJ223))/MIN(D214:D223,L214:L223,T214:T223,AB214:AB223,AJ214:AJ223)*100%)</f>
        <v>4.5357351130726392E-4</v>
      </c>
      <c r="AN226" s="48">
        <f t="array" ref="AN226">AVERAGE((AJ214:AJ223 - MIN(D214:D223,L214:L223,T214:T223,AB214:AB223,AJ214:AJ223))/MIN(D214:D223,L214:L223,T214:T223,AB214:AB223,AJ214:AJ223)*100%)</f>
        <v>2.6922827706862664E-3</v>
      </c>
      <c r="AO226" s="44"/>
      <c r="AP226" s="51"/>
    </row>
    <row r="227" spans="1:42" ht="21" customHeight="1" thickTop="1" thickBot="1" x14ac:dyDescent="0.35">
      <c r="A227" s="63"/>
      <c r="B227" s="67"/>
      <c r="C227" s="53"/>
      <c r="D227" s="44"/>
      <c r="E227" s="44"/>
      <c r="F227" s="44"/>
      <c r="G227" s="44"/>
      <c r="H227" s="44"/>
      <c r="I227" s="44"/>
      <c r="J227" s="51"/>
      <c r="K227" s="53"/>
      <c r="L227" s="44"/>
      <c r="M227" s="44"/>
      <c r="N227" s="44"/>
      <c r="O227" s="44"/>
      <c r="P227" s="44"/>
      <c r="Q227" s="44"/>
      <c r="R227" s="51"/>
      <c r="S227" s="53"/>
      <c r="T227" s="44"/>
      <c r="U227" s="44"/>
      <c r="V227" s="44"/>
      <c r="W227" s="44"/>
      <c r="X227" s="44"/>
      <c r="Y227" s="44"/>
      <c r="Z227" s="51"/>
      <c r="AA227" s="53"/>
      <c r="AB227" s="44"/>
      <c r="AC227" s="44"/>
      <c r="AD227" s="44"/>
      <c r="AE227" s="44"/>
      <c r="AF227" s="44"/>
      <c r="AG227" s="44"/>
      <c r="AH227" s="51"/>
      <c r="AI227" s="53"/>
      <c r="AJ227" s="44"/>
      <c r="AK227" s="44"/>
      <c r="AL227" s="44"/>
      <c r="AM227" s="44"/>
      <c r="AN227" s="44"/>
      <c r="AO227" s="44"/>
      <c r="AP227" s="51"/>
    </row>
    <row r="228" spans="1:42" ht="21" customHeight="1" thickTop="1" thickBot="1" x14ac:dyDescent="0.35">
      <c r="A228" s="63"/>
      <c r="B228" s="65" t="s">
        <v>81</v>
      </c>
      <c r="C228" s="59" t="s">
        <v>8</v>
      </c>
      <c r="D228" s="46" t="s">
        <v>9</v>
      </c>
      <c r="E228" s="46" t="s">
        <v>10</v>
      </c>
      <c r="F228" s="46" t="s">
        <v>11</v>
      </c>
      <c r="G228" s="46" t="s">
        <v>12</v>
      </c>
      <c r="H228" s="46" t="s">
        <v>13</v>
      </c>
      <c r="I228" s="46" t="s">
        <v>14</v>
      </c>
      <c r="J228" s="60" t="s">
        <v>15</v>
      </c>
      <c r="K228" s="59" t="s">
        <v>8</v>
      </c>
      <c r="L228" s="46" t="s">
        <v>9</v>
      </c>
      <c r="M228" s="46" t="s">
        <v>10</v>
      </c>
      <c r="N228" s="46" t="s">
        <v>11</v>
      </c>
      <c r="O228" s="46" t="s">
        <v>12</v>
      </c>
      <c r="P228" s="46" t="s">
        <v>13</v>
      </c>
      <c r="Q228" s="46" t="s">
        <v>14</v>
      </c>
      <c r="R228" s="60" t="s">
        <v>15</v>
      </c>
      <c r="S228" s="59" t="s">
        <v>8</v>
      </c>
      <c r="T228" s="46" t="s">
        <v>9</v>
      </c>
      <c r="U228" s="46" t="s">
        <v>10</v>
      </c>
      <c r="V228" s="46" t="s">
        <v>11</v>
      </c>
      <c r="W228" s="46" t="s">
        <v>12</v>
      </c>
      <c r="X228" s="46" t="s">
        <v>13</v>
      </c>
      <c r="Y228" s="46" t="s">
        <v>14</v>
      </c>
      <c r="Z228" s="60" t="s">
        <v>15</v>
      </c>
      <c r="AA228" s="59" t="s">
        <v>8</v>
      </c>
      <c r="AB228" s="46" t="s">
        <v>9</v>
      </c>
      <c r="AC228" s="46" t="s">
        <v>10</v>
      </c>
      <c r="AD228" s="46" t="s">
        <v>11</v>
      </c>
      <c r="AE228" s="46" t="s">
        <v>12</v>
      </c>
      <c r="AF228" s="46" t="s">
        <v>13</v>
      </c>
      <c r="AG228" s="46" t="s">
        <v>14</v>
      </c>
      <c r="AH228" s="60" t="s">
        <v>15</v>
      </c>
      <c r="AI228" s="59" t="s">
        <v>8</v>
      </c>
      <c r="AJ228" s="46" t="s">
        <v>9</v>
      </c>
      <c r="AK228" s="46" t="s">
        <v>10</v>
      </c>
      <c r="AL228" s="46" t="s">
        <v>11</v>
      </c>
      <c r="AM228" s="46" t="s">
        <v>12</v>
      </c>
      <c r="AN228" s="46" t="s">
        <v>13</v>
      </c>
      <c r="AO228" s="46" t="s">
        <v>14</v>
      </c>
      <c r="AP228" s="60" t="s">
        <v>15</v>
      </c>
    </row>
    <row r="229" spans="1:42" ht="21" customHeight="1" thickTop="1" thickBot="1" x14ac:dyDescent="0.35">
      <c r="A229" s="63"/>
      <c r="B229" s="66"/>
      <c r="C229" s="52">
        <v>1</v>
      </c>
      <c r="D229" s="44">
        <v>326.52999999999992</v>
      </c>
      <c r="E229" s="44"/>
      <c r="F229" s="44"/>
      <c r="G229" s="44"/>
      <c r="H229" s="44"/>
      <c r="I229" s="44"/>
      <c r="J229" s="51"/>
      <c r="K229" s="52">
        <v>1</v>
      </c>
      <c r="L229" s="44">
        <v>326.78999999999991</v>
      </c>
      <c r="M229" s="44"/>
      <c r="N229" s="44"/>
      <c r="O229" s="44"/>
      <c r="P229" s="44"/>
      <c r="Q229" s="44"/>
      <c r="R229" s="51"/>
      <c r="S229" s="52">
        <v>1</v>
      </c>
      <c r="T229" s="44">
        <v>325.93999999999988</v>
      </c>
      <c r="U229" s="44"/>
      <c r="V229" s="44"/>
      <c r="W229" s="44"/>
      <c r="X229" s="44"/>
      <c r="Y229" s="44"/>
      <c r="Z229" s="51"/>
      <c r="AA229" s="52">
        <v>1</v>
      </c>
      <c r="AB229" s="44">
        <v>326.82999999999993</v>
      </c>
      <c r="AC229" s="44"/>
      <c r="AD229" s="44"/>
      <c r="AE229" s="44"/>
      <c r="AF229" s="44"/>
      <c r="AG229" s="44"/>
      <c r="AH229" s="51"/>
      <c r="AI229" s="52">
        <v>1</v>
      </c>
      <c r="AJ229" s="44">
        <v>325.47000000000003</v>
      </c>
      <c r="AK229" s="44"/>
      <c r="AL229" s="44"/>
      <c r="AM229" s="44"/>
      <c r="AN229" s="44"/>
      <c r="AO229" s="44"/>
      <c r="AP229" s="51"/>
    </row>
    <row r="230" spans="1:42" ht="21" customHeight="1" thickTop="1" thickBot="1" x14ac:dyDescent="0.35">
      <c r="A230" s="63"/>
      <c r="B230" s="66"/>
      <c r="C230" s="53">
        <v>2</v>
      </c>
      <c r="D230" s="45">
        <v>326.10000000000002</v>
      </c>
      <c r="E230" s="45"/>
      <c r="F230" s="45"/>
      <c r="G230" s="45"/>
      <c r="H230" s="45"/>
      <c r="I230" s="45"/>
      <c r="J230" s="51"/>
      <c r="K230" s="53">
        <v>2</v>
      </c>
      <c r="L230" s="45">
        <v>325.86999999999989</v>
      </c>
      <c r="M230" s="45"/>
      <c r="N230" s="45"/>
      <c r="O230" s="45"/>
      <c r="P230" s="45"/>
      <c r="Q230" s="45"/>
      <c r="R230" s="51"/>
      <c r="S230" s="53">
        <v>2</v>
      </c>
      <c r="T230" s="45">
        <v>326.42</v>
      </c>
      <c r="U230" s="45"/>
      <c r="V230" s="45"/>
      <c r="W230" s="45"/>
      <c r="X230" s="45"/>
      <c r="Y230" s="45"/>
      <c r="Z230" s="51"/>
      <c r="AA230" s="53">
        <v>2</v>
      </c>
      <c r="AB230" s="45">
        <v>326.31999999999988</v>
      </c>
      <c r="AC230" s="45"/>
      <c r="AD230" s="45"/>
      <c r="AE230" s="45"/>
      <c r="AF230" s="45"/>
      <c r="AG230" s="45"/>
      <c r="AH230" s="51"/>
      <c r="AI230" s="53">
        <v>2</v>
      </c>
      <c r="AJ230" s="45">
        <v>325.86999999999989</v>
      </c>
      <c r="AK230" s="45"/>
      <c r="AL230" s="45"/>
      <c r="AM230" s="45"/>
      <c r="AN230" s="45"/>
      <c r="AO230" s="45"/>
      <c r="AP230" s="51"/>
    </row>
    <row r="231" spans="1:42" ht="21" customHeight="1" thickTop="1" thickBot="1" x14ac:dyDescent="0.35">
      <c r="A231" s="63"/>
      <c r="B231" s="66"/>
      <c r="C231" s="53">
        <v>3</v>
      </c>
      <c r="D231" s="45">
        <v>326.26999999999992</v>
      </c>
      <c r="E231" s="45"/>
      <c r="F231" s="45"/>
      <c r="G231" s="44"/>
      <c r="H231" s="44"/>
      <c r="I231" s="44"/>
      <c r="J231" s="51"/>
      <c r="K231" s="53">
        <v>3</v>
      </c>
      <c r="L231" s="45">
        <v>325.57999999999993</v>
      </c>
      <c r="M231" s="45"/>
      <c r="N231" s="45"/>
      <c r="O231" s="44"/>
      <c r="P231" s="44"/>
      <c r="Q231" s="44"/>
      <c r="R231" s="51"/>
      <c r="S231" s="53">
        <v>3</v>
      </c>
      <c r="T231" s="45">
        <v>325.9799999999999</v>
      </c>
      <c r="U231" s="45"/>
      <c r="V231" s="45"/>
      <c r="W231" s="44"/>
      <c r="X231" s="44"/>
      <c r="Y231" s="44"/>
      <c r="Z231" s="51"/>
      <c r="AA231" s="53">
        <v>3</v>
      </c>
      <c r="AB231" s="45">
        <v>327.2999999999999</v>
      </c>
      <c r="AC231" s="45"/>
      <c r="AD231" s="45"/>
      <c r="AE231" s="44"/>
      <c r="AF231" s="44"/>
      <c r="AG231" s="44"/>
      <c r="AH231" s="51"/>
      <c r="AI231" s="53">
        <v>3</v>
      </c>
      <c r="AJ231" s="45">
        <v>325.98</v>
      </c>
      <c r="AK231" s="45"/>
      <c r="AL231" s="45"/>
      <c r="AM231" s="44"/>
      <c r="AN231" s="44"/>
      <c r="AO231" s="44"/>
      <c r="AP231" s="51"/>
    </row>
    <row r="232" spans="1:42" ht="21" customHeight="1" thickTop="1" thickBot="1" x14ac:dyDescent="0.35">
      <c r="A232" s="63"/>
      <c r="B232" s="66"/>
      <c r="C232" s="53">
        <v>4</v>
      </c>
      <c r="D232" s="45">
        <v>326.55</v>
      </c>
      <c r="E232" s="45"/>
      <c r="F232" s="45"/>
      <c r="G232" s="45"/>
      <c r="H232" s="45"/>
      <c r="I232" s="45"/>
      <c r="J232" s="51"/>
      <c r="K232" s="53">
        <v>4</v>
      </c>
      <c r="L232" s="45">
        <v>326.52999999999992</v>
      </c>
      <c r="M232" s="45"/>
      <c r="N232" s="45"/>
      <c r="O232" s="45"/>
      <c r="P232" s="45"/>
      <c r="Q232" s="45"/>
      <c r="R232" s="51"/>
      <c r="S232" s="53">
        <v>4</v>
      </c>
      <c r="T232" s="45">
        <v>326.02999999999992</v>
      </c>
      <c r="U232" s="45"/>
      <c r="V232" s="45"/>
      <c r="W232" s="45"/>
      <c r="X232" s="45"/>
      <c r="Y232" s="45"/>
      <c r="Z232" s="51"/>
      <c r="AA232" s="53">
        <v>4</v>
      </c>
      <c r="AB232" s="45">
        <v>326.76999999999992</v>
      </c>
      <c r="AC232" s="45"/>
      <c r="AD232" s="45"/>
      <c r="AE232" s="45"/>
      <c r="AF232" s="45"/>
      <c r="AG232" s="45"/>
      <c r="AH232" s="51"/>
      <c r="AI232" s="53">
        <v>4</v>
      </c>
      <c r="AJ232" s="45">
        <v>325.88999999999987</v>
      </c>
      <c r="AK232" s="45"/>
      <c r="AL232" s="45"/>
      <c r="AM232" s="45"/>
      <c r="AN232" s="45"/>
      <c r="AO232" s="45"/>
      <c r="AP232" s="51"/>
    </row>
    <row r="233" spans="1:42" ht="21" customHeight="1" thickTop="1" thickBot="1" x14ac:dyDescent="0.35">
      <c r="A233" s="63"/>
      <c r="B233" s="66"/>
      <c r="C233" s="53">
        <v>5</v>
      </c>
      <c r="D233" s="45">
        <v>326.03999999999991</v>
      </c>
      <c r="E233" s="45"/>
      <c r="F233" s="45"/>
      <c r="G233" s="45"/>
      <c r="H233" s="45"/>
      <c r="I233" s="45"/>
      <c r="J233" s="51"/>
      <c r="K233" s="53">
        <v>5</v>
      </c>
      <c r="L233" s="45">
        <v>326.80999999999989</v>
      </c>
      <c r="M233" s="45"/>
      <c r="N233" s="45"/>
      <c r="O233" s="45"/>
      <c r="P233" s="45"/>
      <c r="Q233" s="45"/>
      <c r="R233" s="51"/>
      <c r="S233" s="53">
        <v>5</v>
      </c>
      <c r="T233" s="45">
        <v>326.45</v>
      </c>
      <c r="U233" s="45"/>
      <c r="V233" s="45"/>
      <c r="W233" s="45"/>
      <c r="X233" s="45"/>
      <c r="Y233" s="45"/>
      <c r="Z233" s="51"/>
      <c r="AA233" s="53">
        <v>5</v>
      </c>
      <c r="AB233" s="45">
        <v>326.61999999999989</v>
      </c>
      <c r="AC233" s="45"/>
      <c r="AD233" s="45"/>
      <c r="AE233" s="45"/>
      <c r="AF233" s="45"/>
      <c r="AG233" s="45"/>
      <c r="AH233" s="51"/>
      <c r="AI233" s="53">
        <v>5</v>
      </c>
      <c r="AJ233" s="45">
        <v>325.45999999999992</v>
      </c>
      <c r="AK233" s="45"/>
      <c r="AL233" s="45"/>
      <c r="AM233" s="45"/>
      <c r="AN233" s="45"/>
      <c r="AO233" s="45"/>
      <c r="AP233" s="51"/>
    </row>
    <row r="234" spans="1:42" ht="21" customHeight="1" thickTop="1" thickBot="1" x14ac:dyDescent="0.35">
      <c r="A234" s="63"/>
      <c r="B234" s="66"/>
      <c r="C234" s="53">
        <v>6</v>
      </c>
      <c r="D234" s="45">
        <v>326.77</v>
      </c>
      <c r="E234" s="45"/>
      <c r="F234" s="45"/>
      <c r="G234" s="45"/>
      <c r="H234" s="45"/>
      <c r="I234" s="45"/>
      <c r="J234" s="51"/>
      <c r="K234" s="53">
        <v>6</v>
      </c>
      <c r="L234" s="45">
        <v>326.61999999999989</v>
      </c>
      <c r="M234" s="45"/>
      <c r="N234" s="45"/>
      <c r="O234" s="45"/>
      <c r="P234" s="45"/>
      <c r="Q234" s="45"/>
      <c r="R234" s="51"/>
      <c r="S234" s="53">
        <v>6</v>
      </c>
      <c r="T234" s="45">
        <v>327.93999999999988</v>
      </c>
      <c r="U234" s="45"/>
      <c r="V234" s="45"/>
      <c r="W234" s="45"/>
      <c r="X234" s="45"/>
      <c r="Y234" s="45"/>
      <c r="Z234" s="51"/>
      <c r="AA234" s="53">
        <v>6</v>
      </c>
      <c r="AB234" s="45">
        <v>328.51999999999992</v>
      </c>
      <c r="AC234" s="45"/>
      <c r="AD234" s="45"/>
      <c r="AE234" s="45"/>
      <c r="AF234" s="45"/>
      <c r="AG234" s="45"/>
      <c r="AH234" s="51"/>
      <c r="AI234" s="53">
        <v>6</v>
      </c>
      <c r="AJ234" s="45">
        <v>326.04000000000002</v>
      </c>
      <c r="AK234" s="45"/>
      <c r="AL234" s="45"/>
      <c r="AM234" s="45"/>
      <c r="AN234" s="45"/>
      <c r="AO234" s="45"/>
      <c r="AP234" s="51"/>
    </row>
    <row r="235" spans="1:42" ht="21" customHeight="1" thickTop="1" thickBot="1" x14ac:dyDescent="0.35">
      <c r="A235" s="63"/>
      <c r="B235" s="66"/>
      <c r="C235" s="53">
        <v>7</v>
      </c>
      <c r="D235" s="45">
        <v>326.11</v>
      </c>
      <c r="E235" s="45"/>
      <c r="F235" s="45"/>
      <c r="G235" s="45"/>
      <c r="H235" s="45"/>
      <c r="I235" s="45"/>
      <c r="J235" s="51"/>
      <c r="K235" s="53">
        <v>7</v>
      </c>
      <c r="L235" s="45">
        <v>325.25999999999988</v>
      </c>
      <c r="M235" s="45"/>
      <c r="N235" s="45"/>
      <c r="O235" s="45"/>
      <c r="P235" s="45"/>
      <c r="Q235" s="45"/>
      <c r="R235" s="51"/>
      <c r="S235" s="53">
        <v>7</v>
      </c>
      <c r="T235" s="45">
        <v>326.11999999999989</v>
      </c>
      <c r="U235" s="45"/>
      <c r="V235" s="45"/>
      <c r="W235" s="45"/>
      <c r="X235" s="45"/>
      <c r="Y235" s="45"/>
      <c r="Z235" s="51"/>
      <c r="AA235" s="53">
        <v>7</v>
      </c>
      <c r="AB235" s="45">
        <v>327.36999999999989</v>
      </c>
      <c r="AC235" s="45"/>
      <c r="AD235" s="45"/>
      <c r="AE235" s="45"/>
      <c r="AF235" s="45"/>
      <c r="AG235" s="45"/>
      <c r="AH235" s="51"/>
      <c r="AI235" s="53">
        <v>7</v>
      </c>
      <c r="AJ235" s="45">
        <v>324.94</v>
      </c>
      <c r="AK235" s="45"/>
      <c r="AL235" s="45"/>
      <c r="AM235" s="45"/>
      <c r="AN235" s="45"/>
      <c r="AO235" s="45"/>
      <c r="AP235" s="51"/>
    </row>
    <row r="236" spans="1:42" ht="21" customHeight="1" thickTop="1" thickBot="1" x14ac:dyDescent="0.35">
      <c r="A236" s="63"/>
      <c r="B236" s="66"/>
      <c r="C236" s="53">
        <v>8</v>
      </c>
      <c r="D236" s="45">
        <v>326.62999999999988</v>
      </c>
      <c r="E236" s="45"/>
      <c r="F236" s="45"/>
      <c r="G236" s="45"/>
      <c r="H236" s="45"/>
      <c r="I236" s="45"/>
      <c r="J236" s="51"/>
      <c r="K236" s="53">
        <v>8</v>
      </c>
      <c r="L236" s="45">
        <v>325.91000000000003</v>
      </c>
      <c r="M236" s="45"/>
      <c r="N236" s="45"/>
      <c r="O236" s="45"/>
      <c r="P236" s="45"/>
      <c r="Q236" s="45"/>
      <c r="R236" s="51"/>
      <c r="S236" s="53">
        <v>8</v>
      </c>
      <c r="T236" s="45">
        <v>327.31999999999988</v>
      </c>
      <c r="U236" s="45"/>
      <c r="V236" s="45"/>
      <c r="W236" s="45"/>
      <c r="X236" s="45"/>
      <c r="Y236" s="45"/>
      <c r="Z236" s="51"/>
      <c r="AA236" s="53">
        <v>8</v>
      </c>
      <c r="AB236" s="45">
        <v>326.84999999999991</v>
      </c>
      <c r="AC236" s="45"/>
      <c r="AD236" s="45"/>
      <c r="AE236" s="45"/>
      <c r="AF236" s="45"/>
      <c r="AG236" s="45"/>
      <c r="AH236" s="51"/>
      <c r="AI236" s="53">
        <v>8</v>
      </c>
      <c r="AJ236" s="45">
        <v>325.76999999999992</v>
      </c>
      <c r="AK236" s="45"/>
      <c r="AL236" s="45"/>
      <c r="AM236" s="45"/>
      <c r="AN236" s="45"/>
      <c r="AO236" s="45"/>
      <c r="AP236" s="51"/>
    </row>
    <row r="237" spans="1:42" ht="21" customHeight="1" thickTop="1" thickBot="1" x14ac:dyDescent="0.35">
      <c r="A237" s="63"/>
      <c r="B237" s="66"/>
      <c r="C237" s="53">
        <v>9</v>
      </c>
      <c r="D237" s="45">
        <v>325.78999999999991</v>
      </c>
      <c r="E237" s="45"/>
      <c r="F237" s="45"/>
      <c r="G237" s="45"/>
      <c r="H237" s="45"/>
      <c r="I237" s="45"/>
      <c r="J237" s="51"/>
      <c r="K237" s="53">
        <v>9</v>
      </c>
      <c r="L237" s="45">
        <v>325.70999999999998</v>
      </c>
      <c r="M237" s="45"/>
      <c r="N237" s="45"/>
      <c r="O237" s="45"/>
      <c r="P237" s="45"/>
      <c r="Q237" s="45"/>
      <c r="R237" s="51"/>
      <c r="S237" s="53">
        <v>9</v>
      </c>
      <c r="T237" s="45">
        <v>325.77999999999997</v>
      </c>
      <c r="U237" s="45"/>
      <c r="V237" s="45"/>
      <c r="W237" s="45"/>
      <c r="X237" s="45"/>
      <c r="Y237" s="45"/>
      <c r="Z237" s="51"/>
      <c r="AA237" s="53">
        <v>9</v>
      </c>
      <c r="AB237" s="45">
        <v>326.36999999999989</v>
      </c>
      <c r="AC237" s="45"/>
      <c r="AD237" s="45"/>
      <c r="AE237" s="45"/>
      <c r="AF237" s="45"/>
      <c r="AG237" s="45"/>
      <c r="AH237" s="51"/>
      <c r="AI237" s="53">
        <v>9</v>
      </c>
      <c r="AJ237" s="45">
        <v>325.25999999999988</v>
      </c>
      <c r="AK237" s="45"/>
      <c r="AL237" s="45"/>
      <c r="AM237" s="45"/>
      <c r="AN237" s="45"/>
      <c r="AO237" s="45"/>
      <c r="AP237" s="51"/>
    </row>
    <row r="238" spans="1:42" ht="21" customHeight="1" thickTop="1" thickBot="1" x14ac:dyDescent="0.35">
      <c r="A238" s="63"/>
      <c r="B238" s="66"/>
      <c r="C238" s="53">
        <v>10</v>
      </c>
      <c r="D238" s="45">
        <v>326.44999999999987</v>
      </c>
      <c r="E238" s="45"/>
      <c r="F238" s="45"/>
      <c r="G238" s="45"/>
      <c r="H238" s="45"/>
      <c r="I238" s="45"/>
      <c r="J238" s="51"/>
      <c r="K238" s="53">
        <v>10</v>
      </c>
      <c r="L238" s="45">
        <v>326.46999999999991</v>
      </c>
      <c r="M238" s="45"/>
      <c r="N238" s="45"/>
      <c r="O238" s="45"/>
      <c r="P238" s="45"/>
      <c r="Q238" s="45"/>
      <c r="R238" s="51"/>
      <c r="S238" s="53">
        <v>10</v>
      </c>
      <c r="T238" s="45">
        <v>326.85000000000002</v>
      </c>
      <c r="U238" s="45"/>
      <c r="V238" s="45"/>
      <c r="W238" s="45"/>
      <c r="X238" s="45"/>
      <c r="Y238" s="45"/>
      <c r="Z238" s="51"/>
      <c r="AA238" s="53">
        <v>10</v>
      </c>
      <c r="AB238" s="45">
        <v>328.05</v>
      </c>
      <c r="AC238" s="45"/>
      <c r="AD238" s="45"/>
      <c r="AE238" s="45"/>
      <c r="AF238" s="45"/>
      <c r="AG238" s="45"/>
      <c r="AH238" s="51"/>
      <c r="AI238" s="53">
        <v>10</v>
      </c>
      <c r="AJ238" s="45">
        <v>325.29000000000002</v>
      </c>
      <c r="AK238" s="45"/>
      <c r="AL238" s="45"/>
      <c r="AM238" s="45"/>
      <c r="AN238" s="45"/>
      <c r="AO238" s="45"/>
      <c r="AP238" s="51"/>
    </row>
    <row r="239" spans="1:42" ht="21" customHeight="1" thickTop="1" thickBot="1" x14ac:dyDescent="0.35">
      <c r="A239" s="63"/>
      <c r="B239" s="66"/>
      <c r="C239" s="53"/>
      <c r="D239" s="45"/>
      <c r="E239" s="45"/>
      <c r="F239" s="45"/>
      <c r="G239" s="45"/>
      <c r="H239" s="45"/>
      <c r="I239" s="45"/>
      <c r="J239" s="51"/>
      <c r="K239" s="53"/>
      <c r="L239" s="45"/>
      <c r="M239" s="45"/>
      <c r="N239" s="45"/>
      <c r="O239" s="45"/>
      <c r="P239" s="45"/>
      <c r="Q239" s="45"/>
      <c r="R239" s="51"/>
      <c r="S239" s="53"/>
      <c r="T239" s="45"/>
      <c r="U239" s="45"/>
      <c r="V239" s="45"/>
      <c r="W239" s="45"/>
      <c r="X239" s="45"/>
      <c r="Y239" s="45"/>
      <c r="Z239" s="51"/>
      <c r="AA239" s="53"/>
      <c r="AB239" s="45"/>
      <c r="AC239" s="45"/>
      <c r="AD239" s="45"/>
      <c r="AE239" s="45"/>
      <c r="AF239" s="45"/>
      <c r="AG239" s="45"/>
      <c r="AH239" s="51"/>
      <c r="AI239" s="53"/>
      <c r="AJ239" s="45"/>
      <c r="AK239" s="45"/>
      <c r="AL239" s="45"/>
      <c r="AM239" s="45"/>
      <c r="AN239" s="45"/>
      <c r="AO239" s="45"/>
      <c r="AP239" s="51"/>
    </row>
    <row r="240" spans="1:42" ht="21" customHeight="1" thickTop="1" thickBot="1" x14ac:dyDescent="0.35">
      <c r="A240" s="63"/>
      <c r="B240" s="66"/>
      <c r="C240" s="54" t="s">
        <v>16</v>
      </c>
      <c r="D240" s="49">
        <f>MIN(D229:D238)</f>
        <v>325.78999999999991</v>
      </c>
      <c r="E240" s="45"/>
      <c r="F240" s="55" t="s">
        <v>17</v>
      </c>
      <c r="G240" s="49" t="s">
        <v>18</v>
      </c>
      <c r="H240" s="49" t="s">
        <v>19</v>
      </c>
      <c r="I240" s="45"/>
      <c r="J240" s="51"/>
      <c r="K240" s="54" t="s">
        <v>16</v>
      </c>
      <c r="L240" s="49">
        <f>MIN(L229:L238)</f>
        <v>325.25999999999988</v>
      </c>
      <c r="M240" s="45"/>
      <c r="N240" s="55" t="s">
        <v>17</v>
      </c>
      <c r="O240" s="49" t="s">
        <v>18</v>
      </c>
      <c r="P240" s="49" t="s">
        <v>19</v>
      </c>
      <c r="Q240" s="45"/>
      <c r="R240" s="51"/>
      <c r="S240" s="54" t="s">
        <v>16</v>
      </c>
      <c r="T240" s="49">
        <f>MIN(T229:T238)</f>
        <v>325.77999999999997</v>
      </c>
      <c r="U240" s="45"/>
      <c r="V240" s="55" t="s">
        <v>17</v>
      </c>
      <c r="W240" s="49" t="s">
        <v>18</v>
      </c>
      <c r="X240" s="49" t="s">
        <v>19</v>
      </c>
      <c r="Y240" s="45"/>
      <c r="Z240" s="51"/>
      <c r="AA240" s="54" t="s">
        <v>16</v>
      </c>
      <c r="AB240" s="49">
        <f>MIN(AB229:AB238)</f>
        <v>326.31999999999988</v>
      </c>
      <c r="AC240" s="45"/>
      <c r="AD240" s="55" t="s">
        <v>17</v>
      </c>
      <c r="AE240" s="49" t="s">
        <v>18</v>
      </c>
      <c r="AF240" s="49" t="s">
        <v>19</v>
      </c>
      <c r="AG240" s="45"/>
      <c r="AH240" s="51"/>
      <c r="AI240" s="54" t="s">
        <v>16</v>
      </c>
      <c r="AJ240" s="49">
        <f>MIN(AJ229:AJ238)</f>
        <v>324.94</v>
      </c>
      <c r="AK240" s="45"/>
      <c r="AL240" s="55" t="s">
        <v>17</v>
      </c>
      <c r="AM240" s="49" t="s">
        <v>18</v>
      </c>
      <c r="AN240" s="49" t="s">
        <v>19</v>
      </c>
      <c r="AO240" s="45"/>
      <c r="AP240" s="51"/>
    </row>
    <row r="241" spans="1:42" ht="21" customHeight="1" thickTop="1" thickBot="1" x14ac:dyDescent="0.35">
      <c r="A241" s="63"/>
      <c r="B241" s="66"/>
      <c r="C241" s="54" t="s">
        <v>20</v>
      </c>
      <c r="D241" s="48">
        <f>AVERAGE(D229:D238)</f>
        <v>326.32399999999996</v>
      </c>
      <c r="E241" s="47"/>
      <c r="F241" s="48">
        <f>_xlfn.STDEV.S(D229:D238) / AVERAGE(D229:D238) * 100%</f>
        <v>9.5093119501232521E-4</v>
      </c>
      <c r="G241" s="48">
        <f t="array" ref="G241">MIN((D229:D238 - MIN(D229:D238,L229:L238,T229:T238,AB229:AB238,AJ229:AJ238))/MIN(D229:D238,L229:L238,T229:T238,AB229:AB238,AJ229:AJ238)*100%)</f>
        <v>2.6158675447772177E-3</v>
      </c>
      <c r="H241" s="48">
        <f t="array" ref="H241">AVERAGE((D229:D238 - MIN(D229:D238,L229:L238,T229:T238,AB229:AB238,AJ229:AJ238))/MIN(D229:D238,L229:L238,T229:T238,AB229:AB238,AJ229:AJ238)*100%)</f>
        <v>4.2592478611434299E-3</v>
      </c>
      <c r="I241" s="45"/>
      <c r="J241" s="51"/>
      <c r="K241" s="54" t="s">
        <v>20</v>
      </c>
      <c r="L241" s="48">
        <f>AVERAGE(L229:L238)</f>
        <v>326.15499999999992</v>
      </c>
      <c r="M241" s="47"/>
      <c r="N241" s="48">
        <f>_xlfn.STDEV.S(L229:L238) / AVERAGE(L229:L238) * 100%</f>
        <v>1.6976581009770272E-3</v>
      </c>
      <c r="O241" s="48">
        <f t="array" ref="O241">MIN((L229:L238 - MIN(D229:D238,L229:L238,T229:T238,AB229:AB238,AJ229:AJ238))/MIN(D229:D238,L229:L238,T229:T238,AB229:AB238,AJ229:AJ238)*100%)</f>
        <v>9.8479719332762814E-4</v>
      </c>
      <c r="P241" s="48">
        <f t="array" ref="P241">AVERAGE((L229:L238 - MIN(D229:D238,L229:L238,T229:T238,AB229:AB238,AJ229:AJ238))/MIN(D229:D238,L229:L238,T229:T238,AB229:AB238,AJ229:AJ238)*100%)</f>
        <v>3.7391518434170116E-3</v>
      </c>
      <c r="Q241" s="44"/>
      <c r="R241" s="51"/>
      <c r="S241" s="54" t="s">
        <v>20</v>
      </c>
      <c r="T241" s="48">
        <f>AVERAGE(T229:T238)</f>
        <v>326.48299999999983</v>
      </c>
      <c r="U241" s="47"/>
      <c r="V241" s="48">
        <f>_xlfn.STDEV.S(T229:T238) / AVERAGE(T229:T238) * 100%</f>
        <v>2.127519671842497E-3</v>
      </c>
      <c r="W241" s="48">
        <f t="array" ref="W241">MIN((T229:T238 - MIN(D229:D238,L229:L238,T229:T238,AB229:AB238,AJ229:AJ238))/MIN(D229:D238,L229:L238,T229:T238,AB229:AB238,AJ229:AJ238)*100%)</f>
        <v>2.5850926324859206E-3</v>
      </c>
      <c r="X241" s="48">
        <f t="array" ref="X241">AVERAGE((T229:T238 - MIN(D229:D238,L229:L238,T229:T238,AB229:AB238,AJ229:AJ238))/MIN(D229:D238,L229:L238,T229:T238,AB229:AB238,AJ229:AJ238)*100%)</f>
        <v>4.7485689665782548E-3</v>
      </c>
      <c r="Y241" s="44"/>
      <c r="Z241" s="51"/>
      <c r="AA241" s="54" t="s">
        <v>20</v>
      </c>
      <c r="AB241" s="48">
        <f>AVERAGE(AB229:AB238)</f>
        <v>327.09999999999997</v>
      </c>
      <c r="AC241" s="47"/>
      <c r="AD241" s="48">
        <f>_xlfn.STDEV.S(AB229:AB238) / AVERAGE(AB229:AB238) * 100%</f>
        <v>2.1969588221230174E-3</v>
      </c>
      <c r="AE241" s="48">
        <f t="array" ref="AE241">MIN((AB229:AB238 - MIN(D229:D238,L229:L238,T229:T238,AB229:AB238,AJ229:AJ238))/MIN(D229:D238,L229:L238,T229:T238,AB229:AB238,AJ229:AJ238)*100%)</f>
        <v>4.2469378962266321E-3</v>
      </c>
      <c r="AF241" s="48">
        <f t="array" ref="AF241">AVERAGE((AB229:AB238 - MIN(D229:D238,L229:L238,T229:T238,AB229:AB238,AJ229:AJ238))/MIN(D229:D238,L229:L238,T229:T238,AB229:AB238,AJ229:AJ238)*100%)</f>
        <v>6.6473810549637384E-3</v>
      </c>
      <c r="AG241" s="44"/>
      <c r="AH241" s="51"/>
      <c r="AI241" s="54" t="s">
        <v>20</v>
      </c>
      <c r="AJ241" s="48">
        <f>AVERAGE(AJ229:AJ238)</f>
        <v>325.59699999999992</v>
      </c>
      <c r="AK241" s="47"/>
      <c r="AL241" s="48">
        <f>_xlfn.STDEV.S(AJ229:AJ238) / AVERAGE(AJ229:AJ238) * 100%</f>
        <v>1.1250237762069942E-3</v>
      </c>
      <c r="AM241" s="48">
        <f t="array" ref="AM241">MIN((AJ229:AJ238 - MIN(D229:D238,L229:L238,T229:T238,AB229:AB238,AJ229:AJ238))/MIN(D229:D238,L229:L238,T229:T238,AB229:AB238,AJ229:AJ238)*100%)</f>
        <v>0</v>
      </c>
      <c r="AN241" s="48">
        <f t="array" ref="AN241">AVERAGE((AJ229:AJ238 - MIN(D229:D238,L229:L238,T229:T238,AB229:AB238,AJ229:AJ238))/MIN(D229:D238,L229:L238,T229:T238,AB229:AB238,AJ229:AJ238)*100%)</f>
        <v>2.0219117375514231E-3</v>
      </c>
      <c r="AO241" s="44"/>
      <c r="AP241" s="51"/>
    </row>
    <row r="242" spans="1:42" ht="21" customHeight="1" thickTop="1" thickBot="1" x14ac:dyDescent="0.35">
      <c r="A242" s="64"/>
      <c r="B242" s="67"/>
      <c r="C242" s="56"/>
      <c r="D242" s="57"/>
      <c r="E242" s="57"/>
      <c r="F242" s="57"/>
      <c r="G242" s="57"/>
      <c r="H242" s="57"/>
      <c r="I242" s="57"/>
      <c r="J242" s="58"/>
      <c r="K242" s="56"/>
      <c r="L242" s="57"/>
      <c r="M242" s="57"/>
      <c r="N242" s="57"/>
      <c r="O242" s="57"/>
      <c r="P242" s="57"/>
      <c r="Q242" s="57"/>
      <c r="R242" s="58"/>
      <c r="S242" s="56"/>
      <c r="T242" s="57"/>
      <c r="U242" s="57"/>
      <c r="V242" s="57"/>
      <c r="W242" s="57"/>
      <c r="X242" s="57"/>
      <c r="Y242" s="57"/>
      <c r="Z242" s="58"/>
      <c r="AA242" s="56"/>
      <c r="AB242" s="57"/>
      <c r="AC242" s="57"/>
      <c r="AD242" s="57"/>
      <c r="AE242" s="57"/>
      <c r="AF242" s="57"/>
      <c r="AG242" s="57"/>
      <c r="AH242" s="58"/>
      <c r="AI242" s="56"/>
      <c r="AJ242" s="57"/>
      <c r="AK242" s="57"/>
      <c r="AL242" s="57"/>
      <c r="AM242" s="57"/>
      <c r="AN242" s="57"/>
      <c r="AO242" s="57"/>
      <c r="AP242" s="58"/>
    </row>
    <row r="243" spans="1:42" ht="21" customHeight="1" thickTop="1" thickBot="1" x14ac:dyDescent="0.35">
      <c r="A243" s="62">
        <v>3</v>
      </c>
      <c r="B243" s="65" t="s">
        <v>82</v>
      </c>
      <c r="C243" s="59" t="s">
        <v>8</v>
      </c>
      <c r="D243" s="46" t="s">
        <v>9</v>
      </c>
      <c r="E243" s="46" t="s">
        <v>10</v>
      </c>
      <c r="F243" s="46" t="s">
        <v>11</v>
      </c>
      <c r="G243" s="46" t="s">
        <v>12</v>
      </c>
      <c r="H243" s="46" t="s">
        <v>13</v>
      </c>
      <c r="I243" s="46" t="s">
        <v>14</v>
      </c>
      <c r="J243" s="60" t="s">
        <v>15</v>
      </c>
      <c r="K243" s="59" t="s">
        <v>8</v>
      </c>
      <c r="L243" s="46" t="s">
        <v>9</v>
      </c>
      <c r="M243" s="46" t="s">
        <v>10</v>
      </c>
      <c r="N243" s="46" t="s">
        <v>11</v>
      </c>
      <c r="O243" s="46" t="s">
        <v>12</v>
      </c>
      <c r="P243" s="46" t="s">
        <v>13</v>
      </c>
      <c r="Q243" s="46" t="s">
        <v>14</v>
      </c>
      <c r="R243" s="60" t="s">
        <v>15</v>
      </c>
      <c r="S243" s="59" t="s">
        <v>8</v>
      </c>
      <c r="T243" s="46" t="s">
        <v>9</v>
      </c>
      <c r="U243" s="46" t="s">
        <v>10</v>
      </c>
      <c r="V243" s="46" t="s">
        <v>11</v>
      </c>
      <c r="W243" s="46" t="s">
        <v>12</v>
      </c>
      <c r="X243" s="46" t="s">
        <v>13</v>
      </c>
      <c r="Y243" s="46" t="s">
        <v>14</v>
      </c>
      <c r="Z243" s="60" t="s">
        <v>15</v>
      </c>
      <c r="AA243" s="59" t="s">
        <v>8</v>
      </c>
      <c r="AB243" s="46" t="s">
        <v>9</v>
      </c>
      <c r="AC243" s="46" t="s">
        <v>10</v>
      </c>
      <c r="AD243" s="46" t="s">
        <v>11</v>
      </c>
      <c r="AE243" s="46" t="s">
        <v>12</v>
      </c>
      <c r="AF243" s="46" t="s">
        <v>13</v>
      </c>
      <c r="AG243" s="46" t="s">
        <v>14</v>
      </c>
      <c r="AH243" s="60" t="s">
        <v>15</v>
      </c>
      <c r="AI243" s="59" t="s">
        <v>8</v>
      </c>
      <c r="AJ243" s="46" t="s">
        <v>9</v>
      </c>
      <c r="AK243" s="46" t="s">
        <v>10</v>
      </c>
      <c r="AL243" s="46" t="s">
        <v>11</v>
      </c>
      <c r="AM243" s="46" t="s">
        <v>12</v>
      </c>
      <c r="AN243" s="46" t="s">
        <v>13</v>
      </c>
      <c r="AO243" s="46" t="s">
        <v>14</v>
      </c>
      <c r="AP243" s="60" t="s">
        <v>15</v>
      </c>
    </row>
    <row r="244" spans="1:42" ht="21" customHeight="1" thickTop="1" thickBot="1" x14ac:dyDescent="0.35">
      <c r="A244" s="63"/>
      <c r="B244" s="66"/>
      <c r="C244" s="52">
        <v>1</v>
      </c>
      <c r="D244" s="44">
        <v>213.3</v>
      </c>
      <c r="E244" s="44"/>
      <c r="F244" s="44"/>
      <c r="G244" s="44"/>
      <c r="H244" s="44"/>
      <c r="I244" s="44"/>
      <c r="J244" s="51"/>
      <c r="K244" s="52">
        <v>1</v>
      </c>
      <c r="L244" s="44">
        <v>212.44</v>
      </c>
      <c r="M244" s="44"/>
      <c r="N244" s="44"/>
      <c r="O244" s="44"/>
      <c r="P244" s="44"/>
      <c r="Q244" s="44"/>
      <c r="R244" s="51"/>
      <c r="S244" s="52">
        <v>1</v>
      </c>
      <c r="T244" s="44">
        <v>212.89</v>
      </c>
      <c r="U244" s="44"/>
      <c r="V244" s="44"/>
      <c r="W244" s="44"/>
      <c r="X244" s="44"/>
      <c r="Y244" s="44"/>
      <c r="Z244" s="51"/>
      <c r="AA244" s="52">
        <v>1</v>
      </c>
      <c r="AB244" s="44">
        <v>211.98</v>
      </c>
      <c r="AC244" s="44"/>
      <c r="AD244" s="44"/>
      <c r="AE244" s="44"/>
      <c r="AF244" s="44"/>
      <c r="AG244" s="44"/>
      <c r="AH244" s="51"/>
      <c r="AI244" s="52">
        <v>1</v>
      </c>
      <c r="AJ244" s="44">
        <v>212.79</v>
      </c>
      <c r="AK244" s="44"/>
      <c r="AL244" s="44"/>
      <c r="AM244" s="44"/>
      <c r="AN244" s="44"/>
      <c r="AO244" s="44"/>
      <c r="AP244" s="51"/>
    </row>
    <row r="245" spans="1:42" ht="21" customHeight="1" thickTop="1" thickBot="1" x14ac:dyDescent="0.35">
      <c r="A245" s="63"/>
      <c r="B245" s="66"/>
      <c r="C245" s="53">
        <v>2</v>
      </c>
      <c r="D245" s="45">
        <v>212.95</v>
      </c>
      <c r="E245" s="45"/>
      <c r="F245" s="45"/>
      <c r="G245" s="45"/>
      <c r="H245" s="45"/>
      <c r="I245" s="45"/>
      <c r="J245" s="51"/>
      <c r="K245" s="53">
        <v>2</v>
      </c>
      <c r="L245" s="45">
        <v>212.61</v>
      </c>
      <c r="M245" s="45"/>
      <c r="N245" s="45"/>
      <c r="O245" s="45"/>
      <c r="P245" s="45"/>
      <c r="Q245" s="45"/>
      <c r="R245" s="51"/>
      <c r="S245" s="53">
        <v>2</v>
      </c>
      <c r="T245" s="45">
        <v>213.23</v>
      </c>
      <c r="U245" s="45"/>
      <c r="V245" s="45"/>
      <c r="W245" s="45"/>
      <c r="X245" s="45"/>
      <c r="Y245" s="45"/>
      <c r="Z245" s="51"/>
      <c r="AA245" s="53">
        <v>2</v>
      </c>
      <c r="AB245" s="45">
        <v>214.68</v>
      </c>
      <c r="AC245" s="45"/>
      <c r="AD245" s="45"/>
      <c r="AE245" s="45"/>
      <c r="AF245" s="45"/>
      <c r="AG245" s="45"/>
      <c r="AH245" s="51"/>
      <c r="AI245" s="53">
        <v>2</v>
      </c>
      <c r="AJ245" s="45">
        <v>212</v>
      </c>
      <c r="AK245" s="45"/>
      <c r="AL245" s="45"/>
      <c r="AM245" s="45"/>
      <c r="AN245" s="45"/>
      <c r="AO245" s="45"/>
      <c r="AP245" s="51"/>
    </row>
    <row r="246" spans="1:42" ht="21" customHeight="1" thickTop="1" thickBot="1" x14ac:dyDescent="0.35">
      <c r="A246" s="63"/>
      <c r="B246" s="66"/>
      <c r="C246" s="53">
        <v>3</v>
      </c>
      <c r="D246" s="45">
        <v>211.99</v>
      </c>
      <c r="E246" s="45"/>
      <c r="F246" s="45"/>
      <c r="G246" s="44"/>
      <c r="H246" s="44"/>
      <c r="I246" s="44"/>
      <c r="J246" s="51"/>
      <c r="K246" s="53">
        <v>3</v>
      </c>
      <c r="L246" s="45">
        <v>212.94</v>
      </c>
      <c r="M246" s="45"/>
      <c r="N246" s="45"/>
      <c r="O246" s="44"/>
      <c r="P246" s="44"/>
      <c r="Q246" s="44"/>
      <c r="R246" s="51"/>
      <c r="S246" s="53">
        <v>3</v>
      </c>
      <c r="T246" s="45">
        <v>215</v>
      </c>
      <c r="U246" s="45"/>
      <c r="V246" s="45"/>
      <c r="W246" s="44"/>
      <c r="X246" s="44"/>
      <c r="Y246" s="44"/>
      <c r="Z246" s="51"/>
      <c r="AA246" s="53">
        <v>3</v>
      </c>
      <c r="AB246" s="45">
        <v>212.89</v>
      </c>
      <c r="AC246" s="45"/>
      <c r="AD246" s="45"/>
      <c r="AE246" s="44"/>
      <c r="AF246" s="44"/>
      <c r="AG246" s="44"/>
      <c r="AH246" s="51"/>
      <c r="AI246" s="53">
        <v>3</v>
      </c>
      <c r="AJ246" s="45">
        <v>213.08</v>
      </c>
      <c r="AK246" s="45"/>
      <c r="AL246" s="45"/>
      <c r="AM246" s="44"/>
      <c r="AN246" s="44"/>
      <c r="AO246" s="44"/>
      <c r="AP246" s="51"/>
    </row>
    <row r="247" spans="1:42" ht="21" customHeight="1" thickTop="1" thickBot="1" x14ac:dyDescent="0.35">
      <c r="A247" s="63"/>
      <c r="B247" s="66"/>
      <c r="C247" s="53">
        <v>4</v>
      </c>
      <c r="D247" s="45">
        <v>212.24</v>
      </c>
      <c r="E247" s="45"/>
      <c r="F247" s="45"/>
      <c r="G247" s="45"/>
      <c r="H247" s="45"/>
      <c r="I247" s="45"/>
      <c r="J247" s="51"/>
      <c r="K247" s="53">
        <v>4</v>
      </c>
      <c r="L247" s="45">
        <v>213.36</v>
      </c>
      <c r="M247" s="45"/>
      <c r="N247" s="45"/>
      <c r="O247" s="45"/>
      <c r="P247" s="45"/>
      <c r="Q247" s="45"/>
      <c r="R247" s="51"/>
      <c r="S247" s="53">
        <v>4</v>
      </c>
      <c r="T247" s="45">
        <v>213.41</v>
      </c>
      <c r="U247" s="45"/>
      <c r="V247" s="45"/>
      <c r="W247" s="45"/>
      <c r="X247" s="45"/>
      <c r="Y247" s="45"/>
      <c r="Z247" s="51"/>
      <c r="AA247" s="53">
        <v>4</v>
      </c>
      <c r="AB247" s="45">
        <v>213.64</v>
      </c>
      <c r="AC247" s="45"/>
      <c r="AD247" s="45"/>
      <c r="AE247" s="45"/>
      <c r="AF247" s="45"/>
      <c r="AG247" s="45"/>
      <c r="AH247" s="51"/>
      <c r="AI247" s="53">
        <v>4</v>
      </c>
      <c r="AJ247" s="45">
        <v>213.25</v>
      </c>
      <c r="AK247" s="45"/>
      <c r="AL247" s="45"/>
      <c r="AM247" s="45"/>
      <c r="AN247" s="45"/>
      <c r="AO247" s="45"/>
      <c r="AP247" s="51"/>
    </row>
    <row r="248" spans="1:42" ht="21" customHeight="1" thickTop="1" thickBot="1" x14ac:dyDescent="0.35">
      <c r="A248" s="63"/>
      <c r="B248" s="66"/>
      <c r="C248" s="53">
        <v>5</v>
      </c>
      <c r="D248" s="45">
        <v>213.23</v>
      </c>
      <c r="E248" s="45"/>
      <c r="F248" s="45"/>
      <c r="G248" s="45"/>
      <c r="H248" s="45"/>
      <c r="I248" s="45"/>
      <c r="J248" s="51"/>
      <c r="K248" s="53">
        <v>5</v>
      </c>
      <c r="L248" s="45">
        <v>213.17</v>
      </c>
      <c r="M248" s="45"/>
      <c r="N248" s="45"/>
      <c r="O248" s="45"/>
      <c r="P248" s="45"/>
      <c r="Q248" s="45"/>
      <c r="R248" s="51"/>
      <c r="S248" s="53">
        <v>5</v>
      </c>
      <c r="T248" s="45">
        <v>213.66</v>
      </c>
      <c r="U248" s="45"/>
      <c r="V248" s="45"/>
      <c r="W248" s="45"/>
      <c r="X248" s="45"/>
      <c r="Y248" s="45"/>
      <c r="Z248" s="51"/>
      <c r="AA248" s="53">
        <v>5</v>
      </c>
      <c r="AB248" s="45">
        <v>213.66</v>
      </c>
      <c r="AC248" s="45"/>
      <c r="AD248" s="45"/>
      <c r="AE248" s="45"/>
      <c r="AF248" s="45"/>
      <c r="AG248" s="45"/>
      <c r="AH248" s="51"/>
      <c r="AI248" s="53">
        <v>5</v>
      </c>
      <c r="AJ248" s="45">
        <v>212.66</v>
      </c>
      <c r="AK248" s="45"/>
      <c r="AL248" s="45"/>
      <c r="AM248" s="45"/>
      <c r="AN248" s="45"/>
      <c r="AO248" s="45"/>
      <c r="AP248" s="51"/>
    </row>
    <row r="249" spans="1:42" ht="21" customHeight="1" thickTop="1" thickBot="1" x14ac:dyDescent="0.35">
      <c r="A249" s="63"/>
      <c r="B249" s="66"/>
      <c r="C249" s="53">
        <v>6</v>
      </c>
      <c r="D249" s="45">
        <v>211.12</v>
      </c>
      <c r="E249" s="45"/>
      <c r="F249" s="45"/>
      <c r="G249" s="45"/>
      <c r="H249" s="45"/>
      <c r="I249" s="45"/>
      <c r="J249" s="51"/>
      <c r="K249" s="53">
        <v>6</v>
      </c>
      <c r="L249" s="45">
        <v>214.79</v>
      </c>
      <c r="M249" s="45"/>
      <c r="N249" s="45"/>
      <c r="O249" s="45"/>
      <c r="P249" s="45"/>
      <c r="Q249" s="45"/>
      <c r="R249" s="51"/>
      <c r="S249" s="53">
        <v>6</v>
      </c>
      <c r="T249" s="45">
        <v>213.59</v>
      </c>
      <c r="U249" s="45"/>
      <c r="V249" s="45"/>
      <c r="W249" s="45"/>
      <c r="X249" s="45"/>
      <c r="Y249" s="45"/>
      <c r="Z249" s="51"/>
      <c r="AA249" s="53">
        <v>6</v>
      </c>
      <c r="AB249" s="45">
        <v>215.59</v>
      </c>
      <c r="AC249" s="45"/>
      <c r="AD249" s="45"/>
      <c r="AE249" s="45"/>
      <c r="AF249" s="45"/>
      <c r="AG249" s="45"/>
      <c r="AH249" s="51"/>
      <c r="AI249" s="53">
        <v>6</v>
      </c>
      <c r="AJ249" s="45">
        <v>213.34</v>
      </c>
      <c r="AK249" s="45"/>
      <c r="AL249" s="45"/>
      <c r="AM249" s="45"/>
      <c r="AN249" s="45"/>
      <c r="AO249" s="45"/>
      <c r="AP249" s="51"/>
    </row>
    <row r="250" spans="1:42" ht="21" customHeight="1" thickTop="1" thickBot="1" x14ac:dyDescent="0.35">
      <c r="A250" s="63"/>
      <c r="B250" s="66"/>
      <c r="C250" s="53">
        <v>7</v>
      </c>
      <c r="D250" s="45">
        <v>213.32</v>
      </c>
      <c r="E250" s="45"/>
      <c r="F250" s="45"/>
      <c r="G250" s="45"/>
      <c r="H250" s="45"/>
      <c r="I250" s="45"/>
      <c r="J250" s="51"/>
      <c r="K250" s="53">
        <v>7</v>
      </c>
      <c r="L250" s="45">
        <v>212.89</v>
      </c>
      <c r="M250" s="45"/>
      <c r="N250" s="45"/>
      <c r="O250" s="45"/>
      <c r="P250" s="45"/>
      <c r="Q250" s="45"/>
      <c r="R250" s="51"/>
      <c r="S250" s="53">
        <v>7</v>
      </c>
      <c r="T250" s="45">
        <v>211.39</v>
      </c>
      <c r="U250" s="45"/>
      <c r="V250" s="45"/>
      <c r="W250" s="45"/>
      <c r="X250" s="45"/>
      <c r="Y250" s="45"/>
      <c r="Z250" s="51"/>
      <c r="AA250" s="53">
        <v>7</v>
      </c>
      <c r="AB250" s="45">
        <v>213.48</v>
      </c>
      <c r="AC250" s="45"/>
      <c r="AD250" s="45"/>
      <c r="AE250" s="45"/>
      <c r="AF250" s="45"/>
      <c r="AG250" s="45"/>
      <c r="AH250" s="51"/>
      <c r="AI250" s="53">
        <v>7</v>
      </c>
      <c r="AJ250" s="45">
        <v>213.32</v>
      </c>
      <c r="AK250" s="45"/>
      <c r="AL250" s="45"/>
      <c r="AM250" s="45"/>
      <c r="AN250" s="45"/>
      <c r="AO250" s="45"/>
      <c r="AP250" s="51"/>
    </row>
    <row r="251" spans="1:42" ht="21" customHeight="1" thickTop="1" thickBot="1" x14ac:dyDescent="0.35">
      <c r="A251" s="63"/>
      <c r="B251" s="66"/>
      <c r="C251" s="53">
        <v>8</v>
      </c>
      <c r="D251" s="45">
        <v>211.04</v>
      </c>
      <c r="E251" s="45"/>
      <c r="F251" s="45"/>
      <c r="G251" s="45"/>
      <c r="H251" s="45"/>
      <c r="I251" s="45"/>
      <c r="J251" s="51"/>
      <c r="K251" s="53">
        <v>8</v>
      </c>
      <c r="L251" s="45">
        <v>212.67</v>
      </c>
      <c r="M251" s="45"/>
      <c r="N251" s="45"/>
      <c r="O251" s="45"/>
      <c r="P251" s="45"/>
      <c r="Q251" s="45"/>
      <c r="R251" s="51"/>
      <c r="S251" s="53">
        <v>8</v>
      </c>
      <c r="T251" s="45">
        <v>213.21</v>
      </c>
      <c r="U251" s="45"/>
      <c r="V251" s="45"/>
      <c r="W251" s="45"/>
      <c r="X251" s="45"/>
      <c r="Y251" s="45"/>
      <c r="Z251" s="51"/>
      <c r="AA251" s="53">
        <v>8</v>
      </c>
      <c r="AB251" s="45">
        <v>211.98</v>
      </c>
      <c r="AC251" s="45"/>
      <c r="AD251" s="45"/>
      <c r="AE251" s="45"/>
      <c r="AF251" s="45"/>
      <c r="AG251" s="45"/>
      <c r="AH251" s="51"/>
      <c r="AI251" s="53">
        <v>8</v>
      </c>
      <c r="AJ251" s="45">
        <v>213.25</v>
      </c>
      <c r="AK251" s="45"/>
      <c r="AL251" s="45"/>
      <c r="AM251" s="45"/>
      <c r="AN251" s="45"/>
      <c r="AO251" s="45"/>
      <c r="AP251" s="51"/>
    </row>
    <row r="252" spans="1:42" ht="21" customHeight="1" thickTop="1" thickBot="1" x14ac:dyDescent="0.35">
      <c r="A252" s="63"/>
      <c r="B252" s="66"/>
      <c r="C252" s="53">
        <v>9</v>
      </c>
      <c r="D252" s="45">
        <v>213.24</v>
      </c>
      <c r="E252" s="45"/>
      <c r="F252" s="45"/>
      <c r="G252" s="45"/>
      <c r="H252" s="45"/>
      <c r="I252" s="45"/>
      <c r="J252" s="51"/>
      <c r="K252" s="53">
        <v>9</v>
      </c>
      <c r="L252" s="45">
        <v>212.38</v>
      </c>
      <c r="M252" s="45"/>
      <c r="N252" s="45"/>
      <c r="O252" s="45"/>
      <c r="P252" s="45"/>
      <c r="Q252" s="45"/>
      <c r="R252" s="51"/>
      <c r="S252" s="53">
        <v>9</v>
      </c>
      <c r="T252" s="45">
        <v>216.04</v>
      </c>
      <c r="U252" s="45"/>
      <c r="V252" s="45"/>
      <c r="W252" s="45"/>
      <c r="X252" s="45"/>
      <c r="Y252" s="45"/>
      <c r="Z252" s="51"/>
      <c r="AA252" s="53">
        <v>9</v>
      </c>
      <c r="AB252" s="45">
        <v>212.94</v>
      </c>
      <c r="AC252" s="45"/>
      <c r="AD252" s="45"/>
      <c r="AE252" s="45"/>
      <c r="AF252" s="45"/>
      <c r="AG252" s="45"/>
      <c r="AH252" s="51"/>
      <c r="AI252" s="53">
        <v>9</v>
      </c>
      <c r="AJ252" s="45">
        <v>213.06</v>
      </c>
      <c r="AK252" s="45"/>
      <c r="AL252" s="45"/>
      <c r="AM252" s="45"/>
      <c r="AN252" s="45"/>
      <c r="AO252" s="45"/>
      <c r="AP252" s="51"/>
    </row>
    <row r="253" spans="1:42" ht="21" customHeight="1" thickTop="1" thickBot="1" x14ac:dyDescent="0.35">
      <c r="A253" s="63"/>
      <c r="B253" s="66"/>
      <c r="C253" s="53">
        <v>10</v>
      </c>
      <c r="D253" s="45">
        <v>211.21</v>
      </c>
      <c r="E253" s="45"/>
      <c r="F253" s="45"/>
      <c r="G253" s="45"/>
      <c r="H253" s="45"/>
      <c r="I253" s="45"/>
      <c r="J253" s="51"/>
      <c r="K253" s="53">
        <v>10</v>
      </c>
      <c r="L253" s="45">
        <v>212.94</v>
      </c>
      <c r="M253" s="45"/>
      <c r="N253" s="45"/>
      <c r="O253" s="45"/>
      <c r="P253" s="45"/>
      <c r="Q253" s="45"/>
      <c r="R253" s="51"/>
      <c r="S253" s="53">
        <v>10</v>
      </c>
      <c r="T253" s="45">
        <v>212.92</v>
      </c>
      <c r="U253" s="45"/>
      <c r="V253" s="45"/>
      <c r="W253" s="45"/>
      <c r="X253" s="45"/>
      <c r="Y253" s="45"/>
      <c r="Z253" s="51"/>
      <c r="AA253" s="53">
        <v>10</v>
      </c>
      <c r="AB253" s="45">
        <v>213.17</v>
      </c>
      <c r="AC253" s="45"/>
      <c r="AD253" s="45"/>
      <c r="AE253" s="45"/>
      <c r="AF253" s="45"/>
      <c r="AG253" s="45"/>
      <c r="AH253" s="51"/>
      <c r="AI253" s="53">
        <v>10</v>
      </c>
      <c r="AJ253" s="45">
        <v>212.29</v>
      </c>
      <c r="AK253" s="45"/>
      <c r="AL253" s="45"/>
      <c r="AM253" s="45"/>
      <c r="AN253" s="45"/>
      <c r="AO253" s="45"/>
      <c r="AP253" s="51"/>
    </row>
    <row r="254" spans="1:42" ht="21" customHeight="1" thickTop="1" thickBot="1" x14ac:dyDescent="0.35">
      <c r="A254" s="63"/>
      <c r="B254" s="66"/>
      <c r="C254" s="53"/>
      <c r="D254" s="45"/>
      <c r="E254" s="45"/>
      <c r="F254" s="45"/>
      <c r="G254" s="45"/>
      <c r="H254" s="45"/>
      <c r="I254" s="45"/>
      <c r="J254" s="51"/>
      <c r="K254" s="53"/>
      <c r="L254" s="45"/>
      <c r="M254" s="45"/>
      <c r="N254" s="45"/>
      <c r="O254" s="45"/>
      <c r="P254" s="45"/>
      <c r="Q254" s="45"/>
      <c r="R254" s="51"/>
      <c r="S254" s="53"/>
      <c r="T254" s="45"/>
      <c r="U254" s="45"/>
      <c r="V254" s="45"/>
      <c r="W254" s="45"/>
      <c r="X254" s="45"/>
      <c r="Y254" s="45"/>
      <c r="Z254" s="51"/>
      <c r="AA254" s="53"/>
      <c r="AB254" s="45"/>
      <c r="AC254" s="45"/>
      <c r="AD254" s="45"/>
      <c r="AE254" s="45"/>
      <c r="AF254" s="45"/>
      <c r="AG254" s="45"/>
      <c r="AH254" s="51"/>
      <c r="AI254" s="53"/>
      <c r="AJ254" s="45"/>
      <c r="AK254" s="45"/>
      <c r="AL254" s="45"/>
      <c r="AM254" s="45"/>
      <c r="AN254" s="45"/>
      <c r="AO254" s="45"/>
      <c r="AP254" s="51"/>
    </row>
    <row r="255" spans="1:42" ht="21" customHeight="1" thickTop="1" thickBot="1" x14ac:dyDescent="0.35">
      <c r="A255" s="63"/>
      <c r="B255" s="66"/>
      <c r="C255" s="54" t="s">
        <v>16</v>
      </c>
      <c r="D255" s="49">
        <f>MIN(D244:D253)</f>
        <v>211.04</v>
      </c>
      <c r="E255" s="45"/>
      <c r="F255" s="55" t="s">
        <v>17</v>
      </c>
      <c r="G255" s="49" t="s">
        <v>18</v>
      </c>
      <c r="H255" s="49" t="s">
        <v>19</v>
      </c>
      <c r="I255" s="45"/>
      <c r="J255" s="51"/>
      <c r="K255" s="54" t="s">
        <v>16</v>
      </c>
      <c r="L255" s="49">
        <f>MIN(L244:L253)</f>
        <v>212.38</v>
      </c>
      <c r="M255" s="45"/>
      <c r="N255" s="55" t="s">
        <v>17</v>
      </c>
      <c r="O255" s="49" t="s">
        <v>18</v>
      </c>
      <c r="P255" s="49" t="s">
        <v>19</v>
      </c>
      <c r="Q255" s="45"/>
      <c r="R255" s="51"/>
      <c r="S255" s="54" t="s">
        <v>16</v>
      </c>
      <c r="T255" s="49">
        <f>MIN(T244:T253)</f>
        <v>211.39</v>
      </c>
      <c r="U255" s="45"/>
      <c r="V255" s="55" t="s">
        <v>17</v>
      </c>
      <c r="W255" s="49" t="s">
        <v>18</v>
      </c>
      <c r="X255" s="49" t="s">
        <v>19</v>
      </c>
      <c r="Y255" s="45"/>
      <c r="Z255" s="51"/>
      <c r="AA255" s="54" t="s">
        <v>16</v>
      </c>
      <c r="AB255" s="49">
        <f>MIN(AB244:AB253)</f>
        <v>211.98</v>
      </c>
      <c r="AC255" s="45"/>
      <c r="AD255" s="55" t="s">
        <v>17</v>
      </c>
      <c r="AE255" s="49" t="s">
        <v>18</v>
      </c>
      <c r="AF255" s="49" t="s">
        <v>19</v>
      </c>
      <c r="AG255" s="45"/>
      <c r="AH255" s="51"/>
      <c r="AI255" s="54" t="s">
        <v>16</v>
      </c>
      <c r="AJ255" s="49">
        <f>MIN(AJ244:AJ253)</f>
        <v>212</v>
      </c>
      <c r="AK255" s="45"/>
      <c r="AL255" s="55" t="s">
        <v>17</v>
      </c>
      <c r="AM255" s="49" t="s">
        <v>18</v>
      </c>
      <c r="AN255" s="49" t="s">
        <v>19</v>
      </c>
      <c r="AO255" s="45"/>
      <c r="AP255" s="51"/>
    </row>
    <row r="256" spans="1:42" ht="21" customHeight="1" thickTop="1" thickBot="1" x14ac:dyDescent="0.35">
      <c r="A256" s="63"/>
      <c r="B256" s="66"/>
      <c r="C256" s="54" t="s">
        <v>20</v>
      </c>
      <c r="D256" s="48">
        <f>AVERAGE(D244:D253)</f>
        <v>212.36399999999998</v>
      </c>
      <c r="E256" s="47"/>
      <c r="F256" s="48">
        <f>_xlfn.STDEV.S(D244:D253) / AVERAGE(D244:D253) * 100%</f>
        <v>4.5595689240827703E-3</v>
      </c>
      <c r="G256" s="48">
        <f t="array" ref="G256">MIN((D244:D253 - MIN(D244:D253,L244:L253,T244:T253,AB244:AB253,AJ244:AJ253))/MIN(D244:D253,L244:L253,T244:T253,AB244:AB253,AJ244:AJ253)*100%)</f>
        <v>0</v>
      </c>
      <c r="H256" s="48">
        <f t="array" ref="H256">AVERAGE((D244:D253 - MIN(D244:D253,L244:L253,T244:T253,AB244:AB253,AJ244:AJ253))/MIN(D244:D253,L244:L253,T244:T253,AB244:AB253,AJ244:AJ253)*100%)</f>
        <v>6.2736921910538741E-3</v>
      </c>
      <c r="I256" s="45"/>
      <c r="J256" s="51"/>
      <c r="K256" s="54" t="s">
        <v>20</v>
      </c>
      <c r="L256" s="48">
        <f>AVERAGE(L244:L253)</f>
        <v>213.01900000000001</v>
      </c>
      <c r="M256" s="47"/>
      <c r="N256" s="48">
        <f>_xlfn.STDEV.S(L244:L253) / AVERAGE(L244:L253) * 100%</f>
        <v>3.2588894937695153E-3</v>
      </c>
      <c r="O256" s="48">
        <f t="array" ref="O256">MIN((L244:L253 - MIN(D244:D253,L244:L253,T244:T253,AB244:AB253,AJ244:AJ253))/MIN(D244:D253,L244:L253,T244:T253,AB244:AB253,AJ244:AJ253)*100%)</f>
        <v>6.3495072024260966E-3</v>
      </c>
      <c r="P256" s="48">
        <f t="array" ref="P256">AVERAGE((L244:L253 - MIN(D244:D253,L244:L253,T244:T253,AB244:AB253,AJ244:AJ253))/MIN(D244:D253,L244:L253,T244:T253,AB244:AB253,AJ244:AJ253)*100%)</f>
        <v>9.3773692191054074E-3</v>
      </c>
      <c r="Q256" s="44"/>
      <c r="R256" s="51"/>
      <c r="S256" s="54" t="s">
        <v>20</v>
      </c>
      <c r="T256" s="48">
        <f>AVERAGE(T244:T253)</f>
        <v>213.53400000000002</v>
      </c>
      <c r="U256" s="47"/>
      <c r="V256" s="48">
        <f>_xlfn.STDEV.S(T244:T253) / AVERAGE(T244:T253) * 100%</f>
        <v>5.8511497968784399E-3</v>
      </c>
      <c r="W256" s="48">
        <f t="array" ref="W256">MIN((T244:T253 - MIN(D244:D253,L244:L253,T244:T253,AB244:AB253,AJ244:AJ253))/MIN(D244:D253,L244:L253,T244:T253,AB244:AB253,AJ244:AJ253)*100%)</f>
        <v>1.6584533737679793E-3</v>
      </c>
      <c r="X256" s="48">
        <f t="array" ref="X256">AVERAGE((T244:T253 - MIN(D244:D253,L244:L253,T244:T253,AB244:AB253,AJ244:AJ253))/MIN(D244:D253,L244:L253,T244:T253,AB244:AB253,AJ244:AJ253)*100%)</f>
        <v>1.1817664897649748E-2</v>
      </c>
      <c r="Y256" s="44"/>
      <c r="Z256" s="51"/>
      <c r="AA256" s="54" t="s">
        <v>20</v>
      </c>
      <c r="AB256" s="48">
        <f>AVERAGE(AB244:AB253)</f>
        <v>213.40099999999998</v>
      </c>
      <c r="AC256" s="47"/>
      <c r="AD256" s="48">
        <f>_xlfn.STDEV.S(AB244:AB253) / AVERAGE(AB244:AB253) * 100%</f>
        <v>5.2095814136767079E-3</v>
      </c>
      <c r="AE256" s="48">
        <f t="array" ref="AE256">MIN((AB244:AB253 - MIN(D244:D253,L244:L253,T244:T253,AB244:AB253,AJ244:AJ253))/MIN(D244:D253,L244:L253,T244:T253,AB244:AB253,AJ244:AJ253)*100%)</f>
        <v>4.4541319181197773E-3</v>
      </c>
      <c r="AF256" s="48">
        <f t="array" ref="AF256">AVERAGE((AB244:AB253 - MIN(D244:D253,L244:L253,T244:T253,AB244:AB253,AJ244:AJ253))/MIN(D244:D253,L244:L253,T244:T253,AB244:AB253,AJ244:AJ253)*100%)</f>
        <v>1.1187452615617899E-2</v>
      </c>
      <c r="AG256" s="44"/>
      <c r="AH256" s="51"/>
      <c r="AI256" s="54" t="s">
        <v>20</v>
      </c>
      <c r="AJ256" s="48">
        <f>AVERAGE(AJ244:AJ253)</f>
        <v>212.904</v>
      </c>
      <c r="AK256" s="47"/>
      <c r="AL256" s="48">
        <f>_xlfn.STDEV.S(AJ244:AJ253) / AVERAGE(AJ244:AJ253) * 100%</f>
        <v>2.1720492984168751E-3</v>
      </c>
      <c r="AM256" s="48">
        <f t="array" ref="AM256">MIN((AJ244:AJ253 - MIN(D244:D253,L244:L253,T244:T253,AB244:AB253,AJ244:AJ253))/MIN(D244:D253,L244:L253,T244:T253,AB244:AB253,AJ244:AJ253)*100%)</f>
        <v>4.5489006823351405E-3</v>
      </c>
      <c r="AN256" s="48">
        <f t="array" ref="AN256">AVERAGE((AJ244:AJ253 - MIN(D244:D253,L244:L253,T244:T253,AB244:AB253,AJ244:AJ253))/MIN(D244:D253,L244:L253,T244:T253,AB244:AB253,AJ244:AJ253)*100%)</f>
        <v>8.8324488248673581E-3</v>
      </c>
      <c r="AO256" s="44"/>
      <c r="AP256" s="51"/>
    </row>
    <row r="257" spans="1:42" ht="21" customHeight="1" thickTop="1" thickBot="1" x14ac:dyDescent="0.35">
      <c r="A257" s="63"/>
      <c r="B257" s="67"/>
      <c r="C257" s="53"/>
      <c r="D257" s="44"/>
      <c r="E257" s="44"/>
      <c r="F257" s="44"/>
      <c r="G257" s="44"/>
      <c r="H257" s="44"/>
      <c r="I257" s="44"/>
      <c r="J257" s="51"/>
      <c r="K257" s="53"/>
      <c r="L257" s="44"/>
      <c r="M257" s="44"/>
      <c r="N257" s="44"/>
      <c r="O257" s="44"/>
      <c r="P257" s="44"/>
      <c r="Q257" s="44"/>
      <c r="R257" s="51"/>
      <c r="S257" s="53"/>
      <c r="T257" s="44"/>
      <c r="U257" s="44"/>
      <c r="V257" s="44"/>
      <c r="W257" s="44"/>
      <c r="X257" s="44"/>
      <c r="Y257" s="44"/>
      <c r="Z257" s="51"/>
      <c r="AA257" s="53"/>
      <c r="AB257" s="44"/>
      <c r="AC257" s="44"/>
      <c r="AD257" s="44"/>
      <c r="AE257" s="44"/>
      <c r="AF257" s="44"/>
      <c r="AG257" s="44"/>
      <c r="AH257" s="51"/>
      <c r="AI257" s="53"/>
      <c r="AJ257" s="44"/>
      <c r="AK257" s="44"/>
      <c r="AL257" s="44"/>
      <c r="AM257" s="44"/>
      <c r="AN257" s="44"/>
      <c r="AO257" s="44"/>
      <c r="AP257" s="51"/>
    </row>
    <row r="258" spans="1:42" ht="21" customHeight="1" thickTop="1" thickBot="1" x14ac:dyDescent="0.35">
      <c r="A258" s="63"/>
      <c r="B258" s="65" t="s">
        <v>83</v>
      </c>
      <c r="C258" s="59" t="s">
        <v>8</v>
      </c>
      <c r="D258" s="46" t="s">
        <v>9</v>
      </c>
      <c r="E258" s="46" t="s">
        <v>10</v>
      </c>
      <c r="F258" s="46" t="s">
        <v>11</v>
      </c>
      <c r="G258" s="46" t="s">
        <v>12</v>
      </c>
      <c r="H258" s="46" t="s">
        <v>13</v>
      </c>
      <c r="I258" s="46" t="s">
        <v>14</v>
      </c>
      <c r="J258" s="60" t="s">
        <v>15</v>
      </c>
      <c r="K258" s="59" t="s">
        <v>8</v>
      </c>
      <c r="L258" s="46" t="s">
        <v>9</v>
      </c>
      <c r="M258" s="46" t="s">
        <v>10</v>
      </c>
      <c r="N258" s="46" t="s">
        <v>11</v>
      </c>
      <c r="O258" s="46" t="s">
        <v>12</v>
      </c>
      <c r="P258" s="46" t="s">
        <v>13</v>
      </c>
      <c r="Q258" s="46" t="s">
        <v>14</v>
      </c>
      <c r="R258" s="60" t="s">
        <v>15</v>
      </c>
      <c r="S258" s="59" t="s">
        <v>8</v>
      </c>
      <c r="T258" s="46" t="s">
        <v>9</v>
      </c>
      <c r="U258" s="46" t="s">
        <v>10</v>
      </c>
      <c r="V258" s="46" t="s">
        <v>11</v>
      </c>
      <c r="W258" s="46" t="s">
        <v>12</v>
      </c>
      <c r="X258" s="46" t="s">
        <v>13</v>
      </c>
      <c r="Y258" s="46" t="s">
        <v>14</v>
      </c>
      <c r="Z258" s="60" t="s">
        <v>15</v>
      </c>
      <c r="AA258" s="59" t="s">
        <v>8</v>
      </c>
      <c r="AB258" s="46" t="s">
        <v>9</v>
      </c>
      <c r="AC258" s="46" t="s">
        <v>10</v>
      </c>
      <c r="AD258" s="46" t="s">
        <v>11</v>
      </c>
      <c r="AE258" s="46" t="s">
        <v>12</v>
      </c>
      <c r="AF258" s="46" t="s">
        <v>13</v>
      </c>
      <c r="AG258" s="46" t="s">
        <v>14</v>
      </c>
      <c r="AH258" s="60" t="s">
        <v>15</v>
      </c>
      <c r="AI258" s="59" t="s">
        <v>8</v>
      </c>
      <c r="AJ258" s="46" t="s">
        <v>9</v>
      </c>
      <c r="AK258" s="46" t="s">
        <v>10</v>
      </c>
      <c r="AL258" s="46" t="s">
        <v>11</v>
      </c>
      <c r="AM258" s="46" t="s">
        <v>12</v>
      </c>
      <c r="AN258" s="46" t="s">
        <v>13</v>
      </c>
      <c r="AO258" s="46" t="s">
        <v>14</v>
      </c>
      <c r="AP258" s="60" t="s">
        <v>15</v>
      </c>
    </row>
    <row r="259" spans="1:42" ht="21" customHeight="1" thickTop="1" thickBot="1" x14ac:dyDescent="0.35">
      <c r="A259" s="63"/>
      <c r="B259" s="66"/>
      <c r="C259" s="52">
        <v>1</v>
      </c>
      <c r="D259" s="44">
        <v>244.76</v>
      </c>
      <c r="E259" s="44"/>
      <c r="F259" s="44"/>
      <c r="G259" s="44"/>
      <c r="H259" s="44"/>
      <c r="I259" s="44"/>
      <c r="J259" s="51"/>
      <c r="K259" s="52">
        <v>1</v>
      </c>
      <c r="L259" s="44">
        <v>244.71</v>
      </c>
      <c r="M259" s="44"/>
      <c r="N259" s="44"/>
      <c r="O259" s="44"/>
      <c r="P259" s="44"/>
      <c r="Q259" s="44"/>
      <c r="R259" s="51"/>
      <c r="S259" s="52">
        <v>1</v>
      </c>
      <c r="T259" s="44">
        <v>249.52</v>
      </c>
      <c r="U259" s="44"/>
      <c r="V259" s="44"/>
      <c r="W259" s="44"/>
      <c r="X259" s="44"/>
      <c r="Y259" s="44"/>
      <c r="Z259" s="51"/>
      <c r="AA259" s="52">
        <v>1</v>
      </c>
      <c r="AB259" s="44">
        <v>246.27</v>
      </c>
      <c r="AC259" s="44"/>
      <c r="AD259" s="44"/>
      <c r="AE259" s="44"/>
      <c r="AF259" s="44"/>
      <c r="AG259" s="44"/>
      <c r="AH259" s="51"/>
      <c r="AI259" s="52">
        <v>1</v>
      </c>
      <c r="AJ259" s="44">
        <v>244.52</v>
      </c>
      <c r="AK259" s="44"/>
      <c r="AL259" s="44"/>
      <c r="AM259" s="44"/>
      <c r="AN259" s="44"/>
      <c r="AO259" s="44"/>
      <c r="AP259" s="51"/>
    </row>
    <row r="260" spans="1:42" ht="21" customHeight="1" thickTop="1" thickBot="1" x14ac:dyDescent="0.35">
      <c r="A260" s="63"/>
      <c r="B260" s="66"/>
      <c r="C260" s="53">
        <v>2</v>
      </c>
      <c r="D260" s="45">
        <v>246.01</v>
      </c>
      <c r="E260" s="45"/>
      <c r="F260" s="45"/>
      <c r="G260" s="45"/>
      <c r="H260" s="45"/>
      <c r="I260" s="45"/>
      <c r="J260" s="51"/>
      <c r="K260" s="53">
        <v>2</v>
      </c>
      <c r="L260" s="45">
        <v>245.25</v>
      </c>
      <c r="M260" s="45"/>
      <c r="N260" s="45"/>
      <c r="O260" s="45"/>
      <c r="P260" s="45"/>
      <c r="Q260" s="45"/>
      <c r="R260" s="51"/>
      <c r="S260" s="53">
        <v>2</v>
      </c>
      <c r="T260" s="45">
        <v>248.16</v>
      </c>
      <c r="U260" s="45"/>
      <c r="V260" s="45"/>
      <c r="W260" s="45"/>
      <c r="X260" s="45"/>
      <c r="Y260" s="45"/>
      <c r="Z260" s="51"/>
      <c r="AA260" s="53">
        <v>2</v>
      </c>
      <c r="AB260" s="45">
        <v>245.67</v>
      </c>
      <c r="AC260" s="45"/>
      <c r="AD260" s="45"/>
      <c r="AE260" s="45"/>
      <c r="AF260" s="45"/>
      <c r="AG260" s="45"/>
      <c r="AH260" s="51"/>
      <c r="AI260" s="53">
        <v>2</v>
      </c>
      <c r="AJ260" s="45">
        <v>245.96</v>
      </c>
      <c r="AK260" s="45"/>
      <c r="AL260" s="45"/>
      <c r="AM260" s="45"/>
      <c r="AN260" s="45"/>
      <c r="AO260" s="45"/>
      <c r="AP260" s="51"/>
    </row>
    <row r="261" spans="1:42" ht="21" customHeight="1" thickTop="1" thickBot="1" x14ac:dyDescent="0.35">
      <c r="A261" s="63"/>
      <c r="B261" s="66"/>
      <c r="C261" s="53">
        <v>3</v>
      </c>
      <c r="D261" s="45">
        <v>244.87</v>
      </c>
      <c r="E261" s="45"/>
      <c r="F261" s="45"/>
      <c r="G261" s="44"/>
      <c r="H261" s="44"/>
      <c r="I261" s="44"/>
      <c r="J261" s="51"/>
      <c r="K261" s="53">
        <v>3</v>
      </c>
      <c r="L261" s="45">
        <v>245.22</v>
      </c>
      <c r="M261" s="45"/>
      <c r="N261" s="45"/>
      <c r="O261" s="44"/>
      <c r="P261" s="44"/>
      <c r="Q261" s="44"/>
      <c r="R261" s="51"/>
      <c r="S261" s="53">
        <v>3</v>
      </c>
      <c r="T261" s="45">
        <v>244.39</v>
      </c>
      <c r="U261" s="45"/>
      <c r="V261" s="45"/>
      <c r="W261" s="44"/>
      <c r="X261" s="44"/>
      <c r="Y261" s="44"/>
      <c r="Z261" s="51"/>
      <c r="AA261" s="53">
        <v>3</v>
      </c>
      <c r="AB261" s="45">
        <v>247.08</v>
      </c>
      <c r="AC261" s="45"/>
      <c r="AD261" s="45"/>
      <c r="AE261" s="44"/>
      <c r="AF261" s="44"/>
      <c r="AG261" s="44"/>
      <c r="AH261" s="51"/>
      <c r="AI261" s="53">
        <v>3</v>
      </c>
      <c r="AJ261" s="45">
        <v>245.04</v>
      </c>
      <c r="AK261" s="45"/>
      <c r="AL261" s="45"/>
      <c r="AM261" s="44"/>
      <c r="AN261" s="44"/>
      <c r="AO261" s="44"/>
      <c r="AP261" s="51"/>
    </row>
    <row r="262" spans="1:42" ht="21" customHeight="1" thickTop="1" thickBot="1" x14ac:dyDescent="0.35">
      <c r="A262" s="63"/>
      <c r="B262" s="66"/>
      <c r="C262" s="53">
        <v>4</v>
      </c>
      <c r="D262" s="45">
        <v>245.86</v>
      </c>
      <c r="E262" s="45"/>
      <c r="F262" s="45"/>
      <c r="G262" s="45"/>
      <c r="H262" s="45"/>
      <c r="I262" s="45"/>
      <c r="J262" s="51"/>
      <c r="K262" s="53">
        <v>4</v>
      </c>
      <c r="L262" s="45">
        <v>245.9</v>
      </c>
      <c r="M262" s="45"/>
      <c r="N262" s="45"/>
      <c r="O262" s="45"/>
      <c r="P262" s="45"/>
      <c r="Q262" s="45"/>
      <c r="R262" s="51"/>
      <c r="S262" s="53">
        <v>4</v>
      </c>
      <c r="T262" s="45">
        <v>248.21</v>
      </c>
      <c r="U262" s="45"/>
      <c r="V262" s="45"/>
      <c r="W262" s="45"/>
      <c r="X262" s="45"/>
      <c r="Y262" s="45"/>
      <c r="Z262" s="51"/>
      <c r="AA262" s="53">
        <v>4</v>
      </c>
      <c r="AB262" s="45">
        <v>246.47</v>
      </c>
      <c r="AC262" s="45"/>
      <c r="AD262" s="45"/>
      <c r="AE262" s="45"/>
      <c r="AF262" s="45"/>
      <c r="AG262" s="45"/>
      <c r="AH262" s="51"/>
      <c r="AI262" s="53">
        <v>4</v>
      </c>
      <c r="AJ262" s="45">
        <v>246.64</v>
      </c>
      <c r="AK262" s="45"/>
      <c r="AL262" s="45"/>
      <c r="AM262" s="45"/>
      <c r="AN262" s="45"/>
      <c r="AO262" s="45"/>
      <c r="AP262" s="51"/>
    </row>
    <row r="263" spans="1:42" ht="21" customHeight="1" thickTop="1" thickBot="1" x14ac:dyDescent="0.35">
      <c r="A263" s="63"/>
      <c r="B263" s="66"/>
      <c r="C263" s="53">
        <v>5</v>
      </c>
      <c r="D263" s="45">
        <v>246.87</v>
      </c>
      <c r="E263" s="45"/>
      <c r="F263" s="45"/>
      <c r="G263" s="45"/>
      <c r="H263" s="45"/>
      <c r="I263" s="45"/>
      <c r="J263" s="51"/>
      <c r="K263" s="53">
        <v>5</v>
      </c>
      <c r="L263" s="45">
        <v>246.31</v>
      </c>
      <c r="M263" s="45"/>
      <c r="N263" s="45"/>
      <c r="O263" s="45"/>
      <c r="P263" s="45"/>
      <c r="Q263" s="45"/>
      <c r="R263" s="51"/>
      <c r="S263" s="53">
        <v>5</v>
      </c>
      <c r="T263" s="45">
        <v>245.67</v>
      </c>
      <c r="U263" s="45"/>
      <c r="V263" s="45"/>
      <c r="W263" s="45"/>
      <c r="X263" s="45"/>
      <c r="Y263" s="45"/>
      <c r="Z263" s="51"/>
      <c r="AA263" s="53">
        <v>5</v>
      </c>
      <c r="AB263" s="45">
        <v>245.86</v>
      </c>
      <c r="AC263" s="45"/>
      <c r="AD263" s="45"/>
      <c r="AE263" s="45"/>
      <c r="AF263" s="45"/>
      <c r="AG263" s="45"/>
      <c r="AH263" s="51"/>
      <c r="AI263" s="53">
        <v>5</v>
      </c>
      <c r="AJ263" s="45">
        <v>246.42</v>
      </c>
      <c r="AK263" s="45"/>
      <c r="AL263" s="45"/>
      <c r="AM263" s="45"/>
      <c r="AN263" s="45"/>
      <c r="AO263" s="45"/>
      <c r="AP263" s="51"/>
    </row>
    <row r="264" spans="1:42" ht="21" customHeight="1" thickTop="1" thickBot="1" x14ac:dyDescent="0.35">
      <c r="A264" s="63"/>
      <c r="B264" s="66"/>
      <c r="C264" s="53">
        <v>6</v>
      </c>
      <c r="D264" s="45">
        <v>246.03</v>
      </c>
      <c r="E264" s="45"/>
      <c r="F264" s="45"/>
      <c r="G264" s="45"/>
      <c r="H264" s="45"/>
      <c r="I264" s="45"/>
      <c r="J264" s="51"/>
      <c r="K264" s="53">
        <v>6</v>
      </c>
      <c r="L264" s="45">
        <v>245.67</v>
      </c>
      <c r="M264" s="45"/>
      <c r="N264" s="45"/>
      <c r="O264" s="45"/>
      <c r="P264" s="45"/>
      <c r="Q264" s="45"/>
      <c r="R264" s="51"/>
      <c r="S264" s="53">
        <v>6</v>
      </c>
      <c r="T264" s="45">
        <v>250.51</v>
      </c>
      <c r="U264" s="45"/>
      <c r="V264" s="45"/>
      <c r="W264" s="45"/>
      <c r="X264" s="45"/>
      <c r="Y264" s="45"/>
      <c r="Z264" s="51"/>
      <c r="AA264" s="53">
        <v>6</v>
      </c>
      <c r="AB264" s="45">
        <v>246.47</v>
      </c>
      <c r="AC264" s="45"/>
      <c r="AD264" s="45"/>
      <c r="AE264" s="45"/>
      <c r="AF264" s="45"/>
      <c r="AG264" s="45"/>
      <c r="AH264" s="51"/>
      <c r="AI264" s="53">
        <v>6</v>
      </c>
      <c r="AJ264" s="45">
        <v>244.5</v>
      </c>
      <c r="AK264" s="45"/>
      <c r="AL264" s="45"/>
      <c r="AM264" s="45"/>
      <c r="AN264" s="45"/>
      <c r="AO264" s="45"/>
      <c r="AP264" s="51"/>
    </row>
    <row r="265" spans="1:42" ht="21" customHeight="1" thickTop="1" thickBot="1" x14ac:dyDescent="0.35">
      <c r="A265" s="63"/>
      <c r="B265" s="66"/>
      <c r="C265" s="53">
        <v>7</v>
      </c>
      <c r="D265" s="45">
        <v>244.99</v>
      </c>
      <c r="E265" s="45"/>
      <c r="F265" s="45"/>
      <c r="G265" s="45"/>
      <c r="H265" s="45"/>
      <c r="I265" s="45"/>
      <c r="J265" s="51"/>
      <c r="K265" s="53">
        <v>7</v>
      </c>
      <c r="L265" s="45">
        <v>244.68</v>
      </c>
      <c r="M265" s="45"/>
      <c r="N265" s="45"/>
      <c r="O265" s="45"/>
      <c r="P265" s="45"/>
      <c r="Q265" s="45"/>
      <c r="R265" s="51"/>
      <c r="S265" s="53">
        <v>7</v>
      </c>
      <c r="T265" s="45">
        <v>248.43</v>
      </c>
      <c r="U265" s="45"/>
      <c r="V265" s="45"/>
      <c r="W265" s="45"/>
      <c r="X265" s="45"/>
      <c r="Y265" s="45"/>
      <c r="Z265" s="51"/>
      <c r="AA265" s="53">
        <v>7</v>
      </c>
      <c r="AB265" s="45">
        <v>246.54</v>
      </c>
      <c r="AC265" s="45"/>
      <c r="AD265" s="45"/>
      <c r="AE265" s="45"/>
      <c r="AF265" s="45"/>
      <c r="AG265" s="45"/>
      <c r="AH265" s="51"/>
      <c r="AI265" s="53">
        <v>7</v>
      </c>
      <c r="AJ265" s="45">
        <v>244.09</v>
      </c>
      <c r="AK265" s="45"/>
      <c r="AL265" s="45"/>
      <c r="AM265" s="45"/>
      <c r="AN265" s="45"/>
      <c r="AO265" s="45"/>
      <c r="AP265" s="51"/>
    </row>
    <row r="266" spans="1:42" ht="21" customHeight="1" thickTop="1" thickBot="1" x14ac:dyDescent="0.35">
      <c r="A266" s="63"/>
      <c r="B266" s="66"/>
      <c r="C266" s="53">
        <v>8</v>
      </c>
      <c r="D266" s="45">
        <v>245.5</v>
      </c>
      <c r="E266" s="45"/>
      <c r="F266" s="45"/>
      <c r="G266" s="45"/>
      <c r="H266" s="45"/>
      <c r="I266" s="45"/>
      <c r="J266" s="51"/>
      <c r="K266" s="53">
        <v>8</v>
      </c>
      <c r="L266" s="45">
        <v>245.78</v>
      </c>
      <c r="M266" s="45"/>
      <c r="N266" s="45"/>
      <c r="O266" s="45"/>
      <c r="P266" s="45"/>
      <c r="Q266" s="45"/>
      <c r="R266" s="51"/>
      <c r="S266" s="53">
        <v>8</v>
      </c>
      <c r="T266" s="45">
        <v>246.26</v>
      </c>
      <c r="U266" s="45"/>
      <c r="V266" s="45"/>
      <c r="W266" s="45"/>
      <c r="X266" s="45"/>
      <c r="Y266" s="45"/>
      <c r="Z266" s="51"/>
      <c r="AA266" s="53">
        <v>8</v>
      </c>
      <c r="AB266" s="45">
        <v>244.8</v>
      </c>
      <c r="AC266" s="45"/>
      <c r="AD266" s="45"/>
      <c r="AE266" s="45"/>
      <c r="AF266" s="45"/>
      <c r="AG266" s="45"/>
      <c r="AH266" s="51"/>
      <c r="AI266" s="53">
        <v>8</v>
      </c>
      <c r="AJ266" s="45">
        <v>246.16</v>
      </c>
      <c r="AK266" s="45"/>
      <c r="AL266" s="45"/>
      <c r="AM266" s="45"/>
      <c r="AN266" s="45"/>
      <c r="AO266" s="45"/>
      <c r="AP266" s="51"/>
    </row>
    <row r="267" spans="1:42" ht="21" customHeight="1" thickTop="1" thickBot="1" x14ac:dyDescent="0.35">
      <c r="A267" s="63"/>
      <c r="B267" s="66"/>
      <c r="C267" s="53">
        <v>9</v>
      </c>
      <c r="D267" s="45">
        <v>247</v>
      </c>
      <c r="E267" s="45"/>
      <c r="F267" s="45"/>
      <c r="G267" s="45"/>
      <c r="H267" s="45"/>
      <c r="I267" s="45"/>
      <c r="J267" s="51"/>
      <c r="K267" s="53">
        <v>9</v>
      </c>
      <c r="L267" s="45">
        <v>246.95</v>
      </c>
      <c r="M267" s="45"/>
      <c r="N267" s="45"/>
      <c r="O267" s="45"/>
      <c r="P267" s="45"/>
      <c r="Q267" s="45"/>
      <c r="R267" s="51"/>
      <c r="S267" s="53">
        <v>9</v>
      </c>
      <c r="T267" s="45">
        <v>245.3</v>
      </c>
      <c r="U267" s="45"/>
      <c r="V267" s="45"/>
      <c r="W267" s="45"/>
      <c r="X267" s="45"/>
      <c r="Y267" s="45"/>
      <c r="Z267" s="51"/>
      <c r="AA267" s="53">
        <v>9</v>
      </c>
      <c r="AB267" s="45">
        <v>249.02</v>
      </c>
      <c r="AC267" s="45"/>
      <c r="AD267" s="45"/>
      <c r="AE267" s="45"/>
      <c r="AF267" s="45"/>
      <c r="AG267" s="45"/>
      <c r="AH267" s="51"/>
      <c r="AI267" s="53">
        <v>9</v>
      </c>
      <c r="AJ267" s="45">
        <v>246.16</v>
      </c>
      <c r="AK267" s="45"/>
      <c r="AL267" s="45"/>
      <c r="AM267" s="45"/>
      <c r="AN267" s="45"/>
      <c r="AO267" s="45"/>
      <c r="AP267" s="51"/>
    </row>
    <row r="268" spans="1:42" ht="21" customHeight="1" thickTop="1" thickBot="1" x14ac:dyDescent="0.35">
      <c r="A268" s="63"/>
      <c r="B268" s="66"/>
      <c r="C268" s="53">
        <v>10</v>
      </c>
      <c r="D268" s="45">
        <v>245.31</v>
      </c>
      <c r="E268" s="45"/>
      <c r="F268" s="45"/>
      <c r="G268" s="45"/>
      <c r="H268" s="45"/>
      <c r="I268" s="45"/>
      <c r="J268" s="51"/>
      <c r="K268" s="53">
        <v>10</v>
      </c>
      <c r="L268" s="45">
        <v>246.12</v>
      </c>
      <c r="M268" s="45"/>
      <c r="N268" s="45"/>
      <c r="O268" s="45"/>
      <c r="P268" s="45"/>
      <c r="Q268" s="45"/>
      <c r="R268" s="51"/>
      <c r="S268" s="53">
        <v>10</v>
      </c>
      <c r="T268" s="45">
        <v>251.01</v>
      </c>
      <c r="U268" s="45"/>
      <c r="V268" s="45"/>
      <c r="W268" s="45"/>
      <c r="X268" s="45"/>
      <c r="Y268" s="45"/>
      <c r="Z268" s="51"/>
      <c r="AA268" s="53">
        <v>10</v>
      </c>
      <c r="AB268" s="45">
        <v>244.8</v>
      </c>
      <c r="AC268" s="45"/>
      <c r="AD268" s="45"/>
      <c r="AE268" s="45"/>
      <c r="AF268" s="45"/>
      <c r="AG268" s="45"/>
      <c r="AH268" s="51"/>
      <c r="AI268" s="53">
        <v>10</v>
      </c>
      <c r="AJ268" s="45">
        <v>246.64</v>
      </c>
      <c r="AK268" s="45"/>
      <c r="AL268" s="45"/>
      <c r="AM268" s="45"/>
      <c r="AN268" s="45"/>
      <c r="AO268" s="45"/>
      <c r="AP268" s="51"/>
    </row>
    <row r="269" spans="1:42" ht="21" customHeight="1" thickTop="1" thickBot="1" x14ac:dyDescent="0.35">
      <c r="A269" s="63"/>
      <c r="B269" s="66"/>
      <c r="C269" s="53"/>
      <c r="D269" s="45"/>
      <c r="E269" s="45"/>
      <c r="F269" s="45"/>
      <c r="G269" s="45"/>
      <c r="H269" s="45"/>
      <c r="I269" s="45"/>
      <c r="J269" s="51"/>
      <c r="K269" s="53"/>
      <c r="L269" s="45"/>
      <c r="M269" s="45"/>
      <c r="N269" s="45"/>
      <c r="O269" s="45"/>
      <c r="P269" s="45"/>
      <c r="Q269" s="45"/>
      <c r="R269" s="51"/>
      <c r="S269" s="53"/>
      <c r="T269" s="45"/>
      <c r="U269" s="45"/>
      <c r="V269" s="45"/>
      <c r="W269" s="45"/>
      <c r="X269" s="45"/>
      <c r="Y269" s="45"/>
      <c r="Z269" s="51"/>
      <c r="AA269" s="53"/>
      <c r="AB269" s="45"/>
      <c r="AC269" s="45"/>
      <c r="AD269" s="45"/>
      <c r="AE269" s="45"/>
      <c r="AF269" s="45"/>
      <c r="AG269" s="45"/>
      <c r="AH269" s="51"/>
      <c r="AI269" s="53"/>
      <c r="AJ269" s="45"/>
      <c r="AK269" s="45"/>
      <c r="AL269" s="45"/>
      <c r="AM269" s="45"/>
      <c r="AN269" s="45"/>
      <c r="AO269" s="45"/>
      <c r="AP269" s="51"/>
    </row>
    <row r="270" spans="1:42" ht="21" customHeight="1" thickTop="1" thickBot="1" x14ac:dyDescent="0.35">
      <c r="A270" s="63"/>
      <c r="B270" s="66"/>
      <c r="C270" s="54" t="s">
        <v>16</v>
      </c>
      <c r="D270" s="49">
        <f>MIN(D259:D268)</f>
        <v>244.76</v>
      </c>
      <c r="E270" s="45"/>
      <c r="F270" s="55" t="s">
        <v>17</v>
      </c>
      <c r="G270" s="49" t="s">
        <v>18</v>
      </c>
      <c r="H270" s="49" t="s">
        <v>19</v>
      </c>
      <c r="I270" s="45"/>
      <c r="J270" s="51"/>
      <c r="K270" s="54" t="s">
        <v>16</v>
      </c>
      <c r="L270" s="49">
        <f>MIN(L259:L268)</f>
        <v>244.68</v>
      </c>
      <c r="M270" s="45"/>
      <c r="N270" s="55" t="s">
        <v>17</v>
      </c>
      <c r="O270" s="49" t="s">
        <v>18</v>
      </c>
      <c r="P270" s="49" t="s">
        <v>19</v>
      </c>
      <c r="Q270" s="45"/>
      <c r="R270" s="51"/>
      <c r="S270" s="54" t="s">
        <v>16</v>
      </c>
      <c r="T270" s="49">
        <f>MIN(T259:T268)</f>
        <v>244.39</v>
      </c>
      <c r="U270" s="45"/>
      <c r="V270" s="55" t="s">
        <v>17</v>
      </c>
      <c r="W270" s="49" t="s">
        <v>18</v>
      </c>
      <c r="X270" s="49" t="s">
        <v>19</v>
      </c>
      <c r="Y270" s="45"/>
      <c r="Z270" s="51"/>
      <c r="AA270" s="54" t="s">
        <v>16</v>
      </c>
      <c r="AB270" s="49">
        <f>MIN(AB259:AB268)</f>
        <v>244.8</v>
      </c>
      <c r="AC270" s="45"/>
      <c r="AD270" s="55" t="s">
        <v>17</v>
      </c>
      <c r="AE270" s="49" t="s">
        <v>18</v>
      </c>
      <c r="AF270" s="49" t="s">
        <v>19</v>
      </c>
      <c r="AG270" s="45"/>
      <c r="AH270" s="51"/>
      <c r="AI270" s="54" t="s">
        <v>16</v>
      </c>
      <c r="AJ270" s="49">
        <f>MIN(AJ259:AJ268)</f>
        <v>244.09</v>
      </c>
      <c r="AK270" s="45"/>
      <c r="AL270" s="55" t="s">
        <v>17</v>
      </c>
      <c r="AM270" s="49" t="s">
        <v>18</v>
      </c>
      <c r="AN270" s="49" t="s">
        <v>19</v>
      </c>
      <c r="AO270" s="45"/>
      <c r="AP270" s="51"/>
    </row>
    <row r="271" spans="1:42" ht="21" customHeight="1" thickTop="1" thickBot="1" x14ac:dyDescent="0.35">
      <c r="A271" s="63"/>
      <c r="B271" s="66"/>
      <c r="C271" s="54" t="s">
        <v>20</v>
      </c>
      <c r="D271" s="48">
        <f>AVERAGE(D259:D268)</f>
        <v>245.71999999999997</v>
      </c>
      <c r="E271" s="47"/>
      <c r="F271" s="48">
        <f>_xlfn.STDEV.S(D259:D268) / AVERAGE(D259:D268) * 100%</f>
        <v>3.1970468143338953E-3</v>
      </c>
      <c r="G271" s="48">
        <f t="array" ref="G271">MIN((D259:D268 - MIN(D259:D268,L259:L268,T259:T268,AB259:AB268,AJ259:AJ268))/MIN(D259:D268,L259:L268,T259:T268,AB259:AB268,AJ259:AJ268)*100%)</f>
        <v>2.7448891802203594E-3</v>
      </c>
      <c r="H271" s="48">
        <f t="array" ref="H271">AVERAGE((D259:D268 - MIN(D259:D268,L259:L268,T259:T268,AB259:AB268,AJ259:AJ268))/MIN(D259:D268,L259:L268,T259:T268,AB259:AB268,AJ259:AJ268)*100%)</f>
        <v>6.6778647220287531E-3</v>
      </c>
      <c r="I271" s="45"/>
      <c r="J271" s="51"/>
      <c r="K271" s="54" t="s">
        <v>20</v>
      </c>
      <c r="L271" s="48">
        <f>AVERAGE(L259:L268)</f>
        <v>245.65900000000002</v>
      </c>
      <c r="M271" s="47"/>
      <c r="N271" s="48">
        <f>_xlfn.STDEV.S(L259:L268) / AVERAGE(L259:L268) * 100%</f>
        <v>2.9085974908830826E-3</v>
      </c>
      <c r="O271" s="48">
        <f t="array" ref="O271">MIN((L259:L268 - MIN(D259:D268,L259:L268,T259:T268,AB259:AB268,AJ259:AJ268))/MIN(D259:D268,L259:L268,T259:T268,AB259:AB268,AJ259:AJ268)*100%)</f>
        <v>2.4171412184030619E-3</v>
      </c>
      <c r="P271" s="48">
        <f t="array" ref="P271">AVERAGE((L259:L268 - MIN(D259:D268,L259:L268,T259:T268,AB259:AB268,AJ259:AJ268))/MIN(D259:D268,L259:L268,T259:T268,AB259:AB268,AJ259:AJ268)*100%)</f>
        <v>6.4279569011430086E-3</v>
      </c>
      <c r="Q271" s="44"/>
      <c r="R271" s="51"/>
      <c r="S271" s="54" t="s">
        <v>20</v>
      </c>
      <c r="T271" s="48">
        <f>AVERAGE(T259:T268)</f>
        <v>247.74600000000001</v>
      </c>
      <c r="U271" s="47"/>
      <c r="V271" s="48">
        <f>_xlfn.STDEV.S(T259:T268) / AVERAGE(T259:T268) * 100%</f>
        <v>9.1311956660403062E-3</v>
      </c>
      <c r="W271" s="48">
        <f t="array" ref="W271">MIN((T259:T268 - MIN(D259:D268,L259:L268,T259:T268,AB259:AB268,AJ259:AJ268))/MIN(D259:D268,L259:L268,T259:T268,AB259:AB268,AJ259:AJ268)*100%)</f>
        <v>1.2290548568150393E-3</v>
      </c>
      <c r="X271" s="48">
        <f t="array" ref="X271">AVERAGE((T259:T268 - MIN(D259:D268,L259:L268,T259:T268,AB259:AB268,AJ259:AJ268))/MIN(D259:D268,L259:L268,T259:T268,AB259:AB268,AJ259:AJ268)*100%)</f>
        <v>1.497808185505344E-2</v>
      </c>
      <c r="Y271" s="44"/>
      <c r="Z271" s="51"/>
      <c r="AA271" s="54" t="s">
        <v>20</v>
      </c>
      <c r="AB271" s="48">
        <f>AVERAGE(AB259:AB268)</f>
        <v>246.298</v>
      </c>
      <c r="AC271" s="47"/>
      <c r="AD271" s="48">
        <f>_xlfn.STDEV.S(AB259:AB268) / AVERAGE(AB259:AB268) * 100%</f>
        <v>4.9195772052389817E-3</v>
      </c>
      <c r="AE271" s="48">
        <f t="array" ref="AE271">MIN((AB259:AB268 - MIN(D259:D268,L259:L268,T259:T268,AB259:AB268,AJ259:AJ268))/MIN(D259:D268,L259:L268,T259:T268,AB259:AB268,AJ259:AJ268)*100%)</f>
        <v>2.9087631611291243E-3</v>
      </c>
      <c r="AF271" s="48">
        <f t="array" ref="AF271">AVERAGE((AB259:AB268 - MIN(D259:D268,L259:L268,T259:T268,AB259:AB268,AJ259:AJ268))/MIN(D259:D268,L259:L268,T259:T268,AB259:AB268,AJ259:AJ268)*100%)</f>
        <v>9.0458437461592069E-3</v>
      </c>
      <c r="AG271" s="44"/>
      <c r="AH271" s="51"/>
      <c r="AI271" s="54" t="s">
        <v>20</v>
      </c>
      <c r="AJ271" s="48">
        <f>AVERAGE(AJ259:AJ268)</f>
        <v>245.61299999999997</v>
      </c>
      <c r="AK271" s="47"/>
      <c r="AL271" s="48">
        <f>_xlfn.STDEV.S(AJ259:AJ268) / AVERAGE(AJ259:AJ268) * 100%</f>
        <v>3.9708622786541357E-3</v>
      </c>
      <c r="AM271" s="48">
        <f t="array" ref="AM271">MIN((AJ259:AJ268 - MIN(D259:D268,L259:L268,T259:T268,AB259:AB268,AJ259:AJ268))/MIN(D259:D268,L259:L268,T259:T268,AB259:AB268,AJ259:AJ268)*100%)</f>
        <v>0</v>
      </c>
      <c r="AN271" s="48">
        <f t="array" ref="AN271">AVERAGE((AJ259:AJ268 - MIN(D259:D268,L259:L268,T259:T268,AB259:AB268,AJ259:AJ268))/MIN(D259:D268,L259:L268,T259:T268,AB259:AB268,AJ259:AJ268)*100%)</f>
        <v>6.2395018230980096E-3</v>
      </c>
      <c r="AO271" s="44"/>
      <c r="AP271" s="51"/>
    </row>
    <row r="272" spans="1:42" ht="21" customHeight="1" thickTop="1" thickBot="1" x14ac:dyDescent="0.35">
      <c r="A272" s="63"/>
      <c r="B272" s="67"/>
      <c r="C272" s="53"/>
      <c r="D272" s="44"/>
      <c r="E272" s="44"/>
      <c r="F272" s="44"/>
      <c r="G272" s="44"/>
      <c r="H272" s="44"/>
      <c r="I272" s="44"/>
      <c r="J272" s="51"/>
      <c r="K272" s="53"/>
      <c r="L272" s="44"/>
      <c r="M272" s="44"/>
      <c r="N272" s="44"/>
      <c r="O272" s="44"/>
      <c r="P272" s="44"/>
      <c r="Q272" s="44"/>
      <c r="R272" s="51"/>
      <c r="S272" s="53"/>
      <c r="T272" s="44"/>
      <c r="U272" s="44"/>
      <c r="V272" s="44"/>
      <c r="W272" s="44"/>
      <c r="X272" s="44"/>
      <c r="Y272" s="44"/>
      <c r="Z272" s="51"/>
      <c r="AA272" s="53"/>
      <c r="AB272" s="44"/>
      <c r="AC272" s="44"/>
      <c r="AD272" s="44"/>
      <c r="AE272" s="44"/>
      <c r="AF272" s="44"/>
      <c r="AG272" s="44"/>
      <c r="AH272" s="51"/>
      <c r="AI272" s="53"/>
      <c r="AJ272" s="44"/>
      <c r="AK272" s="44"/>
      <c r="AL272" s="44"/>
      <c r="AM272" s="44"/>
      <c r="AN272" s="44"/>
      <c r="AO272" s="44"/>
      <c r="AP272" s="51"/>
    </row>
    <row r="273" spans="1:42" ht="21" customHeight="1" thickTop="1" thickBot="1" x14ac:dyDescent="0.35">
      <c r="A273" s="63"/>
      <c r="B273" s="65" t="s">
        <v>84</v>
      </c>
      <c r="C273" s="59" t="s">
        <v>8</v>
      </c>
      <c r="D273" s="46" t="s">
        <v>9</v>
      </c>
      <c r="E273" s="46" t="s">
        <v>10</v>
      </c>
      <c r="F273" s="46" t="s">
        <v>11</v>
      </c>
      <c r="G273" s="46" t="s">
        <v>12</v>
      </c>
      <c r="H273" s="46" t="s">
        <v>13</v>
      </c>
      <c r="I273" s="46" t="s">
        <v>14</v>
      </c>
      <c r="J273" s="60" t="s">
        <v>15</v>
      </c>
      <c r="K273" s="59" t="s">
        <v>8</v>
      </c>
      <c r="L273" s="46" t="s">
        <v>9</v>
      </c>
      <c r="M273" s="46" t="s">
        <v>10</v>
      </c>
      <c r="N273" s="46" t="s">
        <v>11</v>
      </c>
      <c r="O273" s="46" t="s">
        <v>12</v>
      </c>
      <c r="P273" s="46" t="s">
        <v>13</v>
      </c>
      <c r="Q273" s="46" t="s">
        <v>14</v>
      </c>
      <c r="R273" s="60" t="s">
        <v>15</v>
      </c>
      <c r="S273" s="59" t="s">
        <v>8</v>
      </c>
      <c r="T273" s="46" t="s">
        <v>9</v>
      </c>
      <c r="U273" s="46" t="s">
        <v>10</v>
      </c>
      <c r="V273" s="46" t="s">
        <v>11</v>
      </c>
      <c r="W273" s="46" t="s">
        <v>12</v>
      </c>
      <c r="X273" s="46" t="s">
        <v>13</v>
      </c>
      <c r="Y273" s="46" t="s">
        <v>14</v>
      </c>
      <c r="Z273" s="60" t="s">
        <v>15</v>
      </c>
      <c r="AA273" s="59" t="s">
        <v>8</v>
      </c>
      <c r="AB273" s="46" t="s">
        <v>9</v>
      </c>
      <c r="AC273" s="46" t="s">
        <v>10</v>
      </c>
      <c r="AD273" s="46" t="s">
        <v>11</v>
      </c>
      <c r="AE273" s="46" t="s">
        <v>12</v>
      </c>
      <c r="AF273" s="46" t="s">
        <v>13</v>
      </c>
      <c r="AG273" s="46" t="s">
        <v>14</v>
      </c>
      <c r="AH273" s="60" t="s">
        <v>15</v>
      </c>
      <c r="AI273" s="59" t="s">
        <v>8</v>
      </c>
      <c r="AJ273" s="46" t="s">
        <v>9</v>
      </c>
      <c r="AK273" s="46" t="s">
        <v>10</v>
      </c>
      <c r="AL273" s="46" t="s">
        <v>11</v>
      </c>
      <c r="AM273" s="46" t="s">
        <v>12</v>
      </c>
      <c r="AN273" s="46" t="s">
        <v>13</v>
      </c>
      <c r="AO273" s="46" t="s">
        <v>14</v>
      </c>
      <c r="AP273" s="60" t="s">
        <v>15</v>
      </c>
    </row>
    <row r="274" spans="1:42" ht="21" customHeight="1" thickTop="1" thickBot="1" x14ac:dyDescent="0.35">
      <c r="A274" s="63"/>
      <c r="B274" s="66"/>
      <c r="C274" s="52">
        <v>1</v>
      </c>
      <c r="D274" s="44">
        <v>241.29</v>
      </c>
      <c r="E274" s="44"/>
      <c r="F274" s="44"/>
      <c r="G274" s="44"/>
      <c r="H274" s="44"/>
      <c r="I274" s="44"/>
      <c r="J274" s="51"/>
      <c r="K274" s="52">
        <v>1</v>
      </c>
      <c r="L274" s="44">
        <v>241.38</v>
      </c>
      <c r="M274" s="44"/>
      <c r="N274" s="44"/>
      <c r="O274" s="44"/>
      <c r="P274" s="44"/>
      <c r="Q274" s="44"/>
      <c r="R274" s="51"/>
      <c r="S274" s="52">
        <v>1</v>
      </c>
      <c r="T274" s="44">
        <v>242.75</v>
      </c>
      <c r="U274" s="44"/>
      <c r="V274" s="44"/>
      <c r="W274" s="44"/>
      <c r="X274" s="44"/>
      <c r="Y274" s="44"/>
      <c r="Z274" s="51"/>
      <c r="AA274" s="52">
        <v>1</v>
      </c>
      <c r="AB274" s="44">
        <v>242.9</v>
      </c>
      <c r="AC274" s="44"/>
      <c r="AD274" s="44"/>
      <c r="AE274" s="44"/>
      <c r="AF274" s="44"/>
      <c r="AG274" s="44"/>
      <c r="AH274" s="51"/>
      <c r="AI274" s="52">
        <v>1</v>
      </c>
      <c r="AJ274" s="44">
        <v>241.88</v>
      </c>
      <c r="AK274" s="44"/>
      <c r="AL274" s="44"/>
      <c r="AM274" s="44"/>
      <c r="AN274" s="44"/>
      <c r="AO274" s="44"/>
      <c r="AP274" s="51"/>
    </row>
    <row r="275" spans="1:42" ht="21" customHeight="1" thickTop="1" thickBot="1" x14ac:dyDescent="0.35">
      <c r="A275" s="63"/>
      <c r="B275" s="66"/>
      <c r="C275" s="53">
        <v>2</v>
      </c>
      <c r="D275" s="45">
        <v>241.95</v>
      </c>
      <c r="E275" s="45"/>
      <c r="F275" s="45"/>
      <c r="G275" s="45"/>
      <c r="H275" s="45"/>
      <c r="I275" s="45"/>
      <c r="J275" s="51"/>
      <c r="K275" s="53">
        <v>2</v>
      </c>
      <c r="L275" s="45">
        <v>241.8</v>
      </c>
      <c r="M275" s="45"/>
      <c r="N275" s="45"/>
      <c r="O275" s="45"/>
      <c r="P275" s="45"/>
      <c r="Q275" s="45"/>
      <c r="R275" s="51"/>
      <c r="S275" s="53">
        <v>2</v>
      </c>
      <c r="T275" s="45">
        <v>242.73</v>
      </c>
      <c r="U275" s="45"/>
      <c r="V275" s="45"/>
      <c r="W275" s="45"/>
      <c r="X275" s="45"/>
      <c r="Y275" s="45"/>
      <c r="Z275" s="51"/>
      <c r="AA275" s="53">
        <v>2</v>
      </c>
      <c r="AB275" s="45">
        <v>242.93</v>
      </c>
      <c r="AC275" s="45"/>
      <c r="AD275" s="45"/>
      <c r="AE275" s="45"/>
      <c r="AF275" s="45"/>
      <c r="AG275" s="45"/>
      <c r="AH275" s="51"/>
      <c r="AI275" s="53">
        <v>2</v>
      </c>
      <c r="AJ275" s="45">
        <v>240.7</v>
      </c>
      <c r="AK275" s="45"/>
      <c r="AL275" s="45"/>
      <c r="AM275" s="45"/>
      <c r="AN275" s="45"/>
      <c r="AO275" s="45"/>
      <c r="AP275" s="51"/>
    </row>
    <row r="276" spans="1:42" ht="21" customHeight="1" thickTop="1" thickBot="1" x14ac:dyDescent="0.35">
      <c r="A276" s="63"/>
      <c r="B276" s="66"/>
      <c r="C276" s="53">
        <v>3</v>
      </c>
      <c r="D276" s="45">
        <v>242.2</v>
      </c>
      <c r="E276" s="45"/>
      <c r="F276" s="45"/>
      <c r="G276" s="44"/>
      <c r="H276" s="44"/>
      <c r="I276" s="44"/>
      <c r="J276" s="51"/>
      <c r="K276" s="53">
        <v>3</v>
      </c>
      <c r="L276" s="45">
        <v>241.47</v>
      </c>
      <c r="M276" s="45"/>
      <c r="N276" s="45"/>
      <c r="O276" s="44"/>
      <c r="P276" s="44"/>
      <c r="Q276" s="44"/>
      <c r="R276" s="51"/>
      <c r="S276" s="53">
        <v>3</v>
      </c>
      <c r="T276" s="45">
        <v>242.02</v>
      </c>
      <c r="U276" s="45"/>
      <c r="V276" s="45"/>
      <c r="W276" s="44"/>
      <c r="X276" s="44"/>
      <c r="Y276" s="44"/>
      <c r="Z276" s="51"/>
      <c r="AA276" s="53">
        <v>3</v>
      </c>
      <c r="AB276" s="45">
        <v>240.63</v>
      </c>
      <c r="AC276" s="45"/>
      <c r="AD276" s="45"/>
      <c r="AE276" s="44"/>
      <c r="AF276" s="44"/>
      <c r="AG276" s="44"/>
      <c r="AH276" s="51"/>
      <c r="AI276" s="53">
        <v>3</v>
      </c>
      <c r="AJ276" s="45">
        <v>240.72</v>
      </c>
      <c r="AK276" s="45"/>
      <c r="AL276" s="45"/>
      <c r="AM276" s="44"/>
      <c r="AN276" s="44"/>
      <c r="AO276" s="44"/>
      <c r="AP276" s="51"/>
    </row>
    <row r="277" spans="1:42" ht="21" customHeight="1" thickTop="1" thickBot="1" x14ac:dyDescent="0.35">
      <c r="A277" s="63"/>
      <c r="B277" s="66"/>
      <c r="C277" s="53">
        <v>4</v>
      </c>
      <c r="D277" s="45">
        <v>241.88</v>
      </c>
      <c r="E277" s="45"/>
      <c r="F277" s="45"/>
      <c r="G277" s="45"/>
      <c r="H277" s="45"/>
      <c r="I277" s="45"/>
      <c r="J277" s="51"/>
      <c r="K277" s="53">
        <v>4</v>
      </c>
      <c r="L277" s="45">
        <v>242.02</v>
      </c>
      <c r="M277" s="45"/>
      <c r="N277" s="45"/>
      <c r="O277" s="45"/>
      <c r="P277" s="45"/>
      <c r="Q277" s="45"/>
      <c r="R277" s="51"/>
      <c r="S277" s="53">
        <v>4</v>
      </c>
      <c r="T277" s="45">
        <v>243.58</v>
      </c>
      <c r="U277" s="45"/>
      <c r="V277" s="45"/>
      <c r="W277" s="45"/>
      <c r="X277" s="45"/>
      <c r="Y277" s="45"/>
      <c r="Z277" s="51"/>
      <c r="AA277" s="53">
        <v>4</v>
      </c>
      <c r="AB277" s="45">
        <v>242.91</v>
      </c>
      <c r="AC277" s="45"/>
      <c r="AD277" s="45"/>
      <c r="AE277" s="45"/>
      <c r="AF277" s="45"/>
      <c r="AG277" s="45"/>
      <c r="AH277" s="51"/>
      <c r="AI277" s="53">
        <v>4</v>
      </c>
      <c r="AJ277" s="45">
        <v>240.56</v>
      </c>
      <c r="AK277" s="45"/>
      <c r="AL277" s="45"/>
      <c r="AM277" s="45"/>
      <c r="AN277" s="45"/>
      <c r="AO277" s="45"/>
      <c r="AP277" s="51"/>
    </row>
    <row r="278" spans="1:42" ht="21" customHeight="1" thickTop="1" thickBot="1" x14ac:dyDescent="0.35">
      <c r="A278" s="63"/>
      <c r="B278" s="66"/>
      <c r="C278" s="53">
        <v>5</v>
      </c>
      <c r="D278" s="45">
        <v>242.09</v>
      </c>
      <c r="E278" s="45"/>
      <c r="F278" s="45"/>
      <c r="G278" s="45"/>
      <c r="H278" s="45"/>
      <c r="I278" s="45"/>
      <c r="J278" s="51"/>
      <c r="K278" s="53">
        <v>5</v>
      </c>
      <c r="L278" s="45">
        <v>242.97</v>
      </c>
      <c r="M278" s="45"/>
      <c r="N278" s="45"/>
      <c r="O278" s="45"/>
      <c r="P278" s="45"/>
      <c r="Q278" s="45"/>
      <c r="R278" s="51"/>
      <c r="S278" s="53">
        <v>5</v>
      </c>
      <c r="T278" s="45">
        <v>242.91</v>
      </c>
      <c r="U278" s="45"/>
      <c r="V278" s="45"/>
      <c r="W278" s="45"/>
      <c r="X278" s="45"/>
      <c r="Y278" s="45"/>
      <c r="Z278" s="51"/>
      <c r="AA278" s="53">
        <v>5</v>
      </c>
      <c r="AB278" s="45">
        <v>243.28</v>
      </c>
      <c r="AC278" s="45"/>
      <c r="AD278" s="45"/>
      <c r="AE278" s="45"/>
      <c r="AF278" s="45"/>
      <c r="AG278" s="45"/>
      <c r="AH278" s="51"/>
      <c r="AI278" s="53">
        <v>5</v>
      </c>
      <c r="AJ278" s="45">
        <v>240.66</v>
      </c>
      <c r="AK278" s="45"/>
      <c r="AL278" s="45"/>
      <c r="AM278" s="45"/>
      <c r="AN278" s="45"/>
      <c r="AO278" s="45"/>
      <c r="AP278" s="51"/>
    </row>
    <row r="279" spans="1:42" ht="21" customHeight="1" thickTop="1" thickBot="1" x14ac:dyDescent="0.35">
      <c r="A279" s="63"/>
      <c r="B279" s="66"/>
      <c r="C279" s="53">
        <v>6</v>
      </c>
      <c r="D279" s="45">
        <v>239.95</v>
      </c>
      <c r="E279" s="45"/>
      <c r="F279" s="45"/>
      <c r="G279" s="45"/>
      <c r="H279" s="45"/>
      <c r="I279" s="45"/>
      <c r="J279" s="51"/>
      <c r="K279" s="53">
        <v>6</v>
      </c>
      <c r="L279" s="45">
        <v>241.55</v>
      </c>
      <c r="M279" s="45"/>
      <c r="N279" s="45"/>
      <c r="O279" s="45"/>
      <c r="P279" s="45"/>
      <c r="Q279" s="45"/>
      <c r="R279" s="51"/>
      <c r="S279" s="53">
        <v>6</v>
      </c>
      <c r="T279" s="45">
        <v>243.51</v>
      </c>
      <c r="U279" s="45"/>
      <c r="V279" s="45"/>
      <c r="W279" s="45"/>
      <c r="X279" s="45"/>
      <c r="Y279" s="45"/>
      <c r="Z279" s="51"/>
      <c r="AA279" s="53">
        <v>6</v>
      </c>
      <c r="AB279" s="45">
        <v>242.73</v>
      </c>
      <c r="AC279" s="45"/>
      <c r="AD279" s="45"/>
      <c r="AE279" s="45"/>
      <c r="AF279" s="45"/>
      <c r="AG279" s="45"/>
      <c r="AH279" s="51"/>
      <c r="AI279" s="53">
        <v>6</v>
      </c>
      <c r="AJ279" s="45">
        <v>239.99</v>
      </c>
      <c r="AK279" s="45"/>
      <c r="AL279" s="45"/>
      <c r="AM279" s="45"/>
      <c r="AN279" s="45"/>
      <c r="AO279" s="45"/>
      <c r="AP279" s="51"/>
    </row>
    <row r="280" spans="1:42" ht="21" customHeight="1" thickTop="1" thickBot="1" x14ac:dyDescent="0.35">
      <c r="A280" s="63"/>
      <c r="B280" s="66"/>
      <c r="C280" s="53">
        <v>7</v>
      </c>
      <c r="D280" s="45">
        <v>241.42</v>
      </c>
      <c r="E280" s="45"/>
      <c r="F280" s="45"/>
      <c r="G280" s="45"/>
      <c r="H280" s="45"/>
      <c r="I280" s="45"/>
      <c r="J280" s="51"/>
      <c r="K280" s="53">
        <v>7</v>
      </c>
      <c r="L280" s="45">
        <v>242.2</v>
      </c>
      <c r="M280" s="45"/>
      <c r="N280" s="45"/>
      <c r="O280" s="45"/>
      <c r="P280" s="45"/>
      <c r="Q280" s="45"/>
      <c r="R280" s="51"/>
      <c r="S280" s="53">
        <v>7</v>
      </c>
      <c r="T280" s="45">
        <v>242.41</v>
      </c>
      <c r="U280" s="45"/>
      <c r="V280" s="45"/>
      <c r="W280" s="45"/>
      <c r="X280" s="45"/>
      <c r="Y280" s="45"/>
      <c r="Z280" s="51"/>
      <c r="AA280" s="53">
        <v>7</v>
      </c>
      <c r="AB280" s="45">
        <v>243.11</v>
      </c>
      <c r="AC280" s="45"/>
      <c r="AD280" s="45"/>
      <c r="AE280" s="45"/>
      <c r="AF280" s="45"/>
      <c r="AG280" s="45"/>
      <c r="AH280" s="51"/>
      <c r="AI280" s="53">
        <v>7</v>
      </c>
      <c r="AJ280" s="45">
        <v>241.79</v>
      </c>
      <c r="AK280" s="45"/>
      <c r="AL280" s="45"/>
      <c r="AM280" s="45"/>
      <c r="AN280" s="45"/>
      <c r="AO280" s="45"/>
      <c r="AP280" s="51"/>
    </row>
    <row r="281" spans="1:42" ht="21" customHeight="1" thickTop="1" thickBot="1" x14ac:dyDescent="0.35">
      <c r="A281" s="63"/>
      <c r="B281" s="66"/>
      <c r="C281" s="53">
        <v>8</v>
      </c>
      <c r="D281" s="45">
        <v>240.71</v>
      </c>
      <c r="E281" s="45"/>
      <c r="F281" s="45"/>
      <c r="G281" s="45"/>
      <c r="H281" s="45"/>
      <c r="I281" s="45"/>
      <c r="J281" s="51"/>
      <c r="K281" s="53">
        <v>8</v>
      </c>
      <c r="L281" s="45">
        <v>242.52</v>
      </c>
      <c r="M281" s="45"/>
      <c r="N281" s="45"/>
      <c r="O281" s="45"/>
      <c r="P281" s="45"/>
      <c r="Q281" s="45"/>
      <c r="R281" s="51"/>
      <c r="S281" s="53">
        <v>8</v>
      </c>
      <c r="T281" s="45">
        <v>242.41</v>
      </c>
      <c r="U281" s="45"/>
      <c r="V281" s="45"/>
      <c r="W281" s="45"/>
      <c r="X281" s="45"/>
      <c r="Y281" s="45"/>
      <c r="Z281" s="51"/>
      <c r="AA281" s="53">
        <v>8</v>
      </c>
      <c r="AB281" s="45">
        <v>242.2</v>
      </c>
      <c r="AC281" s="45"/>
      <c r="AD281" s="45"/>
      <c r="AE281" s="45"/>
      <c r="AF281" s="45"/>
      <c r="AG281" s="45"/>
      <c r="AH281" s="51"/>
      <c r="AI281" s="53">
        <v>8</v>
      </c>
      <c r="AJ281" s="45">
        <v>241.28</v>
      </c>
      <c r="AK281" s="45"/>
      <c r="AL281" s="45"/>
      <c r="AM281" s="45"/>
      <c r="AN281" s="45"/>
      <c r="AO281" s="45"/>
      <c r="AP281" s="51"/>
    </row>
    <row r="282" spans="1:42" ht="21" customHeight="1" thickTop="1" thickBot="1" x14ac:dyDescent="0.35">
      <c r="A282" s="63"/>
      <c r="B282" s="66"/>
      <c r="C282" s="53">
        <v>9</v>
      </c>
      <c r="D282" s="45">
        <v>241.85</v>
      </c>
      <c r="E282" s="45"/>
      <c r="F282" s="45"/>
      <c r="G282" s="45"/>
      <c r="H282" s="45"/>
      <c r="I282" s="45"/>
      <c r="J282" s="51"/>
      <c r="K282" s="53">
        <v>9</v>
      </c>
      <c r="L282" s="45">
        <v>241.03</v>
      </c>
      <c r="M282" s="45"/>
      <c r="N282" s="45"/>
      <c r="O282" s="45"/>
      <c r="P282" s="45"/>
      <c r="Q282" s="45"/>
      <c r="R282" s="51"/>
      <c r="S282" s="53">
        <v>9</v>
      </c>
      <c r="T282" s="45">
        <v>241.99</v>
      </c>
      <c r="U282" s="45"/>
      <c r="V282" s="45"/>
      <c r="W282" s="45"/>
      <c r="X282" s="45"/>
      <c r="Y282" s="45"/>
      <c r="Z282" s="51"/>
      <c r="AA282" s="53">
        <v>9</v>
      </c>
      <c r="AB282" s="45">
        <v>242.36</v>
      </c>
      <c r="AC282" s="45"/>
      <c r="AD282" s="45"/>
      <c r="AE282" s="45"/>
      <c r="AF282" s="45"/>
      <c r="AG282" s="45"/>
      <c r="AH282" s="51"/>
      <c r="AI282" s="53">
        <v>9</v>
      </c>
      <c r="AJ282" s="45">
        <v>241.43</v>
      </c>
      <c r="AK282" s="45"/>
      <c r="AL282" s="45"/>
      <c r="AM282" s="45"/>
      <c r="AN282" s="45"/>
      <c r="AO282" s="45"/>
      <c r="AP282" s="51"/>
    </row>
    <row r="283" spans="1:42" ht="21" customHeight="1" thickTop="1" thickBot="1" x14ac:dyDescent="0.35">
      <c r="A283" s="63"/>
      <c r="B283" s="66"/>
      <c r="C283" s="53">
        <v>10</v>
      </c>
      <c r="D283" s="45">
        <v>241.95</v>
      </c>
      <c r="E283" s="45"/>
      <c r="F283" s="45"/>
      <c r="G283" s="45"/>
      <c r="H283" s="45"/>
      <c r="I283" s="45"/>
      <c r="J283" s="51"/>
      <c r="K283" s="53">
        <v>10</v>
      </c>
      <c r="L283" s="45">
        <v>242.25</v>
      </c>
      <c r="M283" s="45"/>
      <c r="N283" s="45"/>
      <c r="O283" s="45"/>
      <c r="P283" s="45"/>
      <c r="Q283" s="45"/>
      <c r="R283" s="51"/>
      <c r="S283" s="53">
        <v>10</v>
      </c>
      <c r="T283" s="45">
        <v>242.81</v>
      </c>
      <c r="U283" s="45"/>
      <c r="V283" s="45"/>
      <c r="W283" s="45"/>
      <c r="X283" s="45"/>
      <c r="Y283" s="45"/>
      <c r="Z283" s="51"/>
      <c r="AA283" s="53">
        <v>10</v>
      </c>
      <c r="AB283" s="45">
        <v>240.48</v>
      </c>
      <c r="AC283" s="45"/>
      <c r="AD283" s="45"/>
      <c r="AE283" s="45"/>
      <c r="AF283" s="45"/>
      <c r="AG283" s="45"/>
      <c r="AH283" s="51"/>
      <c r="AI283" s="53">
        <v>10</v>
      </c>
      <c r="AJ283" s="45">
        <v>240.85</v>
      </c>
      <c r="AK283" s="45"/>
      <c r="AL283" s="45"/>
      <c r="AM283" s="45"/>
      <c r="AN283" s="45"/>
      <c r="AO283" s="45"/>
      <c r="AP283" s="51"/>
    </row>
    <row r="284" spans="1:42" ht="21" customHeight="1" thickTop="1" thickBot="1" x14ac:dyDescent="0.35">
      <c r="A284" s="63"/>
      <c r="B284" s="66"/>
      <c r="C284" s="53"/>
      <c r="D284" s="45"/>
      <c r="E284" s="45"/>
      <c r="F284" s="45"/>
      <c r="G284" s="45"/>
      <c r="H284" s="45"/>
      <c r="I284" s="45"/>
      <c r="J284" s="51"/>
      <c r="K284" s="53"/>
      <c r="L284" s="45"/>
      <c r="M284" s="45"/>
      <c r="N284" s="45"/>
      <c r="O284" s="45"/>
      <c r="P284" s="45"/>
      <c r="Q284" s="45"/>
      <c r="R284" s="51"/>
      <c r="S284" s="53"/>
      <c r="T284" s="45"/>
      <c r="U284" s="45"/>
      <c r="V284" s="45"/>
      <c r="W284" s="45"/>
      <c r="X284" s="45"/>
      <c r="Y284" s="45"/>
      <c r="Z284" s="51"/>
      <c r="AA284" s="53"/>
      <c r="AB284" s="45"/>
      <c r="AC284" s="45"/>
      <c r="AD284" s="45"/>
      <c r="AE284" s="45"/>
      <c r="AF284" s="45"/>
      <c r="AG284" s="45"/>
      <c r="AH284" s="51"/>
      <c r="AI284" s="53"/>
      <c r="AJ284" s="45"/>
      <c r="AK284" s="45"/>
      <c r="AL284" s="45"/>
      <c r="AM284" s="45"/>
      <c r="AN284" s="45"/>
      <c r="AO284" s="45"/>
      <c r="AP284" s="51"/>
    </row>
    <row r="285" spans="1:42" ht="21" customHeight="1" thickTop="1" thickBot="1" x14ac:dyDescent="0.35">
      <c r="A285" s="63"/>
      <c r="B285" s="66"/>
      <c r="C285" s="54" t="s">
        <v>16</v>
      </c>
      <c r="D285" s="49">
        <f>MIN(D274:D283)</f>
        <v>239.95</v>
      </c>
      <c r="E285" s="45"/>
      <c r="F285" s="55" t="s">
        <v>17</v>
      </c>
      <c r="G285" s="49" t="s">
        <v>18</v>
      </c>
      <c r="H285" s="49" t="s">
        <v>19</v>
      </c>
      <c r="I285" s="45"/>
      <c r="J285" s="51"/>
      <c r="K285" s="54" t="s">
        <v>16</v>
      </c>
      <c r="L285" s="49">
        <f>MIN(L274:L283)</f>
        <v>241.03</v>
      </c>
      <c r="M285" s="45"/>
      <c r="N285" s="55" t="s">
        <v>17</v>
      </c>
      <c r="O285" s="49" t="s">
        <v>18</v>
      </c>
      <c r="P285" s="49" t="s">
        <v>19</v>
      </c>
      <c r="Q285" s="45"/>
      <c r="R285" s="51"/>
      <c r="S285" s="54" t="s">
        <v>16</v>
      </c>
      <c r="T285" s="49">
        <f>MIN(T274:T283)</f>
        <v>241.99</v>
      </c>
      <c r="U285" s="45"/>
      <c r="V285" s="55" t="s">
        <v>17</v>
      </c>
      <c r="W285" s="49" t="s">
        <v>18</v>
      </c>
      <c r="X285" s="49" t="s">
        <v>19</v>
      </c>
      <c r="Y285" s="45"/>
      <c r="Z285" s="51"/>
      <c r="AA285" s="54" t="s">
        <v>16</v>
      </c>
      <c r="AB285" s="49">
        <f>MIN(AB274:AB283)</f>
        <v>240.48</v>
      </c>
      <c r="AC285" s="45"/>
      <c r="AD285" s="55" t="s">
        <v>17</v>
      </c>
      <c r="AE285" s="49" t="s">
        <v>18</v>
      </c>
      <c r="AF285" s="49" t="s">
        <v>19</v>
      </c>
      <c r="AG285" s="45"/>
      <c r="AH285" s="51"/>
      <c r="AI285" s="54" t="s">
        <v>16</v>
      </c>
      <c r="AJ285" s="49">
        <f>MIN(AJ274:AJ283)</f>
        <v>239.99</v>
      </c>
      <c r="AK285" s="45"/>
      <c r="AL285" s="55" t="s">
        <v>17</v>
      </c>
      <c r="AM285" s="49" t="s">
        <v>18</v>
      </c>
      <c r="AN285" s="49" t="s">
        <v>19</v>
      </c>
      <c r="AO285" s="45"/>
      <c r="AP285" s="51"/>
    </row>
    <row r="286" spans="1:42" ht="21" customHeight="1" thickTop="1" thickBot="1" x14ac:dyDescent="0.35">
      <c r="A286" s="63"/>
      <c r="B286" s="66"/>
      <c r="C286" s="54" t="s">
        <v>20</v>
      </c>
      <c r="D286" s="48">
        <f>AVERAGE(D274:D283)</f>
        <v>241.529</v>
      </c>
      <c r="E286" s="47"/>
      <c r="F286" s="48">
        <f>_xlfn.STDEV.S(D274:D283) / AVERAGE(D274:D283) * 100%</f>
        <v>2.9531131149391162E-3</v>
      </c>
      <c r="G286" s="48">
        <f t="array" ref="G286">MIN((D274:D283 - MIN(D274:D283,L274:L283,T274:T283,AB274:AB283,AJ274:AJ283))/MIN(D274:D283,L274:L283,T274:T283,AB274:AB283,AJ274:AJ283)*100%)</f>
        <v>0</v>
      </c>
      <c r="H286" s="48">
        <f t="array" ref="H286">AVERAGE((D274:D283 - MIN(D274:D283,L274:L283,T274:T283,AB274:AB283,AJ274:AJ283))/MIN(D274:D283,L274:L283,T274:T283,AB274:AB283,AJ274:AJ283)*100%)</f>
        <v>6.5805376120025207E-3</v>
      </c>
      <c r="I286" s="45"/>
      <c r="J286" s="51"/>
      <c r="K286" s="54" t="s">
        <v>20</v>
      </c>
      <c r="L286" s="48">
        <f>AVERAGE(L274:L283)</f>
        <v>241.91900000000001</v>
      </c>
      <c r="M286" s="47"/>
      <c r="N286" s="48">
        <f>_xlfn.STDEV.S(L274:L283) / AVERAGE(L274:L283) * 100%</f>
        <v>2.4249327662215596E-3</v>
      </c>
      <c r="O286" s="48">
        <f t="array" ref="O286">MIN((L274:L283 - MIN(D274:D283,L274:L283,T274:T283,AB274:AB283,AJ274:AJ283))/MIN(D274:D283,L274:L283,T274:T283,AB274:AB283,AJ274:AJ283)*100%)</f>
        <v>4.5009376953532507E-3</v>
      </c>
      <c r="P286" s="48">
        <f t="array" ref="P286">AVERAGE((L274:L283 - MIN(D274:D283,L274:L283,T274:T283,AB274:AB283,AJ274:AJ283))/MIN(D274:D283,L274:L283,T274:T283,AB274:AB283,AJ274:AJ283)*100%)</f>
        <v>8.2058762242134368E-3</v>
      </c>
      <c r="Q286" s="44"/>
      <c r="R286" s="51"/>
      <c r="S286" s="54" t="s">
        <v>20</v>
      </c>
      <c r="T286" s="48">
        <f>AVERAGE(T274:T283)</f>
        <v>242.71200000000005</v>
      </c>
      <c r="U286" s="47"/>
      <c r="V286" s="48">
        <f>_xlfn.STDEV.S(T274:T283) / AVERAGE(T274:T283) * 100%</f>
        <v>2.2244182138213731E-3</v>
      </c>
      <c r="W286" s="48">
        <f t="array" ref="W286">MIN((T274:T283 - MIN(D274:D283,L274:L283,T274:T283,AB274:AB283,AJ274:AJ283))/MIN(D274:D283,L274:L283,T274:T283,AB274:AB283,AJ274:AJ283)*100%)</f>
        <v>8.5017712023339048E-3</v>
      </c>
      <c r="X286" s="48">
        <f t="array" ref="X286">AVERAGE((T274:T283 - MIN(D274:D283,L274:L283,T274:T283,AB274:AB283,AJ274:AJ283))/MIN(D274:D283,L274:L283,T274:T283,AB274:AB283,AJ274:AJ283)*100%)</f>
        <v>1.1510731402375542E-2</v>
      </c>
      <c r="Y286" s="44"/>
      <c r="Z286" s="51"/>
      <c r="AA286" s="54" t="s">
        <v>20</v>
      </c>
      <c r="AB286" s="48">
        <f>AVERAGE(AB274:AB283)</f>
        <v>242.35300000000001</v>
      </c>
      <c r="AC286" s="47"/>
      <c r="AD286" s="48">
        <f>_xlfn.STDEV.S(AB274:AB283) / AVERAGE(AB274:AB283) * 100%</f>
        <v>4.1301558242455407E-3</v>
      </c>
      <c r="AE286" s="48">
        <f t="array" ref="AE286">MIN((AB274:AB283 - MIN(D274:D283,L274:L283,T274:T283,AB274:AB283,AJ274:AJ283))/MIN(D274:D283,L274:L283,T274:T283,AB274:AB283,AJ274:AJ283)*100%)</f>
        <v>2.208793498645556E-3</v>
      </c>
      <c r="AF286" s="48">
        <f t="array" ref="AF286">AVERAGE((AB274:AB283 - MIN(D274:D283,L274:L283,T274:T283,AB274:AB283,AJ274:AJ283))/MIN(D274:D283,L274:L283,T274:T283,AB274:AB283,AJ274:AJ283)*100%)</f>
        <v>1.0014586372160914E-2</v>
      </c>
      <c r="AG286" s="44"/>
      <c r="AH286" s="51"/>
      <c r="AI286" s="54" t="s">
        <v>20</v>
      </c>
      <c r="AJ286" s="48">
        <f>AVERAGE(AJ274:AJ283)</f>
        <v>240.98599999999996</v>
      </c>
      <c r="AK286" s="47"/>
      <c r="AL286" s="48">
        <f>_xlfn.STDEV.S(AJ274:AJ283) / AVERAGE(AJ274:AJ283) * 100%</f>
        <v>2.4666255376114628E-3</v>
      </c>
      <c r="AM286" s="48">
        <f t="array" ref="AM286">MIN((AJ274:AJ283 - MIN(D274:D283,L274:L283,T274:T283,AB274:AB283,AJ274:AJ283))/MIN(D274:D283,L274:L283,T274:T283,AB274:AB283,AJ274:AJ283)*100%)</f>
        <v>1.6670139612427783E-4</v>
      </c>
      <c r="AN286" s="48">
        <f t="array" ref="AN286">AVERAGE((AJ274:AJ283 - MIN(D274:D283,L274:L283,T274:T283,AB274:AB283,AJ274:AJ283))/MIN(D274:D283,L274:L283,T274:T283,AB274:AB283,AJ274:AJ283)*100%)</f>
        <v>4.3175661596166282E-3</v>
      </c>
      <c r="AO286" s="44"/>
      <c r="AP286" s="51"/>
    </row>
    <row r="287" spans="1:42" ht="21" customHeight="1" thickTop="1" thickBot="1" x14ac:dyDescent="0.35">
      <c r="A287" s="63"/>
      <c r="B287" s="67"/>
      <c r="C287" s="53"/>
      <c r="D287" s="44"/>
      <c r="E287" s="44"/>
      <c r="F287" s="44"/>
      <c r="G287" s="44"/>
      <c r="H287" s="44"/>
      <c r="I287" s="44"/>
      <c r="J287" s="51"/>
      <c r="K287" s="53"/>
      <c r="L287" s="44"/>
      <c r="M287" s="44"/>
      <c r="N287" s="44"/>
      <c r="O287" s="44"/>
      <c r="P287" s="44"/>
      <c r="Q287" s="44"/>
      <c r="R287" s="51"/>
      <c r="S287" s="53"/>
      <c r="T287" s="44"/>
      <c r="U287" s="44"/>
      <c r="V287" s="44"/>
      <c r="W287" s="44"/>
      <c r="X287" s="44"/>
      <c r="Y287" s="44"/>
      <c r="Z287" s="51"/>
      <c r="AA287" s="53"/>
      <c r="AB287" s="44"/>
      <c r="AC287" s="44"/>
      <c r="AD287" s="44"/>
      <c r="AE287" s="44"/>
      <c r="AF287" s="44"/>
      <c r="AG287" s="44"/>
      <c r="AH287" s="51"/>
      <c r="AI287" s="53"/>
      <c r="AJ287" s="44"/>
      <c r="AK287" s="44"/>
      <c r="AL287" s="44"/>
      <c r="AM287" s="44"/>
      <c r="AN287" s="44"/>
      <c r="AO287" s="44"/>
      <c r="AP287" s="51"/>
    </row>
    <row r="288" spans="1:42" ht="21" customHeight="1" thickTop="1" thickBot="1" x14ac:dyDescent="0.35">
      <c r="A288" s="63"/>
      <c r="B288" s="65" t="s">
        <v>85</v>
      </c>
      <c r="C288" s="59" t="s">
        <v>8</v>
      </c>
      <c r="D288" s="46" t="s">
        <v>9</v>
      </c>
      <c r="E288" s="46" t="s">
        <v>10</v>
      </c>
      <c r="F288" s="46" t="s">
        <v>11</v>
      </c>
      <c r="G288" s="46" t="s">
        <v>12</v>
      </c>
      <c r="H288" s="46" t="s">
        <v>13</v>
      </c>
      <c r="I288" s="46" t="s">
        <v>14</v>
      </c>
      <c r="J288" s="60" t="s">
        <v>15</v>
      </c>
      <c r="K288" s="59" t="s">
        <v>8</v>
      </c>
      <c r="L288" s="46" t="s">
        <v>9</v>
      </c>
      <c r="M288" s="46" t="s">
        <v>10</v>
      </c>
      <c r="N288" s="46" t="s">
        <v>11</v>
      </c>
      <c r="O288" s="46" t="s">
        <v>12</v>
      </c>
      <c r="P288" s="46" t="s">
        <v>13</v>
      </c>
      <c r="Q288" s="46" t="s">
        <v>14</v>
      </c>
      <c r="R288" s="60" t="s">
        <v>15</v>
      </c>
      <c r="S288" s="59" t="s">
        <v>8</v>
      </c>
      <c r="T288" s="46" t="s">
        <v>9</v>
      </c>
      <c r="U288" s="46" t="s">
        <v>10</v>
      </c>
      <c r="V288" s="46" t="s">
        <v>11</v>
      </c>
      <c r="W288" s="46" t="s">
        <v>12</v>
      </c>
      <c r="X288" s="46" t="s">
        <v>13</v>
      </c>
      <c r="Y288" s="46" t="s">
        <v>14</v>
      </c>
      <c r="Z288" s="60" t="s">
        <v>15</v>
      </c>
      <c r="AA288" s="59" t="s">
        <v>8</v>
      </c>
      <c r="AB288" s="46" t="s">
        <v>9</v>
      </c>
      <c r="AC288" s="46" t="s">
        <v>10</v>
      </c>
      <c r="AD288" s="46" t="s">
        <v>11</v>
      </c>
      <c r="AE288" s="46" t="s">
        <v>12</v>
      </c>
      <c r="AF288" s="46" t="s">
        <v>13</v>
      </c>
      <c r="AG288" s="46" t="s">
        <v>14</v>
      </c>
      <c r="AH288" s="60" t="s">
        <v>15</v>
      </c>
      <c r="AI288" s="59" t="s">
        <v>8</v>
      </c>
      <c r="AJ288" s="46" t="s">
        <v>9</v>
      </c>
      <c r="AK288" s="46" t="s">
        <v>10</v>
      </c>
      <c r="AL288" s="46" t="s">
        <v>11</v>
      </c>
      <c r="AM288" s="46" t="s">
        <v>12</v>
      </c>
      <c r="AN288" s="46" t="s">
        <v>13</v>
      </c>
      <c r="AO288" s="46" t="s">
        <v>14</v>
      </c>
      <c r="AP288" s="60" t="s">
        <v>15</v>
      </c>
    </row>
    <row r="289" spans="1:42" ht="21" customHeight="1" thickTop="1" thickBot="1" x14ac:dyDescent="0.35">
      <c r="A289" s="63"/>
      <c r="B289" s="66"/>
      <c r="C289" s="52">
        <v>1</v>
      </c>
      <c r="D289" s="44">
        <v>263.66000000000003</v>
      </c>
      <c r="E289" s="44"/>
      <c r="F289" s="44"/>
      <c r="G289" s="44"/>
      <c r="H289" s="44"/>
      <c r="I289" s="44"/>
      <c r="J289" s="51"/>
      <c r="K289" s="52">
        <v>1</v>
      </c>
      <c r="L289" s="44">
        <v>263.56</v>
      </c>
      <c r="M289" s="44"/>
      <c r="N289" s="44"/>
      <c r="O289" s="44"/>
      <c r="P289" s="44"/>
      <c r="Q289" s="44"/>
      <c r="R289" s="51"/>
      <c r="S289" s="52">
        <v>1</v>
      </c>
      <c r="T289" s="44">
        <v>266.64999999999998</v>
      </c>
      <c r="U289" s="44"/>
      <c r="V289" s="44"/>
      <c r="W289" s="44"/>
      <c r="X289" s="44"/>
      <c r="Y289" s="44"/>
      <c r="Z289" s="51"/>
      <c r="AA289" s="52">
        <v>1</v>
      </c>
      <c r="AB289" s="44">
        <v>263.58</v>
      </c>
      <c r="AC289" s="44"/>
      <c r="AD289" s="44"/>
      <c r="AE289" s="44"/>
      <c r="AF289" s="44"/>
      <c r="AG289" s="44"/>
      <c r="AH289" s="51"/>
      <c r="AI289" s="52">
        <v>1</v>
      </c>
      <c r="AJ289" s="44">
        <v>264.52</v>
      </c>
      <c r="AK289" s="44"/>
      <c r="AL289" s="44"/>
      <c r="AM289" s="44"/>
      <c r="AN289" s="44"/>
      <c r="AO289" s="44"/>
      <c r="AP289" s="51"/>
    </row>
    <row r="290" spans="1:42" ht="21" customHeight="1" thickTop="1" thickBot="1" x14ac:dyDescent="0.35">
      <c r="A290" s="63"/>
      <c r="B290" s="66"/>
      <c r="C290" s="53">
        <v>2</v>
      </c>
      <c r="D290" s="45">
        <v>261.8</v>
      </c>
      <c r="E290" s="45"/>
      <c r="F290" s="45"/>
      <c r="G290" s="45"/>
      <c r="H290" s="45"/>
      <c r="I290" s="45"/>
      <c r="J290" s="51"/>
      <c r="K290" s="53">
        <v>2</v>
      </c>
      <c r="L290" s="45">
        <v>266.02</v>
      </c>
      <c r="M290" s="45"/>
      <c r="N290" s="45"/>
      <c r="O290" s="45"/>
      <c r="P290" s="45"/>
      <c r="Q290" s="45"/>
      <c r="R290" s="51"/>
      <c r="S290" s="53">
        <v>2</v>
      </c>
      <c r="T290" s="45">
        <v>266.33</v>
      </c>
      <c r="U290" s="45"/>
      <c r="V290" s="45"/>
      <c r="W290" s="45"/>
      <c r="X290" s="45"/>
      <c r="Y290" s="45"/>
      <c r="Z290" s="51"/>
      <c r="AA290" s="53">
        <v>2</v>
      </c>
      <c r="AB290" s="45">
        <v>264.72000000000003</v>
      </c>
      <c r="AC290" s="45"/>
      <c r="AD290" s="45"/>
      <c r="AE290" s="45"/>
      <c r="AF290" s="45"/>
      <c r="AG290" s="45"/>
      <c r="AH290" s="51"/>
      <c r="AI290" s="53">
        <v>2</v>
      </c>
      <c r="AJ290" s="45">
        <v>265.36</v>
      </c>
      <c r="AK290" s="45"/>
      <c r="AL290" s="45"/>
      <c r="AM290" s="45"/>
      <c r="AN290" s="45"/>
      <c r="AO290" s="45"/>
      <c r="AP290" s="51"/>
    </row>
    <row r="291" spans="1:42" ht="21" customHeight="1" thickTop="1" thickBot="1" x14ac:dyDescent="0.35">
      <c r="A291" s="63"/>
      <c r="B291" s="66"/>
      <c r="C291" s="53">
        <v>3</v>
      </c>
      <c r="D291" s="45">
        <v>262.62</v>
      </c>
      <c r="E291" s="45"/>
      <c r="F291" s="45"/>
      <c r="G291" s="44"/>
      <c r="H291" s="44"/>
      <c r="I291" s="44"/>
      <c r="J291" s="51"/>
      <c r="K291" s="53">
        <v>3</v>
      </c>
      <c r="L291" s="45">
        <v>262.7</v>
      </c>
      <c r="M291" s="45"/>
      <c r="N291" s="45"/>
      <c r="O291" s="44"/>
      <c r="P291" s="44"/>
      <c r="Q291" s="44"/>
      <c r="R291" s="51"/>
      <c r="S291" s="53">
        <v>3</v>
      </c>
      <c r="T291" s="45">
        <v>267.17</v>
      </c>
      <c r="U291" s="45"/>
      <c r="V291" s="45"/>
      <c r="W291" s="44"/>
      <c r="X291" s="44"/>
      <c r="Y291" s="44"/>
      <c r="Z291" s="51"/>
      <c r="AA291" s="53">
        <v>3</v>
      </c>
      <c r="AB291" s="45">
        <v>265.45999999999998</v>
      </c>
      <c r="AC291" s="45"/>
      <c r="AD291" s="45"/>
      <c r="AE291" s="44"/>
      <c r="AF291" s="44"/>
      <c r="AG291" s="44"/>
      <c r="AH291" s="51"/>
      <c r="AI291" s="53">
        <v>3</v>
      </c>
      <c r="AJ291" s="45">
        <v>264.58999999999997</v>
      </c>
      <c r="AK291" s="45"/>
      <c r="AL291" s="45"/>
      <c r="AM291" s="44"/>
      <c r="AN291" s="44"/>
      <c r="AO291" s="44"/>
      <c r="AP291" s="51"/>
    </row>
    <row r="292" spans="1:42" ht="21" customHeight="1" thickTop="1" thickBot="1" x14ac:dyDescent="0.35">
      <c r="A292" s="63"/>
      <c r="B292" s="66"/>
      <c r="C292" s="53">
        <v>4</v>
      </c>
      <c r="D292" s="45">
        <v>263.62</v>
      </c>
      <c r="E292" s="45"/>
      <c r="F292" s="45"/>
      <c r="G292" s="45"/>
      <c r="H292" s="45"/>
      <c r="I292" s="45"/>
      <c r="J292" s="51"/>
      <c r="K292" s="53">
        <v>4</v>
      </c>
      <c r="L292" s="45">
        <v>263.11</v>
      </c>
      <c r="M292" s="45"/>
      <c r="N292" s="45"/>
      <c r="O292" s="45"/>
      <c r="P292" s="45"/>
      <c r="Q292" s="45"/>
      <c r="R292" s="51"/>
      <c r="S292" s="53">
        <v>4</v>
      </c>
      <c r="T292" s="45">
        <v>264.80999999999989</v>
      </c>
      <c r="U292" s="45"/>
      <c r="V292" s="45"/>
      <c r="W292" s="45"/>
      <c r="X292" s="45"/>
      <c r="Y292" s="45"/>
      <c r="Z292" s="51"/>
      <c r="AA292" s="53">
        <v>4</v>
      </c>
      <c r="AB292" s="45">
        <v>265.41000000000003</v>
      </c>
      <c r="AC292" s="45"/>
      <c r="AD292" s="45"/>
      <c r="AE292" s="45"/>
      <c r="AF292" s="45"/>
      <c r="AG292" s="45"/>
      <c r="AH292" s="51"/>
      <c r="AI292" s="53">
        <v>4</v>
      </c>
      <c r="AJ292" s="45">
        <v>265.23</v>
      </c>
      <c r="AK292" s="45"/>
      <c r="AL292" s="45"/>
      <c r="AM292" s="45"/>
      <c r="AN292" s="45"/>
      <c r="AO292" s="45"/>
      <c r="AP292" s="51"/>
    </row>
    <row r="293" spans="1:42" ht="21" customHeight="1" thickTop="1" thickBot="1" x14ac:dyDescent="0.35">
      <c r="A293" s="63"/>
      <c r="B293" s="66"/>
      <c r="C293" s="53">
        <v>5</v>
      </c>
      <c r="D293" s="45">
        <v>261.85000000000002</v>
      </c>
      <c r="E293" s="45"/>
      <c r="F293" s="45"/>
      <c r="G293" s="45"/>
      <c r="H293" s="45"/>
      <c r="I293" s="45"/>
      <c r="J293" s="51"/>
      <c r="K293" s="53">
        <v>5</v>
      </c>
      <c r="L293" s="45">
        <v>264.42</v>
      </c>
      <c r="M293" s="45"/>
      <c r="N293" s="45"/>
      <c r="O293" s="45"/>
      <c r="P293" s="45"/>
      <c r="Q293" s="45"/>
      <c r="R293" s="51"/>
      <c r="S293" s="53">
        <v>5</v>
      </c>
      <c r="T293" s="45">
        <v>268.07</v>
      </c>
      <c r="U293" s="45"/>
      <c r="V293" s="45"/>
      <c r="W293" s="45"/>
      <c r="X293" s="45"/>
      <c r="Y293" s="45"/>
      <c r="Z293" s="51"/>
      <c r="AA293" s="53">
        <v>5</v>
      </c>
      <c r="AB293" s="45">
        <v>263.37</v>
      </c>
      <c r="AC293" s="45"/>
      <c r="AD293" s="45"/>
      <c r="AE293" s="45"/>
      <c r="AF293" s="45"/>
      <c r="AG293" s="45"/>
      <c r="AH293" s="51"/>
      <c r="AI293" s="53">
        <v>5</v>
      </c>
      <c r="AJ293" s="45">
        <v>265.48</v>
      </c>
      <c r="AK293" s="45"/>
      <c r="AL293" s="45"/>
      <c r="AM293" s="45"/>
      <c r="AN293" s="45"/>
      <c r="AO293" s="45"/>
      <c r="AP293" s="51"/>
    </row>
    <row r="294" spans="1:42" ht="21" customHeight="1" thickTop="1" thickBot="1" x14ac:dyDescent="0.35">
      <c r="A294" s="63"/>
      <c r="B294" s="66"/>
      <c r="C294" s="53">
        <v>6</v>
      </c>
      <c r="D294" s="45">
        <v>262.33999999999997</v>
      </c>
      <c r="E294" s="45"/>
      <c r="F294" s="45"/>
      <c r="G294" s="45"/>
      <c r="H294" s="45"/>
      <c r="I294" s="45"/>
      <c r="J294" s="51"/>
      <c r="K294" s="53">
        <v>6</v>
      </c>
      <c r="L294" s="45">
        <v>264</v>
      </c>
      <c r="M294" s="45"/>
      <c r="N294" s="45"/>
      <c r="O294" s="45"/>
      <c r="P294" s="45"/>
      <c r="Q294" s="45"/>
      <c r="R294" s="51"/>
      <c r="S294" s="53">
        <v>6</v>
      </c>
      <c r="T294" s="45">
        <v>266.76</v>
      </c>
      <c r="U294" s="45"/>
      <c r="V294" s="45"/>
      <c r="W294" s="45"/>
      <c r="X294" s="45"/>
      <c r="Y294" s="45"/>
      <c r="Z294" s="51"/>
      <c r="AA294" s="53">
        <v>6</v>
      </c>
      <c r="AB294" s="45">
        <v>264.57</v>
      </c>
      <c r="AC294" s="45"/>
      <c r="AD294" s="45"/>
      <c r="AE294" s="45"/>
      <c r="AF294" s="45"/>
      <c r="AG294" s="45"/>
      <c r="AH294" s="51"/>
      <c r="AI294" s="53">
        <v>6</v>
      </c>
      <c r="AJ294" s="45">
        <v>264.72000000000003</v>
      </c>
      <c r="AK294" s="45"/>
      <c r="AL294" s="45"/>
      <c r="AM294" s="45"/>
      <c r="AN294" s="45"/>
      <c r="AO294" s="45"/>
      <c r="AP294" s="51"/>
    </row>
    <row r="295" spans="1:42" ht="21" customHeight="1" thickTop="1" thickBot="1" x14ac:dyDescent="0.35">
      <c r="A295" s="63"/>
      <c r="B295" s="66"/>
      <c r="C295" s="53">
        <v>7</v>
      </c>
      <c r="D295" s="45">
        <v>263.73</v>
      </c>
      <c r="E295" s="45"/>
      <c r="F295" s="45"/>
      <c r="G295" s="45"/>
      <c r="H295" s="45"/>
      <c r="I295" s="45"/>
      <c r="J295" s="51"/>
      <c r="K295" s="53">
        <v>7</v>
      </c>
      <c r="L295" s="45">
        <v>264.37</v>
      </c>
      <c r="M295" s="45"/>
      <c r="N295" s="45"/>
      <c r="O295" s="45"/>
      <c r="P295" s="45"/>
      <c r="Q295" s="45"/>
      <c r="R295" s="51"/>
      <c r="S295" s="53">
        <v>7</v>
      </c>
      <c r="T295" s="45">
        <v>267</v>
      </c>
      <c r="U295" s="45"/>
      <c r="V295" s="45"/>
      <c r="W295" s="45"/>
      <c r="X295" s="45"/>
      <c r="Y295" s="45"/>
      <c r="Z295" s="51"/>
      <c r="AA295" s="53">
        <v>7</v>
      </c>
      <c r="AB295" s="45">
        <v>265.70999999999998</v>
      </c>
      <c r="AC295" s="45"/>
      <c r="AD295" s="45"/>
      <c r="AE295" s="45"/>
      <c r="AF295" s="45"/>
      <c r="AG295" s="45"/>
      <c r="AH295" s="51"/>
      <c r="AI295" s="53">
        <v>7</v>
      </c>
      <c r="AJ295" s="45">
        <v>264.7</v>
      </c>
      <c r="AK295" s="45"/>
      <c r="AL295" s="45"/>
      <c r="AM295" s="45"/>
      <c r="AN295" s="45"/>
      <c r="AO295" s="45"/>
      <c r="AP295" s="51"/>
    </row>
    <row r="296" spans="1:42" ht="21" customHeight="1" thickTop="1" thickBot="1" x14ac:dyDescent="0.35">
      <c r="A296" s="63"/>
      <c r="B296" s="66"/>
      <c r="C296" s="53">
        <v>8</v>
      </c>
      <c r="D296" s="45">
        <v>263.39</v>
      </c>
      <c r="E296" s="45"/>
      <c r="F296" s="45"/>
      <c r="G296" s="45"/>
      <c r="H296" s="45"/>
      <c r="I296" s="45"/>
      <c r="J296" s="51"/>
      <c r="K296" s="53">
        <v>8</v>
      </c>
      <c r="L296" s="45">
        <v>265.16000000000003</v>
      </c>
      <c r="M296" s="45"/>
      <c r="N296" s="45"/>
      <c r="O296" s="45"/>
      <c r="P296" s="45"/>
      <c r="Q296" s="45"/>
      <c r="R296" s="51"/>
      <c r="S296" s="53">
        <v>8</v>
      </c>
      <c r="T296" s="45">
        <v>265.67</v>
      </c>
      <c r="U296" s="45"/>
      <c r="V296" s="45"/>
      <c r="W296" s="45"/>
      <c r="X296" s="45"/>
      <c r="Y296" s="45"/>
      <c r="Z296" s="51"/>
      <c r="AA296" s="53">
        <v>8</v>
      </c>
      <c r="AB296" s="45">
        <v>263.33999999999997</v>
      </c>
      <c r="AC296" s="45"/>
      <c r="AD296" s="45"/>
      <c r="AE296" s="45"/>
      <c r="AF296" s="45"/>
      <c r="AG296" s="45"/>
      <c r="AH296" s="51"/>
      <c r="AI296" s="53">
        <v>8</v>
      </c>
      <c r="AJ296" s="45">
        <v>265.45</v>
      </c>
      <c r="AK296" s="45"/>
      <c r="AL296" s="45"/>
      <c r="AM296" s="45"/>
      <c r="AN296" s="45"/>
      <c r="AO296" s="45"/>
      <c r="AP296" s="51"/>
    </row>
    <row r="297" spans="1:42" ht="21" customHeight="1" thickTop="1" thickBot="1" x14ac:dyDescent="0.35">
      <c r="A297" s="63"/>
      <c r="B297" s="66"/>
      <c r="C297" s="53">
        <v>9</v>
      </c>
      <c r="D297" s="45">
        <v>262.83</v>
      </c>
      <c r="E297" s="45"/>
      <c r="F297" s="45"/>
      <c r="G297" s="45"/>
      <c r="H297" s="45"/>
      <c r="I297" s="45"/>
      <c r="J297" s="51"/>
      <c r="K297" s="53">
        <v>9</v>
      </c>
      <c r="L297" s="45">
        <v>263.3</v>
      </c>
      <c r="M297" s="45"/>
      <c r="N297" s="45"/>
      <c r="O297" s="45"/>
      <c r="P297" s="45"/>
      <c r="Q297" s="45"/>
      <c r="R297" s="51"/>
      <c r="S297" s="53">
        <v>9</v>
      </c>
      <c r="T297" s="45">
        <v>264.62</v>
      </c>
      <c r="U297" s="45"/>
      <c r="V297" s="45"/>
      <c r="W297" s="45"/>
      <c r="X297" s="45"/>
      <c r="Y297" s="45"/>
      <c r="Z297" s="51"/>
      <c r="AA297" s="53">
        <v>9</v>
      </c>
      <c r="AB297" s="45">
        <v>263.37</v>
      </c>
      <c r="AC297" s="45"/>
      <c r="AD297" s="45"/>
      <c r="AE297" s="45"/>
      <c r="AF297" s="45"/>
      <c r="AG297" s="45"/>
      <c r="AH297" s="51"/>
      <c r="AI297" s="53">
        <v>9</v>
      </c>
      <c r="AJ297" s="45">
        <v>264.64999999999998</v>
      </c>
      <c r="AK297" s="45"/>
      <c r="AL297" s="45"/>
      <c r="AM297" s="45"/>
      <c r="AN297" s="45"/>
      <c r="AO297" s="45"/>
      <c r="AP297" s="51"/>
    </row>
    <row r="298" spans="1:42" ht="21" customHeight="1" thickTop="1" thickBot="1" x14ac:dyDescent="0.35">
      <c r="A298" s="63"/>
      <c r="B298" s="66"/>
      <c r="C298" s="53">
        <v>10</v>
      </c>
      <c r="D298" s="45">
        <v>262.08999999999997</v>
      </c>
      <c r="E298" s="45"/>
      <c r="F298" s="45"/>
      <c r="G298" s="45"/>
      <c r="H298" s="45"/>
      <c r="I298" s="45"/>
      <c r="J298" s="51"/>
      <c r="K298" s="53">
        <v>10</v>
      </c>
      <c r="L298" s="45">
        <v>264.48</v>
      </c>
      <c r="M298" s="45"/>
      <c r="N298" s="45"/>
      <c r="O298" s="45"/>
      <c r="P298" s="45"/>
      <c r="Q298" s="45"/>
      <c r="R298" s="51"/>
      <c r="S298" s="53">
        <v>10</v>
      </c>
      <c r="T298" s="45">
        <v>265.41000000000003</v>
      </c>
      <c r="U298" s="45"/>
      <c r="V298" s="45"/>
      <c r="W298" s="45"/>
      <c r="X298" s="45"/>
      <c r="Y298" s="45"/>
      <c r="Z298" s="51"/>
      <c r="AA298" s="53">
        <v>10</v>
      </c>
      <c r="AB298" s="45">
        <v>264.49</v>
      </c>
      <c r="AC298" s="45"/>
      <c r="AD298" s="45"/>
      <c r="AE298" s="45"/>
      <c r="AF298" s="45"/>
      <c r="AG298" s="45"/>
      <c r="AH298" s="51"/>
      <c r="AI298" s="53">
        <v>10</v>
      </c>
      <c r="AJ298" s="45">
        <v>264.45999999999998</v>
      </c>
      <c r="AK298" s="45"/>
      <c r="AL298" s="45"/>
      <c r="AM298" s="45"/>
      <c r="AN298" s="45"/>
      <c r="AO298" s="45"/>
      <c r="AP298" s="51"/>
    </row>
    <row r="299" spans="1:42" ht="21" customHeight="1" thickTop="1" thickBot="1" x14ac:dyDescent="0.35">
      <c r="A299" s="63"/>
      <c r="B299" s="66"/>
      <c r="C299" s="53"/>
      <c r="D299" s="45"/>
      <c r="E299" s="45"/>
      <c r="F299" s="45"/>
      <c r="G299" s="45"/>
      <c r="H299" s="45"/>
      <c r="I299" s="45"/>
      <c r="J299" s="51"/>
      <c r="K299" s="53"/>
      <c r="L299" s="45"/>
      <c r="M299" s="45"/>
      <c r="N299" s="45"/>
      <c r="O299" s="45"/>
      <c r="P299" s="45"/>
      <c r="Q299" s="45"/>
      <c r="R299" s="51"/>
      <c r="S299" s="53"/>
      <c r="T299" s="45"/>
      <c r="U299" s="45"/>
      <c r="V299" s="45"/>
      <c r="W299" s="45"/>
      <c r="X299" s="45"/>
      <c r="Y299" s="45"/>
      <c r="Z299" s="51"/>
      <c r="AA299" s="53"/>
      <c r="AB299" s="45"/>
      <c r="AC299" s="45"/>
      <c r="AD299" s="45"/>
      <c r="AE299" s="45"/>
      <c r="AF299" s="45"/>
      <c r="AG299" s="45"/>
      <c r="AH299" s="51"/>
      <c r="AI299" s="53"/>
      <c r="AJ299" s="45"/>
      <c r="AK299" s="45"/>
      <c r="AL299" s="45"/>
      <c r="AM299" s="45"/>
      <c r="AN299" s="45"/>
      <c r="AO299" s="45"/>
      <c r="AP299" s="51"/>
    </row>
    <row r="300" spans="1:42" ht="21" customHeight="1" thickTop="1" thickBot="1" x14ac:dyDescent="0.35">
      <c r="A300" s="63"/>
      <c r="B300" s="66"/>
      <c r="C300" s="54" t="s">
        <v>16</v>
      </c>
      <c r="D300" s="49">
        <f>MIN(D289:D298)</f>
        <v>261.8</v>
      </c>
      <c r="E300" s="45"/>
      <c r="F300" s="55" t="s">
        <v>17</v>
      </c>
      <c r="G300" s="49" t="s">
        <v>18</v>
      </c>
      <c r="H300" s="49" t="s">
        <v>19</v>
      </c>
      <c r="I300" s="45"/>
      <c r="J300" s="51"/>
      <c r="K300" s="54" t="s">
        <v>16</v>
      </c>
      <c r="L300" s="49">
        <f>MIN(L289:L298)</f>
        <v>262.7</v>
      </c>
      <c r="M300" s="45"/>
      <c r="N300" s="55" t="s">
        <v>17</v>
      </c>
      <c r="O300" s="49" t="s">
        <v>18</v>
      </c>
      <c r="P300" s="49" t="s">
        <v>19</v>
      </c>
      <c r="Q300" s="45"/>
      <c r="R300" s="51"/>
      <c r="S300" s="54" t="s">
        <v>16</v>
      </c>
      <c r="T300" s="49">
        <f>MIN(T289:T298)</f>
        <v>264.62</v>
      </c>
      <c r="U300" s="45"/>
      <c r="V300" s="55" t="s">
        <v>17</v>
      </c>
      <c r="W300" s="49" t="s">
        <v>18</v>
      </c>
      <c r="X300" s="49" t="s">
        <v>19</v>
      </c>
      <c r="Y300" s="45"/>
      <c r="Z300" s="51"/>
      <c r="AA300" s="54" t="s">
        <v>16</v>
      </c>
      <c r="AB300" s="49">
        <f>MIN(AB289:AB298)</f>
        <v>263.33999999999997</v>
      </c>
      <c r="AC300" s="45"/>
      <c r="AD300" s="55" t="s">
        <v>17</v>
      </c>
      <c r="AE300" s="49" t="s">
        <v>18</v>
      </c>
      <c r="AF300" s="49" t="s">
        <v>19</v>
      </c>
      <c r="AG300" s="45"/>
      <c r="AH300" s="51"/>
      <c r="AI300" s="54" t="s">
        <v>16</v>
      </c>
      <c r="AJ300" s="49">
        <f>MIN(AJ289:AJ298)</f>
        <v>264.45999999999998</v>
      </c>
      <c r="AK300" s="45"/>
      <c r="AL300" s="55" t="s">
        <v>17</v>
      </c>
      <c r="AM300" s="49" t="s">
        <v>18</v>
      </c>
      <c r="AN300" s="49" t="s">
        <v>19</v>
      </c>
      <c r="AO300" s="45"/>
      <c r="AP300" s="51"/>
    </row>
    <row r="301" spans="1:42" ht="21" customHeight="1" thickTop="1" thickBot="1" x14ac:dyDescent="0.35">
      <c r="A301" s="63"/>
      <c r="B301" s="66"/>
      <c r="C301" s="54" t="s">
        <v>20</v>
      </c>
      <c r="D301" s="48">
        <f>AVERAGE(D289:D298)</f>
        <v>262.79300000000001</v>
      </c>
      <c r="E301" s="47"/>
      <c r="F301" s="48">
        <f>_xlfn.STDEV.S(D289:D298) / AVERAGE(D289:D298) * 100%</f>
        <v>2.9135183486889899E-3</v>
      </c>
      <c r="G301" s="48">
        <f t="array" ref="G301">MIN((D289:D298 - MIN(D289:D298,L289:L298,T289:T298,AB289:AB298,AJ289:AJ298))/MIN(D289:D298,L289:L298,T289:T298,AB289:AB298,AJ289:AJ298)*100%)</f>
        <v>0</v>
      </c>
      <c r="H301" s="48">
        <f t="array" ref="H301">AVERAGE((D289:D298 - MIN(D289:D298,L289:L298,T289:T298,AB289:AB298,AJ289:AJ298))/MIN(D289:D298,L289:L298,T289:T298,AB289:AB298,AJ289:AJ298)*100%)</f>
        <v>3.7929717341481637E-3</v>
      </c>
      <c r="I301" s="45"/>
      <c r="J301" s="51"/>
      <c r="K301" s="54" t="s">
        <v>20</v>
      </c>
      <c r="L301" s="48">
        <f>AVERAGE(L289:L298)</f>
        <v>264.11199999999997</v>
      </c>
      <c r="M301" s="47"/>
      <c r="N301" s="48">
        <f>_xlfn.STDEV.S(L289:L298) / AVERAGE(L289:L298) * 100%</f>
        <v>3.7883669819209075E-3</v>
      </c>
      <c r="O301" s="48">
        <f t="array" ref="O301">MIN((L289:L298 - MIN(D289:D298,L289:L298,T289:T298,AB289:AB298,AJ289:AJ298))/MIN(D289:D298,L289:L298,T289:T298,AB289:AB298,AJ289:AJ298)*100%)</f>
        <v>3.4377387318562918E-3</v>
      </c>
      <c r="P301" s="48">
        <f t="array" ref="P301">AVERAGE((L289:L298 - MIN(D289:D298,L289:L298,T289:T298,AB289:AB298,AJ289:AJ298))/MIN(D289:D298,L289:L298,T289:T298,AB289:AB298,AJ289:AJ298)*100%)</f>
        <v>8.8311688311688112E-3</v>
      </c>
      <c r="Q301" s="44"/>
      <c r="R301" s="51"/>
      <c r="S301" s="54" t="s">
        <v>20</v>
      </c>
      <c r="T301" s="48">
        <f>AVERAGE(T289:T298)</f>
        <v>266.24899999999997</v>
      </c>
      <c r="U301" s="47"/>
      <c r="V301" s="48">
        <f>_xlfn.STDEV.S(T289:T298) / AVERAGE(T289:T298) * 100%</f>
        <v>4.1372126681871674E-3</v>
      </c>
      <c r="W301" s="48">
        <f t="array" ref="W301">MIN((T289:T298 - MIN(D289:D298,L289:L298,T289:T298,AB289:AB298,AJ289:AJ298))/MIN(D289:D298,L289:L298,T289:T298,AB289:AB298,AJ289:AJ298)*100%)</f>
        <v>1.0771581359816627E-2</v>
      </c>
      <c r="X301" s="48">
        <f t="array" ref="X301">AVERAGE((T289:T298 - MIN(D289:D298,L289:L298,T289:T298,AB289:AB298,AJ289:AJ298))/MIN(D289:D298,L289:L298,T289:T298,AB289:AB298,AJ289:AJ298)*100%)</f>
        <v>1.6993888464476616E-2</v>
      </c>
      <c r="Y301" s="44"/>
      <c r="Z301" s="51"/>
      <c r="AA301" s="54" t="s">
        <v>20</v>
      </c>
      <c r="AB301" s="48">
        <f>AVERAGE(AB289:AB298)</f>
        <v>264.40199999999993</v>
      </c>
      <c r="AC301" s="47"/>
      <c r="AD301" s="48">
        <f>_xlfn.STDEV.S(AB289:AB298) / AVERAGE(AB289:AB298) * 100%</f>
        <v>3.5472617397928011E-3</v>
      </c>
      <c r="AE301" s="48">
        <f t="array" ref="AE301">MIN((AB289:AB298 - MIN(D289:D298,L289:L298,T289:T298,AB289:AB298,AJ289:AJ298))/MIN(D289:D298,L289:L298,T289:T298,AB289:AB298,AJ289:AJ298)*100%)</f>
        <v>5.8823529411763317E-3</v>
      </c>
      <c r="AF301" s="48">
        <f t="array" ref="AF301">AVERAGE((AB289:AB298 - MIN(D289:D298,L289:L298,T289:T298,AB289:AB298,AJ289:AJ298))/MIN(D289:D298,L289:L298,T289:T298,AB289:AB298,AJ289:AJ298)*100%)</f>
        <v>9.9388846447669467E-3</v>
      </c>
      <c r="AG301" s="44"/>
      <c r="AH301" s="51"/>
      <c r="AI301" s="54" t="s">
        <v>20</v>
      </c>
      <c r="AJ301" s="48">
        <f>AVERAGE(AJ289:AJ298)</f>
        <v>264.91600000000005</v>
      </c>
      <c r="AK301" s="47"/>
      <c r="AL301" s="48">
        <f>_xlfn.STDEV.S(AJ289:AJ298) / AVERAGE(AJ289:AJ298) * 100%</f>
        <v>1.5542649528657818E-3</v>
      </c>
      <c r="AM301" s="48">
        <f t="array" ref="AM301">MIN((AJ289:AJ298 - MIN(D289:D298,L289:L298,T289:T298,AB289:AB298,AJ289:AJ298))/MIN(D289:D298,L289:L298,T289:T298,AB289:AB298,AJ289:AJ298)*100%)</f>
        <v>1.016042780748651E-2</v>
      </c>
      <c r="AN301" s="48">
        <f t="array" ref="AN301">AVERAGE((AJ289:AJ298 - MIN(D289:D298,L289:L298,T289:T298,AB289:AB298,AJ289:AJ298))/MIN(D289:D298,L289:L298,T289:T298,AB289:AB298,AJ289:AJ298)*100%)</f>
        <v>1.1902215431627141E-2</v>
      </c>
      <c r="AO301" s="44"/>
      <c r="AP301" s="51"/>
    </row>
    <row r="302" spans="1:42" ht="21" customHeight="1" thickTop="1" thickBot="1" x14ac:dyDescent="0.35">
      <c r="A302" s="63"/>
      <c r="B302" s="67"/>
      <c r="C302" s="53"/>
      <c r="D302" s="44"/>
      <c r="E302" s="44"/>
      <c r="F302" s="44"/>
      <c r="G302" s="44"/>
      <c r="H302" s="44"/>
      <c r="I302" s="44"/>
      <c r="J302" s="51"/>
      <c r="K302" s="53"/>
      <c r="L302" s="44"/>
      <c r="M302" s="44"/>
      <c r="N302" s="44"/>
      <c r="O302" s="44"/>
      <c r="P302" s="44"/>
      <c r="Q302" s="44"/>
      <c r="R302" s="51"/>
      <c r="S302" s="53"/>
      <c r="T302" s="44"/>
      <c r="U302" s="44"/>
      <c r="V302" s="44"/>
      <c r="W302" s="44"/>
      <c r="X302" s="44"/>
      <c r="Y302" s="44"/>
      <c r="Z302" s="51"/>
      <c r="AA302" s="53"/>
      <c r="AB302" s="44"/>
      <c r="AC302" s="44"/>
      <c r="AD302" s="44"/>
      <c r="AE302" s="44"/>
      <c r="AF302" s="44"/>
      <c r="AG302" s="44"/>
      <c r="AH302" s="51"/>
      <c r="AI302" s="53"/>
      <c r="AJ302" s="44"/>
      <c r="AK302" s="44"/>
      <c r="AL302" s="44"/>
      <c r="AM302" s="44"/>
      <c r="AN302" s="44"/>
      <c r="AO302" s="44"/>
      <c r="AP302" s="51"/>
    </row>
    <row r="303" spans="1:42" ht="21" customHeight="1" thickTop="1" thickBot="1" x14ac:dyDescent="0.35">
      <c r="A303" s="63"/>
      <c r="B303" s="65" t="s">
        <v>86</v>
      </c>
      <c r="C303" s="59" t="s">
        <v>8</v>
      </c>
      <c r="D303" s="46" t="s">
        <v>9</v>
      </c>
      <c r="E303" s="46" t="s">
        <v>10</v>
      </c>
      <c r="F303" s="46" t="s">
        <v>11</v>
      </c>
      <c r="G303" s="46" t="s">
        <v>12</v>
      </c>
      <c r="H303" s="46" t="s">
        <v>13</v>
      </c>
      <c r="I303" s="46" t="s">
        <v>14</v>
      </c>
      <c r="J303" s="60" t="s">
        <v>15</v>
      </c>
      <c r="K303" s="59" t="s">
        <v>8</v>
      </c>
      <c r="L303" s="46" t="s">
        <v>9</v>
      </c>
      <c r="M303" s="46" t="s">
        <v>10</v>
      </c>
      <c r="N303" s="46" t="s">
        <v>11</v>
      </c>
      <c r="O303" s="46" t="s">
        <v>12</v>
      </c>
      <c r="P303" s="46" t="s">
        <v>13</v>
      </c>
      <c r="Q303" s="46" t="s">
        <v>14</v>
      </c>
      <c r="R303" s="60" t="s">
        <v>15</v>
      </c>
      <c r="S303" s="59" t="s">
        <v>8</v>
      </c>
      <c r="T303" s="46" t="s">
        <v>9</v>
      </c>
      <c r="U303" s="46" t="s">
        <v>10</v>
      </c>
      <c r="V303" s="46" t="s">
        <v>11</v>
      </c>
      <c r="W303" s="46" t="s">
        <v>12</v>
      </c>
      <c r="X303" s="46" t="s">
        <v>13</v>
      </c>
      <c r="Y303" s="46" t="s">
        <v>14</v>
      </c>
      <c r="Z303" s="60" t="s">
        <v>15</v>
      </c>
      <c r="AA303" s="59" t="s">
        <v>8</v>
      </c>
      <c r="AB303" s="46" t="s">
        <v>9</v>
      </c>
      <c r="AC303" s="46" t="s">
        <v>10</v>
      </c>
      <c r="AD303" s="46" t="s">
        <v>11</v>
      </c>
      <c r="AE303" s="46" t="s">
        <v>12</v>
      </c>
      <c r="AF303" s="46" t="s">
        <v>13</v>
      </c>
      <c r="AG303" s="46" t="s">
        <v>14</v>
      </c>
      <c r="AH303" s="60" t="s">
        <v>15</v>
      </c>
      <c r="AI303" s="59" t="s">
        <v>8</v>
      </c>
      <c r="AJ303" s="46" t="s">
        <v>9</v>
      </c>
      <c r="AK303" s="46" t="s">
        <v>10</v>
      </c>
      <c r="AL303" s="46" t="s">
        <v>11</v>
      </c>
      <c r="AM303" s="46" t="s">
        <v>12</v>
      </c>
      <c r="AN303" s="46" t="s">
        <v>13</v>
      </c>
      <c r="AO303" s="46" t="s">
        <v>14</v>
      </c>
      <c r="AP303" s="60" t="s">
        <v>15</v>
      </c>
    </row>
    <row r="304" spans="1:42" ht="21" customHeight="1" thickTop="1" thickBot="1" x14ac:dyDescent="0.35">
      <c r="A304" s="63"/>
      <c r="B304" s="66"/>
      <c r="C304" s="52">
        <v>1</v>
      </c>
      <c r="D304" s="44">
        <v>281.42</v>
      </c>
      <c r="E304" s="44"/>
      <c r="F304" s="44"/>
      <c r="G304" s="44"/>
      <c r="H304" s="44"/>
      <c r="I304" s="44"/>
      <c r="J304" s="51"/>
      <c r="K304" s="52">
        <v>1</v>
      </c>
      <c r="L304" s="44">
        <v>280.47000000000003</v>
      </c>
      <c r="M304" s="44"/>
      <c r="N304" s="44"/>
      <c r="O304" s="44"/>
      <c r="P304" s="44"/>
      <c r="Q304" s="44"/>
      <c r="R304" s="51"/>
      <c r="S304" s="52">
        <v>1</v>
      </c>
      <c r="T304" s="44">
        <v>281.70999999999998</v>
      </c>
      <c r="U304" s="44"/>
      <c r="V304" s="44"/>
      <c r="W304" s="44"/>
      <c r="X304" s="44"/>
      <c r="Y304" s="44"/>
      <c r="Z304" s="51"/>
      <c r="AA304" s="52">
        <v>1</v>
      </c>
      <c r="AB304" s="44">
        <v>281.64</v>
      </c>
      <c r="AC304" s="44"/>
      <c r="AD304" s="44"/>
      <c r="AE304" s="44"/>
      <c r="AF304" s="44"/>
      <c r="AG304" s="44"/>
      <c r="AH304" s="51"/>
      <c r="AI304" s="52">
        <v>1</v>
      </c>
      <c r="AJ304" s="44">
        <v>282.39</v>
      </c>
      <c r="AK304" s="44"/>
      <c r="AL304" s="44"/>
      <c r="AM304" s="44"/>
      <c r="AN304" s="44"/>
      <c r="AO304" s="44"/>
      <c r="AP304" s="51"/>
    </row>
    <row r="305" spans="1:42" ht="21" customHeight="1" thickTop="1" thickBot="1" x14ac:dyDescent="0.35">
      <c r="A305" s="63"/>
      <c r="B305" s="66"/>
      <c r="C305" s="53">
        <v>2</v>
      </c>
      <c r="D305" s="45">
        <v>281.5</v>
      </c>
      <c r="E305" s="45"/>
      <c r="F305" s="45"/>
      <c r="G305" s="45"/>
      <c r="H305" s="45"/>
      <c r="I305" s="45"/>
      <c r="J305" s="51"/>
      <c r="K305" s="53">
        <v>2</v>
      </c>
      <c r="L305" s="45">
        <v>281.98</v>
      </c>
      <c r="M305" s="45"/>
      <c r="N305" s="45"/>
      <c r="O305" s="45"/>
      <c r="P305" s="45"/>
      <c r="Q305" s="45"/>
      <c r="R305" s="51"/>
      <c r="S305" s="53">
        <v>2</v>
      </c>
      <c r="T305" s="45">
        <v>286.10000000000002</v>
      </c>
      <c r="U305" s="45"/>
      <c r="V305" s="45"/>
      <c r="W305" s="45"/>
      <c r="X305" s="45"/>
      <c r="Y305" s="45"/>
      <c r="Z305" s="51"/>
      <c r="AA305" s="53">
        <v>2</v>
      </c>
      <c r="AB305" s="45">
        <v>281.67</v>
      </c>
      <c r="AC305" s="45"/>
      <c r="AD305" s="45"/>
      <c r="AE305" s="45"/>
      <c r="AF305" s="45"/>
      <c r="AG305" s="45"/>
      <c r="AH305" s="51"/>
      <c r="AI305" s="53">
        <v>2</v>
      </c>
      <c r="AJ305" s="45">
        <v>283.64999999999998</v>
      </c>
      <c r="AK305" s="45"/>
      <c r="AL305" s="45"/>
      <c r="AM305" s="45"/>
      <c r="AN305" s="45"/>
      <c r="AO305" s="45"/>
      <c r="AP305" s="51"/>
    </row>
    <row r="306" spans="1:42" ht="21" customHeight="1" thickTop="1" thickBot="1" x14ac:dyDescent="0.35">
      <c r="A306" s="63"/>
      <c r="B306" s="66"/>
      <c r="C306" s="53">
        <v>3</v>
      </c>
      <c r="D306" s="45">
        <v>280.74</v>
      </c>
      <c r="E306" s="45"/>
      <c r="F306" s="45"/>
      <c r="G306" s="44"/>
      <c r="H306" s="44"/>
      <c r="I306" s="44"/>
      <c r="J306" s="51"/>
      <c r="K306" s="53">
        <v>3</v>
      </c>
      <c r="L306" s="45">
        <v>281.57</v>
      </c>
      <c r="M306" s="45"/>
      <c r="N306" s="45"/>
      <c r="O306" s="44"/>
      <c r="P306" s="44"/>
      <c r="Q306" s="44"/>
      <c r="R306" s="51"/>
      <c r="S306" s="53">
        <v>3</v>
      </c>
      <c r="T306" s="45">
        <v>282.69999999999987</v>
      </c>
      <c r="U306" s="45"/>
      <c r="V306" s="45"/>
      <c r="W306" s="44"/>
      <c r="X306" s="44"/>
      <c r="Y306" s="44"/>
      <c r="Z306" s="51"/>
      <c r="AA306" s="53">
        <v>3</v>
      </c>
      <c r="AB306" s="45">
        <v>281.20999999999992</v>
      </c>
      <c r="AC306" s="45"/>
      <c r="AD306" s="45"/>
      <c r="AE306" s="44"/>
      <c r="AF306" s="44"/>
      <c r="AG306" s="44"/>
      <c r="AH306" s="51"/>
      <c r="AI306" s="53">
        <v>3</v>
      </c>
      <c r="AJ306" s="45">
        <v>283.14999999999998</v>
      </c>
      <c r="AK306" s="45"/>
      <c r="AL306" s="45"/>
      <c r="AM306" s="44"/>
      <c r="AN306" s="44"/>
      <c r="AO306" s="44"/>
      <c r="AP306" s="51"/>
    </row>
    <row r="307" spans="1:42" ht="21" customHeight="1" thickTop="1" thickBot="1" x14ac:dyDescent="0.35">
      <c r="A307" s="63"/>
      <c r="B307" s="66"/>
      <c r="C307" s="53">
        <v>4</v>
      </c>
      <c r="D307" s="45">
        <v>280.30999999999989</v>
      </c>
      <c r="E307" s="45"/>
      <c r="F307" s="45"/>
      <c r="G307" s="45"/>
      <c r="H307" s="45"/>
      <c r="I307" s="45"/>
      <c r="J307" s="51"/>
      <c r="K307" s="53">
        <v>4</v>
      </c>
      <c r="L307" s="45">
        <v>281.70999999999998</v>
      </c>
      <c r="M307" s="45"/>
      <c r="N307" s="45"/>
      <c r="O307" s="45"/>
      <c r="P307" s="45"/>
      <c r="Q307" s="45"/>
      <c r="R307" s="51"/>
      <c r="S307" s="53">
        <v>4</v>
      </c>
      <c r="T307" s="45">
        <v>284.55999999999989</v>
      </c>
      <c r="U307" s="45"/>
      <c r="V307" s="45"/>
      <c r="W307" s="45"/>
      <c r="X307" s="45"/>
      <c r="Y307" s="45"/>
      <c r="Z307" s="51"/>
      <c r="AA307" s="53">
        <v>4</v>
      </c>
      <c r="AB307" s="45">
        <v>283.42999999999989</v>
      </c>
      <c r="AC307" s="45"/>
      <c r="AD307" s="45"/>
      <c r="AE307" s="45"/>
      <c r="AF307" s="45"/>
      <c r="AG307" s="45"/>
      <c r="AH307" s="51"/>
      <c r="AI307" s="53">
        <v>4</v>
      </c>
      <c r="AJ307" s="45">
        <v>282.77</v>
      </c>
      <c r="AK307" s="45"/>
      <c r="AL307" s="45"/>
      <c r="AM307" s="45"/>
      <c r="AN307" s="45"/>
      <c r="AO307" s="45"/>
      <c r="AP307" s="51"/>
    </row>
    <row r="308" spans="1:42" ht="21" customHeight="1" thickTop="1" thickBot="1" x14ac:dyDescent="0.35">
      <c r="A308" s="63"/>
      <c r="B308" s="66"/>
      <c r="C308" s="53">
        <v>5</v>
      </c>
      <c r="D308" s="45">
        <v>281.7</v>
      </c>
      <c r="E308" s="45"/>
      <c r="F308" s="45"/>
      <c r="G308" s="45"/>
      <c r="H308" s="45"/>
      <c r="I308" s="45"/>
      <c r="J308" s="51"/>
      <c r="K308" s="53">
        <v>5</v>
      </c>
      <c r="L308" s="45">
        <v>281.29000000000002</v>
      </c>
      <c r="M308" s="45"/>
      <c r="N308" s="45"/>
      <c r="O308" s="45"/>
      <c r="P308" s="45"/>
      <c r="Q308" s="45"/>
      <c r="R308" s="51"/>
      <c r="S308" s="53">
        <v>5</v>
      </c>
      <c r="T308" s="45">
        <v>283.42</v>
      </c>
      <c r="U308" s="45"/>
      <c r="V308" s="45"/>
      <c r="W308" s="45"/>
      <c r="X308" s="45"/>
      <c r="Y308" s="45"/>
      <c r="Z308" s="51"/>
      <c r="AA308" s="53">
        <v>5</v>
      </c>
      <c r="AB308" s="45">
        <v>282.05</v>
      </c>
      <c r="AC308" s="45"/>
      <c r="AD308" s="45"/>
      <c r="AE308" s="45"/>
      <c r="AF308" s="45"/>
      <c r="AG308" s="45"/>
      <c r="AH308" s="51"/>
      <c r="AI308" s="53">
        <v>5</v>
      </c>
      <c r="AJ308" s="45">
        <v>282.76999999999992</v>
      </c>
      <c r="AK308" s="45"/>
      <c r="AL308" s="45"/>
      <c r="AM308" s="45"/>
      <c r="AN308" s="45"/>
      <c r="AO308" s="45"/>
      <c r="AP308" s="51"/>
    </row>
    <row r="309" spans="1:42" ht="21" customHeight="1" thickTop="1" thickBot="1" x14ac:dyDescent="0.35">
      <c r="A309" s="63"/>
      <c r="B309" s="66"/>
      <c r="C309" s="53">
        <v>6</v>
      </c>
      <c r="D309" s="45">
        <v>280.79000000000002</v>
      </c>
      <c r="E309" s="45"/>
      <c r="F309" s="45"/>
      <c r="G309" s="45"/>
      <c r="H309" s="45"/>
      <c r="I309" s="45"/>
      <c r="J309" s="51"/>
      <c r="K309" s="53">
        <v>6</v>
      </c>
      <c r="L309" s="45">
        <v>281.35000000000002</v>
      </c>
      <c r="M309" s="45"/>
      <c r="N309" s="45"/>
      <c r="O309" s="45"/>
      <c r="P309" s="45"/>
      <c r="Q309" s="45"/>
      <c r="R309" s="51"/>
      <c r="S309" s="53">
        <v>6</v>
      </c>
      <c r="T309" s="45">
        <v>282.3</v>
      </c>
      <c r="U309" s="45"/>
      <c r="V309" s="45"/>
      <c r="W309" s="45"/>
      <c r="X309" s="45"/>
      <c r="Y309" s="45"/>
      <c r="Z309" s="51"/>
      <c r="AA309" s="53">
        <v>6</v>
      </c>
      <c r="AB309" s="45">
        <v>281.52999999999997</v>
      </c>
      <c r="AC309" s="45"/>
      <c r="AD309" s="45"/>
      <c r="AE309" s="45"/>
      <c r="AF309" s="45"/>
      <c r="AG309" s="45"/>
      <c r="AH309" s="51"/>
      <c r="AI309" s="53">
        <v>6</v>
      </c>
      <c r="AJ309" s="45">
        <v>283.76</v>
      </c>
      <c r="AK309" s="45"/>
      <c r="AL309" s="45"/>
      <c r="AM309" s="45"/>
      <c r="AN309" s="45"/>
      <c r="AO309" s="45"/>
      <c r="AP309" s="51"/>
    </row>
    <row r="310" spans="1:42" ht="21" customHeight="1" thickTop="1" thickBot="1" x14ac:dyDescent="0.35">
      <c r="A310" s="63"/>
      <c r="B310" s="66"/>
      <c r="C310" s="53">
        <v>7</v>
      </c>
      <c r="D310" s="45">
        <v>280.41000000000003</v>
      </c>
      <c r="E310" s="45"/>
      <c r="F310" s="45"/>
      <c r="G310" s="45"/>
      <c r="H310" s="45"/>
      <c r="I310" s="45"/>
      <c r="J310" s="51"/>
      <c r="K310" s="53">
        <v>7</v>
      </c>
      <c r="L310" s="45">
        <v>281.64</v>
      </c>
      <c r="M310" s="45"/>
      <c r="N310" s="45"/>
      <c r="O310" s="45"/>
      <c r="P310" s="45"/>
      <c r="Q310" s="45"/>
      <c r="R310" s="51"/>
      <c r="S310" s="53">
        <v>7</v>
      </c>
      <c r="T310" s="45">
        <v>281.61</v>
      </c>
      <c r="U310" s="45"/>
      <c r="V310" s="45"/>
      <c r="W310" s="45"/>
      <c r="X310" s="45"/>
      <c r="Y310" s="45"/>
      <c r="Z310" s="51"/>
      <c r="AA310" s="53">
        <v>7</v>
      </c>
      <c r="AB310" s="45">
        <v>281.26</v>
      </c>
      <c r="AC310" s="45"/>
      <c r="AD310" s="45"/>
      <c r="AE310" s="45"/>
      <c r="AF310" s="45"/>
      <c r="AG310" s="45"/>
      <c r="AH310" s="51"/>
      <c r="AI310" s="53">
        <v>7</v>
      </c>
      <c r="AJ310" s="45">
        <v>282.74</v>
      </c>
      <c r="AK310" s="45"/>
      <c r="AL310" s="45"/>
      <c r="AM310" s="45"/>
      <c r="AN310" s="45"/>
      <c r="AO310" s="45"/>
      <c r="AP310" s="51"/>
    </row>
    <row r="311" spans="1:42" ht="21" customHeight="1" thickTop="1" thickBot="1" x14ac:dyDescent="0.35">
      <c r="A311" s="63"/>
      <c r="B311" s="66"/>
      <c r="C311" s="53">
        <v>8</v>
      </c>
      <c r="D311" s="45">
        <v>281.26</v>
      </c>
      <c r="E311" s="45"/>
      <c r="F311" s="45"/>
      <c r="G311" s="45"/>
      <c r="H311" s="45"/>
      <c r="I311" s="45"/>
      <c r="J311" s="51"/>
      <c r="K311" s="53">
        <v>8</v>
      </c>
      <c r="L311" s="45">
        <v>280.48</v>
      </c>
      <c r="M311" s="45"/>
      <c r="N311" s="45"/>
      <c r="O311" s="45"/>
      <c r="P311" s="45"/>
      <c r="Q311" s="45"/>
      <c r="R311" s="51"/>
      <c r="S311" s="53">
        <v>8</v>
      </c>
      <c r="T311" s="45">
        <v>282.89</v>
      </c>
      <c r="U311" s="45"/>
      <c r="V311" s="45"/>
      <c r="W311" s="45"/>
      <c r="X311" s="45"/>
      <c r="Y311" s="45"/>
      <c r="Z311" s="51"/>
      <c r="AA311" s="53">
        <v>8</v>
      </c>
      <c r="AB311" s="45">
        <v>284.49</v>
      </c>
      <c r="AC311" s="45"/>
      <c r="AD311" s="45"/>
      <c r="AE311" s="45"/>
      <c r="AF311" s="45"/>
      <c r="AG311" s="45"/>
      <c r="AH311" s="51"/>
      <c r="AI311" s="53">
        <v>8</v>
      </c>
      <c r="AJ311" s="45">
        <v>283.32</v>
      </c>
      <c r="AK311" s="45"/>
      <c r="AL311" s="45"/>
      <c r="AM311" s="45"/>
      <c r="AN311" s="45"/>
      <c r="AO311" s="45"/>
      <c r="AP311" s="51"/>
    </row>
    <row r="312" spans="1:42" ht="21" customHeight="1" thickTop="1" thickBot="1" x14ac:dyDescent="0.35">
      <c r="A312" s="63"/>
      <c r="B312" s="66"/>
      <c r="C312" s="53">
        <v>9</v>
      </c>
      <c r="D312" s="45">
        <v>281.57</v>
      </c>
      <c r="E312" s="45"/>
      <c r="F312" s="45"/>
      <c r="G312" s="45"/>
      <c r="H312" s="45"/>
      <c r="I312" s="45"/>
      <c r="J312" s="51"/>
      <c r="K312" s="53">
        <v>9</v>
      </c>
      <c r="L312" s="45">
        <v>281.51</v>
      </c>
      <c r="M312" s="45"/>
      <c r="N312" s="45"/>
      <c r="O312" s="45"/>
      <c r="P312" s="45"/>
      <c r="Q312" s="45"/>
      <c r="R312" s="51"/>
      <c r="S312" s="53">
        <v>9</v>
      </c>
      <c r="T312" s="45">
        <v>283.18</v>
      </c>
      <c r="U312" s="45"/>
      <c r="V312" s="45"/>
      <c r="W312" s="45"/>
      <c r="X312" s="45"/>
      <c r="Y312" s="45"/>
      <c r="Z312" s="51"/>
      <c r="AA312" s="53">
        <v>9</v>
      </c>
      <c r="AB312" s="45">
        <v>281.45</v>
      </c>
      <c r="AC312" s="45"/>
      <c r="AD312" s="45"/>
      <c r="AE312" s="45"/>
      <c r="AF312" s="45"/>
      <c r="AG312" s="45"/>
      <c r="AH312" s="51"/>
      <c r="AI312" s="53">
        <v>9</v>
      </c>
      <c r="AJ312" s="45">
        <v>282.73</v>
      </c>
      <c r="AK312" s="45"/>
      <c r="AL312" s="45"/>
      <c r="AM312" s="45"/>
      <c r="AN312" s="45"/>
      <c r="AO312" s="45"/>
      <c r="AP312" s="51"/>
    </row>
    <row r="313" spans="1:42" ht="21" customHeight="1" thickTop="1" thickBot="1" x14ac:dyDescent="0.35">
      <c r="A313" s="63"/>
      <c r="B313" s="66"/>
      <c r="C313" s="53">
        <v>10</v>
      </c>
      <c r="D313" s="45">
        <v>281.57</v>
      </c>
      <c r="E313" s="45"/>
      <c r="F313" s="45"/>
      <c r="G313" s="45"/>
      <c r="H313" s="45"/>
      <c r="I313" s="45"/>
      <c r="J313" s="51"/>
      <c r="K313" s="53">
        <v>10</v>
      </c>
      <c r="L313" s="45">
        <v>281.73</v>
      </c>
      <c r="M313" s="45"/>
      <c r="N313" s="45"/>
      <c r="O313" s="45"/>
      <c r="P313" s="45"/>
      <c r="Q313" s="45"/>
      <c r="R313" s="51"/>
      <c r="S313" s="53">
        <v>10</v>
      </c>
      <c r="T313" s="45">
        <v>282.44</v>
      </c>
      <c r="U313" s="45"/>
      <c r="V313" s="45"/>
      <c r="W313" s="45"/>
      <c r="X313" s="45"/>
      <c r="Y313" s="45"/>
      <c r="Z313" s="51"/>
      <c r="AA313" s="53">
        <v>10</v>
      </c>
      <c r="AB313" s="45">
        <v>280.49</v>
      </c>
      <c r="AC313" s="45"/>
      <c r="AD313" s="45"/>
      <c r="AE313" s="45"/>
      <c r="AF313" s="45"/>
      <c r="AG313" s="45"/>
      <c r="AH313" s="51"/>
      <c r="AI313" s="53">
        <v>10</v>
      </c>
      <c r="AJ313" s="45">
        <v>282.43999999999988</v>
      </c>
      <c r="AK313" s="45"/>
      <c r="AL313" s="45"/>
      <c r="AM313" s="45"/>
      <c r="AN313" s="45"/>
      <c r="AO313" s="45"/>
      <c r="AP313" s="51"/>
    </row>
    <row r="314" spans="1:42" ht="21" customHeight="1" thickTop="1" thickBot="1" x14ac:dyDescent="0.35">
      <c r="A314" s="63"/>
      <c r="B314" s="66"/>
      <c r="C314" s="53"/>
      <c r="D314" s="45"/>
      <c r="E314" s="45"/>
      <c r="F314" s="45"/>
      <c r="G314" s="45"/>
      <c r="H314" s="45"/>
      <c r="I314" s="45"/>
      <c r="J314" s="51"/>
      <c r="K314" s="53"/>
      <c r="L314" s="45"/>
      <c r="M314" s="45"/>
      <c r="N314" s="45"/>
      <c r="O314" s="45"/>
      <c r="P314" s="45"/>
      <c r="Q314" s="45"/>
      <c r="R314" s="51"/>
      <c r="S314" s="53"/>
      <c r="T314" s="45"/>
      <c r="U314" s="45"/>
      <c r="V314" s="45"/>
      <c r="W314" s="45"/>
      <c r="X314" s="45"/>
      <c r="Y314" s="45"/>
      <c r="Z314" s="51"/>
      <c r="AA314" s="53"/>
      <c r="AB314" s="45"/>
      <c r="AC314" s="45"/>
      <c r="AD314" s="45"/>
      <c r="AE314" s="45"/>
      <c r="AF314" s="45"/>
      <c r="AG314" s="45"/>
      <c r="AH314" s="51"/>
      <c r="AI314" s="53"/>
      <c r="AJ314" s="45"/>
      <c r="AK314" s="45"/>
      <c r="AL314" s="45"/>
      <c r="AM314" s="45"/>
      <c r="AN314" s="45"/>
      <c r="AO314" s="45"/>
      <c r="AP314" s="51"/>
    </row>
    <row r="315" spans="1:42" ht="21" customHeight="1" thickTop="1" thickBot="1" x14ac:dyDescent="0.35">
      <c r="A315" s="63"/>
      <c r="B315" s="66"/>
      <c r="C315" s="54" t="s">
        <v>16</v>
      </c>
      <c r="D315" s="49">
        <f>MIN(D304:D313)</f>
        <v>280.30999999999989</v>
      </c>
      <c r="E315" s="45"/>
      <c r="F315" s="55" t="s">
        <v>17</v>
      </c>
      <c r="G315" s="49" t="s">
        <v>18</v>
      </c>
      <c r="H315" s="49" t="s">
        <v>19</v>
      </c>
      <c r="I315" s="45"/>
      <c r="J315" s="51"/>
      <c r="K315" s="54" t="s">
        <v>16</v>
      </c>
      <c r="L315" s="49">
        <f>MIN(L304:L313)</f>
        <v>280.47000000000003</v>
      </c>
      <c r="M315" s="45"/>
      <c r="N315" s="55" t="s">
        <v>17</v>
      </c>
      <c r="O315" s="49" t="s">
        <v>18</v>
      </c>
      <c r="P315" s="49" t="s">
        <v>19</v>
      </c>
      <c r="Q315" s="45"/>
      <c r="R315" s="51"/>
      <c r="S315" s="54" t="s">
        <v>16</v>
      </c>
      <c r="T315" s="49">
        <f>MIN(T304:T313)</f>
        <v>281.61</v>
      </c>
      <c r="U315" s="45"/>
      <c r="V315" s="55" t="s">
        <v>17</v>
      </c>
      <c r="W315" s="49" t="s">
        <v>18</v>
      </c>
      <c r="X315" s="49" t="s">
        <v>19</v>
      </c>
      <c r="Y315" s="45"/>
      <c r="Z315" s="51"/>
      <c r="AA315" s="54" t="s">
        <v>16</v>
      </c>
      <c r="AB315" s="49">
        <f>MIN(AB304:AB313)</f>
        <v>280.49</v>
      </c>
      <c r="AC315" s="45"/>
      <c r="AD315" s="55" t="s">
        <v>17</v>
      </c>
      <c r="AE315" s="49" t="s">
        <v>18</v>
      </c>
      <c r="AF315" s="49" t="s">
        <v>19</v>
      </c>
      <c r="AG315" s="45"/>
      <c r="AH315" s="51"/>
      <c r="AI315" s="54" t="s">
        <v>16</v>
      </c>
      <c r="AJ315" s="49">
        <f>MIN(AJ304:AJ313)</f>
        <v>282.39</v>
      </c>
      <c r="AK315" s="45"/>
      <c r="AL315" s="55" t="s">
        <v>17</v>
      </c>
      <c r="AM315" s="49" t="s">
        <v>18</v>
      </c>
      <c r="AN315" s="49" t="s">
        <v>19</v>
      </c>
      <c r="AO315" s="45"/>
      <c r="AP315" s="51"/>
    </row>
    <row r="316" spans="1:42" ht="21" customHeight="1" thickTop="1" thickBot="1" x14ac:dyDescent="0.35">
      <c r="A316" s="63"/>
      <c r="B316" s="66"/>
      <c r="C316" s="54" t="s">
        <v>20</v>
      </c>
      <c r="D316" s="48">
        <f>AVERAGE(D304:D313)</f>
        <v>281.12700000000007</v>
      </c>
      <c r="E316" s="47"/>
      <c r="F316" s="48">
        <f>_xlfn.STDEV.S(D304:D313) / AVERAGE(D304:D313) * 100%</f>
        <v>1.8400998844114364E-3</v>
      </c>
      <c r="G316" s="48">
        <f t="array" ref="G316">MIN((D304:D313 - MIN(D304:D313,L304:L313,T304:T313,AB304:AB313,AJ304:AJ313))/MIN(D304:D313,L304:L313,T304:T313,AB304:AB313,AJ304:AJ313)*100%)</f>
        <v>0</v>
      </c>
      <c r="H316" s="48">
        <f t="array" ref="H316">AVERAGE((D304:D313 - MIN(D304:D313,L304:L313,T304:T313,AB304:AB313,AJ304:AJ313))/MIN(D304:D313,L304:L313,T304:T313,AB304:AB313,AJ304:AJ313)*100%)</f>
        <v>2.9146302308162538E-3</v>
      </c>
      <c r="I316" s="45"/>
      <c r="J316" s="51"/>
      <c r="K316" s="54" t="s">
        <v>20</v>
      </c>
      <c r="L316" s="48">
        <f>AVERAGE(L304:L313)</f>
        <v>281.37299999999999</v>
      </c>
      <c r="M316" s="47"/>
      <c r="N316" s="48">
        <f>_xlfn.STDEV.S(L304:L313) / AVERAGE(L304:L313) * 100%</f>
        <v>1.8193840874017502E-3</v>
      </c>
      <c r="O316" s="48">
        <f t="array" ref="O316">MIN((L304:L313 - MIN(D304:D313,L304:L313,T304:T313,AB304:AB313,AJ304:AJ313))/MIN(D304:D313,L304:L313,T304:T313,AB304:AB313,AJ304:AJ313)*100%)</f>
        <v>5.7079661803053315E-4</v>
      </c>
      <c r="P316" s="48">
        <f t="array" ref="P316">AVERAGE((L304:L313 - MIN(D304:D313,L304:L313,T304:T313,AB304:AB313,AJ304:AJ313))/MIN(D304:D313,L304:L313,T304:T313,AB304:AB313,AJ304:AJ313)*100%)</f>
        <v>3.7922300310374918E-3</v>
      </c>
      <c r="Q316" s="44"/>
      <c r="R316" s="51"/>
      <c r="S316" s="54" t="s">
        <v>20</v>
      </c>
      <c r="T316" s="48">
        <f>AVERAGE(T304:T313)</f>
        <v>283.09099999999995</v>
      </c>
      <c r="U316" s="47"/>
      <c r="V316" s="48">
        <f>_xlfn.STDEV.S(T304:T313) / AVERAGE(T304:T313) * 100%</f>
        <v>4.8077280181772044E-3</v>
      </c>
      <c r="W316" s="48">
        <f t="array" ref="W316">MIN((T304:T313 - MIN(D304:D313,L304:L313,T304:T313,AB304:AB313,AJ304:AJ313))/MIN(D304:D313,L304:L313,T304:T313,AB304:AB313,AJ304:AJ313)*100%)</f>
        <v>4.6377225214945085E-3</v>
      </c>
      <c r="X316" s="48">
        <f t="array" ref="X316">AVERAGE((T304:T313 - MIN(D304:D313,L304:L313,T304:T313,AB304:AB313,AJ304:AJ313))/MIN(D304:D313,L304:L313,T304:T313,AB304:AB313,AJ304:AJ313)*100%)</f>
        <v>9.9211587171349307E-3</v>
      </c>
      <c r="Y316" s="44"/>
      <c r="Z316" s="51"/>
      <c r="AA316" s="54" t="s">
        <v>20</v>
      </c>
      <c r="AB316" s="48">
        <f>AVERAGE(AB304:AB313)</f>
        <v>281.92199999999991</v>
      </c>
      <c r="AC316" s="47"/>
      <c r="AD316" s="48">
        <f>_xlfn.STDEV.S(AB304:AB313) / AVERAGE(AB304:AB313) * 100%</f>
        <v>4.16358010197367E-3</v>
      </c>
      <c r="AE316" s="48">
        <f t="array" ref="AE316">MIN((AB304:AB313 - MIN(D304:D313,L304:L313,T304:T313,AB304:AB313,AJ304:AJ313))/MIN(D304:D313,L304:L313,T304:T313,AB304:AB313,AJ304:AJ313)*100%)</f>
        <v>6.4214619528422316E-4</v>
      </c>
      <c r="AF316" s="48">
        <f t="array" ref="AF316">AVERAGE((AB304:AB313 - MIN(D304:D313,L304:L313,T304:T313,AB304:AB313,AJ304:AJ313))/MIN(D304:D313,L304:L313,T304:T313,AB304:AB313,AJ304:AJ313)*100%)</f>
        <v>5.7507759266529623E-3</v>
      </c>
      <c r="AG316" s="44"/>
      <c r="AH316" s="51"/>
      <c r="AI316" s="54" t="s">
        <v>20</v>
      </c>
      <c r="AJ316" s="48">
        <f>AVERAGE(AJ304:AJ313)</f>
        <v>282.97200000000004</v>
      </c>
      <c r="AK316" s="47"/>
      <c r="AL316" s="48">
        <f>_xlfn.STDEV.S(AJ304:AJ313) / AVERAGE(AJ304:AJ313) * 100%</f>
        <v>1.6862548656731092E-3</v>
      </c>
      <c r="AM316" s="48">
        <f t="array" ref="AM316">MIN((AJ304:AJ313 - MIN(D304:D313,L304:L313,T304:T313,AB304:AB313,AJ304:AJ313))/MIN(D304:D313,L304:L313,T304:T313,AB304:AB313,AJ304:AJ313)*100%)</f>
        <v>7.4203560343908482E-3</v>
      </c>
      <c r="AN316" s="48">
        <f t="array" ref="AN316">AVERAGE((AJ304:AJ313 - MIN(D304:D313,L304:L313,T304:T313,AB304:AB313,AJ304:AJ313))/MIN(D304:D313,L304:L313,T304:T313,AB304:AB313,AJ304:AJ313)*100%)</f>
        <v>9.4966287324750685E-3</v>
      </c>
      <c r="AO316" s="44"/>
      <c r="AP316" s="51"/>
    </row>
    <row r="317" spans="1:42" ht="21" customHeight="1" thickTop="1" thickBot="1" x14ac:dyDescent="0.35">
      <c r="A317" s="63"/>
      <c r="B317" s="67"/>
      <c r="C317" s="53"/>
      <c r="D317" s="44"/>
      <c r="E317" s="44"/>
      <c r="F317" s="44"/>
      <c r="G317" s="44"/>
      <c r="H317" s="44"/>
      <c r="I317" s="44"/>
      <c r="J317" s="51"/>
      <c r="K317" s="53"/>
      <c r="L317" s="44"/>
      <c r="M317" s="44"/>
      <c r="N317" s="44"/>
      <c r="O317" s="44"/>
      <c r="P317" s="44"/>
      <c r="Q317" s="44"/>
      <c r="R317" s="51"/>
      <c r="S317" s="53"/>
      <c r="T317" s="44"/>
      <c r="U317" s="44"/>
      <c r="V317" s="44"/>
      <c r="W317" s="44"/>
      <c r="X317" s="44"/>
      <c r="Y317" s="44"/>
      <c r="Z317" s="51"/>
      <c r="AA317" s="53"/>
      <c r="AB317" s="44"/>
      <c r="AC317" s="44"/>
      <c r="AD317" s="44"/>
      <c r="AE317" s="44"/>
      <c r="AF317" s="44"/>
      <c r="AG317" s="44"/>
      <c r="AH317" s="51"/>
      <c r="AI317" s="53"/>
      <c r="AJ317" s="44"/>
      <c r="AK317" s="44"/>
      <c r="AL317" s="44"/>
      <c r="AM317" s="44"/>
      <c r="AN317" s="44"/>
      <c r="AO317" s="44"/>
      <c r="AP317" s="51"/>
    </row>
    <row r="318" spans="1:42" ht="21" customHeight="1" thickTop="1" thickBot="1" x14ac:dyDescent="0.35">
      <c r="A318" s="63"/>
      <c r="B318" s="65" t="s">
        <v>87</v>
      </c>
      <c r="C318" s="59" t="s">
        <v>8</v>
      </c>
      <c r="D318" s="46" t="s">
        <v>9</v>
      </c>
      <c r="E318" s="46" t="s">
        <v>10</v>
      </c>
      <c r="F318" s="46" t="s">
        <v>11</v>
      </c>
      <c r="G318" s="46" t="s">
        <v>12</v>
      </c>
      <c r="H318" s="46" t="s">
        <v>13</v>
      </c>
      <c r="I318" s="46" t="s">
        <v>14</v>
      </c>
      <c r="J318" s="60" t="s">
        <v>15</v>
      </c>
      <c r="K318" s="59" t="s">
        <v>8</v>
      </c>
      <c r="L318" s="46" t="s">
        <v>9</v>
      </c>
      <c r="M318" s="46" t="s">
        <v>10</v>
      </c>
      <c r="N318" s="46" t="s">
        <v>11</v>
      </c>
      <c r="O318" s="46" t="s">
        <v>12</v>
      </c>
      <c r="P318" s="46" t="s">
        <v>13</v>
      </c>
      <c r="Q318" s="46" t="s">
        <v>14</v>
      </c>
      <c r="R318" s="60" t="s">
        <v>15</v>
      </c>
      <c r="S318" s="59" t="s">
        <v>8</v>
      </c>
      <c r="T318" s="46" t="s">
        <v>9</v>
      </c>
      <c r="U318" s="46" t="s">
        <v>10</v>
      </c>
      <c r="V318" s="46" t="s">
        <v>11</v>
      </c>
      <c r="W318" s="46" t="s">
        <v>12</v>
      </c>
      <c r="X318" s="46" t="s">
        <v>13</v>
      </c>
      <c r="Y318" s="46" t="s">
        <v>14</v>
      </c>
      <c r="Z318" s="60" t="s">
        <v>15</v>
      </c>
      <c r="AA318" s="59" t="s">
        <v>8</v>
      </c>
      <c r="AB318" s="46" t="s">
        <v>9</v>
      </c>
      <c r="AC318" s="46" t="s">
        <v>10</v>
      </c>
      <c r="AD318" s="46" t="s">
        <v>11</v>
      </c>
      <c r="AE318" s="46" t="s">
        <v>12</v>
      </c>
      <c r="AF318" s="46" t="s">
        <v>13</v>
      </c>
      <c r="AG318" s="46" t="s">
        <v>14</v>
      </c>
      <c r="AH318" s="60" t="s">
        <v>15</v>
      </c>
      <c r="AI318" s="59" t="s">
        <v>8</v>
      </c>
      <c r="AJ318" s="46" t="s">
        <v>9</v>
      </c>
      <c r="AK318" s="46" t="s">
        <v>10</v>
      </c>
      <c r="AL318" s="46" t="s">
        <v>11</v>
      </c>
      <c r="AM318" s="46" t="s">
        <v>12</v>
      </c>
      <c r="AN318" s="46" t="s">
        <v>13</v>
      </c>
      <c r="AO318" s="46" t="s">
        <v>14</v>
      </c>
      <c r="AP318" s="60" t="s">
        <v>15</v>
      </c>
    </row>
    <row r="319" spans="1:42" ht="21" customHeight="1" thickTop="1" thickBot="1" x14ac:dyDescent="0.35">
      <c r="A319" s="63"/>
      <c r="B319" s="66"/>
      <c r="C319" s="52">
        <v>1</v>
      </c>
      <c r="D319" s="44">
        <v>288.7</v>
      </c>
      <c r="E319" s="44"/>
      <c r="F319" s="44"/>
      <c r="G319" s="44"/>
      <c r="H319" s="44"/>
      <c r="I319" s="44"/>
      <c r="J319" s="51"/>
      <c r="K319" s="52">
        <v>1</v>
      </c>
      <c r="L319" s="44">
        <v>288.74</v>
      </c>
      <c r="M319" s="44"/>
      <c r="N319" s="44"/>
      <c r="O319" s="44"/>
      <c r="P319" s="44"/>
      <c r="Q319" s="44"/>
      <c r="R319" s="51"/>
      <c r="S319" s="52">
        <v>1</v>
      </c>
      <c r="T319" s="44">
        <v>288.91000000000003</v>
      </c>
      <c r="U319" s="44"/>
      <c r="V319" s="44"/>
      <c r="W319" s="44"/>
      <c r="X319" s="44"/>
      <c r="Y319" s="44"/>
      <c r="Z319" s="51"/>
      <c r="AA319" s="52">
        <v>1</v>
      </c>
      <c r="AB319" s="44">
        <v>289.7</v>
      </c>
      <c r="AC319" s="44"/>
      <c r="AD319" s="44"/>
      <c r="AE319" s="44"/>
      <c r="AF319" s="44"/>
      <c r="AG319" s="44"/>
      <c r="AH319" s="51"/>
      <c r="AI319" s="52">
        <v>1</v>
      </c>
      <c r="AJ319" s="44">
        <v>287.49</v>
      </c>
      <c r="AK319" s="44"/>
      <c r="AL319" s="44"/>
      <c r="AM319" s="44"/>
      <c r="AN319" s="44"/>
      <c r="AO319" s="44"/>
      <c r="AP319" s="51"/>
    </row>
    <row r="320" spans="1:42" ht="21" customHeight="1" thickTop="1" thickBot="1" x14ac:dyDescent="0.35">
      <c r="A320" s="63"/>
      <c r="B320" s="66"/>
      <c r="C320" s="53">
        <v>2</v>
      </c>
      <c r="D320" s="45">
        <v>288.42999999999989</v>
      </c>
      <c r="E320" s="45"/>
      <c r="F320" s="45"/>
      <c r="G320" s="45"/>
      <c r="H320" s="45"/>
      <c r="I320" s="45"/>
      <c r="J320" s="51"/>
      <c r="K320" s="53">
        <v>2</v>
      </c>
      <c r="L320" s="45">
        <v>288.07999999999993</v>
      </c>
      <c r="M320" s="45"/>
      <c r="N320" s="45"/>
      <c r="O320" s="45"/>
      <c r="P320" s="45"/>
      <c r="Q320" s="45"/>
      <c r="R320" s="51"/>
      <c r="S320" s="53">
        <v>2</v>
      </c>
      <c r="T320" s="45">
        <v>289.02999999999997</v>
      </c>
      <c r="U320" s="45"/>
      <c r="V320" s="45"/>
      <c r="W320" s="45"/>
      <c r="X320" s="45"/>
      <c r="Y320" s="45"/>
      <c r="Z320" s="51"/>
      <c r="AA320" s="53">
        <v>2</v>
      </c>
      <c r="AB320" s="45">
        <v>288.88999999999987</v>
      </c>
      <c r="AC320" s="45"/>
      <c r="AD320" s="45"/>
      <c r="AE320" s="45"/>
      <c r="AF320" s="45"/>
      <c r="AG320" s="45"/>
      <c r="AH320" s="51"/>
      <c r="AI320" s="53">
        <v>2</v>
      </c>
      <c r="AJ320" s="45">
        <v>287.69999999999987</v>
      </c>
      <c r="AK320" s="45"/>
      <c r="AL320" s="45"/>
      <c r="AM320" s="45"/>
      <c r="AN320" s="45"/>
      <c r="AO320" s="45"/>
      <c r="AP320" s="51"/>
    </row>
    <row r="321" spans="1:42" ht="21" customHeight="1" thickTop="1" thickBot="1" x14ac:dyDescent="0.35">
      <c r="A321" s="63"/>
      <c r="B321" s="66"/>
      <c r="C321" s="53">
        <v>3</v>
      </c>
      <c r="D321" s="45">
        <v>288.91000000000003</v>
      </c>
      <c r="E321" s="45"/>
      <c r="F321" s="45"/>
      <c r="G321" s="44"/>
      <c r="H321" s="44"/>
      <c r="I321" s="44"/>
      <c r="J321" s="51"/>
      <c r="K321" s="53">
        <v>3</v>
      </c>
      <c r="L321" s="45">
        <v>288.69</v>
      </c>
      <c r="M321" s="45"/>
      <c r="N321" s="45"/>
      <c r="O321" s="44"/>
      <c r="P321" s="44"/>
      <c r="Q321" s="44"/>
      <c r="R321" s="51"/>
      <c r="S321" s="53">
        <v>3</v>
      </c>
      <c r="T321" s="45">
        <v>288.63999999999987</v>
      </c>
      <c r="U321" s="45"/>
      <c r="V321" s="45"/>
      <c r="W321" s="44"/>
      <c r="X321" s="44"/>
      <c r="Y321" s="44"/>
      <c r="Z321" s="51"/>
      <c r="AA321" s="53">
        <v>3</v>
      </c>
      <c r="AB321" s="45">
        <v>289.08</v>
      </c>
      <c r="AC321" s="45"/>
      <c r="AD321" s="45"/>
      <c r="AE321" s="44"/>
      <c r="AF321" s="44"/>
      <c r="AG321" s="44"/>
      <c r="AH321" s="51"/>
      <c r="AI321" s="53">
        <v>3</v>
      </c>
      <c r="AJ321" s="45">
        <v>288.27999999999997</v>
      </c>
      <c r="AK321" s="45"/>
      <c r="AL321" s="45"/>
      <c r="AM321" s="44"/>
      <c r="AN321" s="44"/>
      <c r="AO321" s="44"/>
      <c r="AP321" s="51"/>
    </row>
    <row r="322" spans="1:42" ht="21" customHeight="1" thickTop="1" thickBot="1" x14ac:dyDescent="0.35">
      <c r="A322" s="63"/>
      <c r="B322" s="66"/>
      <c r="C322" s="53">
        <v>4</v>
      </c>
      <c r="D322" s="45">
        <v>287.7</v>
      </c>
      <c r="E322" s="45"/>
      <c r="F322" s="45"/>
      <c r="G322" s="45"/>
      <c r="H322" s="45"/>
      <c r="I322" s="45"/>
      <c r="J322" s="51"/>
      <c r="K322" s="53">
        <v>4</v>
      </c>
      <c r="L322" s="45">
        <v>288.88999999999987</v>
      </c>
      <c r="M322" s="45"/>
      <c r="N322" s="45"/>
      <c r="O322" s="45"/>
      <c r="P322" s="45"/>
      <c r="Q322" s="45"/>
      <c r="R322" s="51"/>
      <c r="S322" s="53">
        <v>4</v>
      </c>
      <c r="T322" s="45">
        <v>289.93999999999988</v>
      </c>
      <c r="U322" s="45"/>
      <c r="V322" s="45"/>
      <c r="W322" s="45"/>
      <c r="X322" s="45"/>
      <c r="Y322" s="45"/>
      <c r="Z322" s="51"/>
      <c r="AA322" s="53">
        <v>4</v>
      </c>
      <c r="AB322" s="45">
        <v>288.02999999999997</v>
      </c>
      <c r="AC322" s="45"/>
      <c r="AD322" s="45"/>
      <c r="AE322" s="45"/>
      <c r="AF322" s="45"/>
      <c r="AG322" s="45"/>
      <c r="AH322" s="51"/>
      <c r="AI322" s="53">
        <v>4</v>
      </c>
      <c r="AJ322" s="45">
        <v>286.77999999999997</v>
      </c>
      <c r="AK322" s="45"/>
      <c r="AL322" s="45"/>
      <c r="AM322" s="45"/>
      <c r="AN322" s="45"/>
      <c r="AO322" s="45"/>
      <c r="AP322" s="51"/>
    </row>
    <row r="323" spans="1:42" ht="21" customHeight="1" thickTop="1" thickBot="1" x14ac:dyDescent="0.35">
      <c r="A323" s="63"/>
      <c r="B323" s="66"/>
      <c r="C323" s="53">
        <v>5</v>
      </c>
      <c r="D323" s="45">
        <v>288.67</v>
      </c>
      <c r="E323" s="45"/>
      <c r="F323" s="45"/>
      <c r="G323" s="45"/>
      <c r="H323" s="45"/>
      <c r="I323" s="45"/>
      <c r="J323" s="51"/>
      <c r="K323" s="53">
        <v>5</v>
      </c>
      <c r="L323" s="45">
        <v>288.44</v>
      </c>
      <c r="M323" s="45"/>
      <c r="N323" s="45"/>
      <c r="O323" s="45"/>
      <c r="P323" s="45"/>
      <c r="Q323" s="45"/>
      <c r="R323" s="51"/>
      <c r="S323" s="53">
        <v>5</v>
      </c>
      <c r="T323" s="45">
        <v>290.14999999999998</v>
      </c>
      <c r="U323" s="45"/>
      <c r="V323" s="45"/>
      <c r="W323" s="45"/>
      <c r="X323" s="45"/>
      <c r="Y323" s="45"/>
      <c r="Z323" s="51"/>
      <c r="AA323" s="53">
        <v>5</v>
      </c>
      <c r="AB323" s="45">
        <v>288.89</v>
      </c>
      <c r="AC323" s="45"/>
      <c r="AD323" s="45"/>
      <c r="AE323" s="45"/>
      <c r="AF323" s="45"/>
      <c r="AG323" s="45"/>
      <c r="AH323" s="51"/>
      <c r="AI323" s="53">
        <v>5</v>
      </c>
      <c r="AJ323" s="45">
        <v>287.24</v>
      </c>
      <c r="AK323" s="45"/>
      <c r="AL323" s="45"/>
      <c r="AM323" s="45"/>
      <c r="AN323" s="45"/>
      <c r="AO323" s="45"/>
      <c r="AP323" s="51"/>
    </row>
    <row r="324" spans="1:42" ht="21" customHeight="1" thickTop="1" thickBot="1" x14ac:dyDescent="0.35">
      <c r="A324" s="63"/>
      <c r="B324" s="66"/>
      <c r="C324" s="53">
        <v>6</v>
      </c>
      <c r="D324" s="45">
        <v>288.56999999999988</v>
      </c>
      <c r="E324" s="45"/>
      <c r="F324" s="45"/>
      <c r="G324" s="45"/>
      <c r="H324" s="45"/>
      <c r="I324" s="45"/>
      <c r="J324" s="51"/>
      <c r="K324" s="53">
        <v>6</v>
      </c>
      <c r="L324" s="45">
        <v>288.57</v>
      </c>
      <c r="M324" s="45"/>
      <c r="N324" s="45"/>
      <c r="O324" s="45"/>
      <c r="P324" s="45"/>
      <c r="Q324" s="45"/>
      <c r="R324" s="51"/>
      <c r="S324" s="53">
        <v>6</v>
      </c>
      <c r="T324" s="45">
        <v>288.42999999999989</v>
      </c>
      <c r="U324" s="45"/>
      <c r="V324" s="45"/>
      <c r="W324" s="45"/>
      <c r="X324" s="45"/>
      <c r="Y324" s="45"/>
      <c r="Z324" s="51"/>
      <c r="AA324" s="53">
        <v>6</v>
      </c>
      <c r="AB324" s="45">
        <v>288.74</v>
      </c>
      <c r="AC324" s="45"/>
      <c r="AD324" s="45"/>
      <c r="AE324" s="45"/>
      <c r="AF324" s="45"/>
      <c r="AG324" s="45"/>
      <c r="AH324" s="51"/>
      <c r="AI324" s="53">
        <v>6</v>
      </c>
      <c r="AJ324" s="45">
        <v>288.14999999999992</v>
      </c>
      <c r="AK324" s="45"/>
      <c r="AL324" s="45"/>
      <c r="AM324" s="45"/>
      <c r="AN324" s="45"/>
      <c r="AO324" s="45"/>
      <c r="AP324" s="51"/>
    </row>
    <row r="325" spans="1:42" ht="21" customHeight="1" thickTop="1" thickBot="1" x14ac:dyDescent="0.35">
      <c r="A325" s="63"/>
      <c r="B325" s="66"/>
      <c r="C325" s="53">
        <v>7</v>
      </c>
      <c r="D325" s="45">
        <v>288.99999999999989</v>
      </c>
      <c r="E325" s="45"/>
      <c r="F325" s="45"/>
      <c r="G325" s="45"/>
      <c r="H325" s="45"/>
      <c r="I325" s="45"/>
      <c r="J325" s="51"/>
      <c r="K325" s="53">
        <v>7</v>
      </c>
      <c r="L325" s="45">
        <v>287.99999999999989</v>
      </c>
      <c r="M325" s="45"/>
      <c r="N325" s="45"/>
      <c r="O325" s="45"/>
      <c r="P325" s="45"/>
      <c r="Q325" s="45"/>
      <c r="R325" s="51"/>
      <c r="S325" s="53">
        <v>7</v>
      </c>
      <c r="T325" s="45">
        <v>287.9799999999999</v>
      </c>
      <c r="U325" s="45"/>
      <c r="V325" s="45"/>
      <c r="W325" s="45"/>
      <c r="X325" s="45"/>
      <c r="Y325" s="45"/>
      <c r="Z325" s="51"/>
      <c r="AA325" s="53">
        <v>7</v>
      </c>
      <c r="AB325" s="45">
        <v>288.43999999999988</v>
      </c>
      <c r="AC325" s="45"/>
      <c r="AD325" s="45"/>
      <c r="AE325" s="45"/>
      <c r="AF325" s="45"/>
      <c r="AG325" s="45"/>
      <c r="AH325" s="51"/>
      <c r="AI325" s="53">
        <v>7</v>
      </c>
      <c r="AJ325" s="45">
        <v>287.7</v>
      </c>
      <c r="AK325" s="45"/>
      <c r="AL325" s="45"/>
      <c r="AM325" s="45"/>
      <c r="AN325" s="45"/>
      <c r="AO325" s="45"/>
      <c r="AP325" s="51"/>
    </row>
    <row r="326" spans="1:42" ht="21" customHeight="1" thickTop="1" thickBot="1" x14ac:dyDescent="0.35">
      <c r="A326" s="63"/>
      <c r="B326" s="66"/>
      <c r="C326" s="53">
        <v>8</v>
      </c>
      <c r="D326" s="45">
        <v>288.64</v>
      </c>
      <c r="E326" s="45"/>
      <c r="F326" s="45"/>
      <c r="G326" s="45"/>
      <c r="H326" s="45"/>
      <c r="I326" s="45"/>
      <c r="J326" s="51"/>
      <c r="K326" s="53">
        <v>8</v>
      </c>
      <c r="L326" s="45">
        <v>288.91000000000003</v>
      </c>
      <c r="M326" s="45"/>
      <c r="N326" s="45"/>
      <c r="O326" s="45"/>
      <c r="P326" s="45"/>
      <c r="Q326" s="45"/>
      <c r="R326" s="51"/>
      <c r="S326" s="53">
        <v>8</v>
      </c>
      <c r="T326" s="45">
        <v>288.90999999999991</v>
      </c>
      <c r="U326" s="45"/>
      <c r="V326" s="45"/>
      <c r="W326" s="45"/>
      <c r="X326" s="45"/>
      <c r="Y326" s="45"/>
      <c r="Z326" s="51"/>
      <c r="AA326" s="53">
        <v>8</v>
      </c>
      <c r="AB326" s="45">
        <v>289.02</v>
      </c>
      <c r="AC326" s="45"/>
      <c r="AD326" s="45"/>
      <c r="AE326" s="45"/>
      <c r="AF326" s="45"/>
      <c r="AG326" s="45"/>
      <c r="AH326" s="51"/>
      <c r="AI326" s="53">
        <v>8</v>
      </c>
      <c r="AJ326" s="45">
        <v>287.22000000000003</v>
      </c>
      <c r="AK326" s="45"/>
      <c r="AL326" s="45"/>
      <c r="AM326" s="45"/>
      <c r="AN326" s="45"/>
      <c r="AO326" s="45"/>
      <c r="AP326" s="51"/>
    </row>
    <row r="327" spans="1:42" ht="21" customHeight="1" thickTop="1" thickBot="1" x14ac:dyDescent="0.35">
      <c r="A327" s="63"/>
      <c r="B327" s="66"/>
      <c r="C327" s="53">
        <v>9</v>
      </c>
      <c r="D327" s="45">
        <v>288.38</v>
      </c>
      <c r="E327" s="45"/>
      <c r="F327" s="45"/>
      <c r="G327" s="45"/>
      <c r="H327" s="45"/>
      <c r="I327" s="45"/>
      <c r="J327" s="51"/>
      <c r="K327" s="53">
        <v>9</v>
      </c>
      <c r="L327" s="45">
        <v>288.57</v>
      </c>
      <c r="M327" s="45"/>
      <c r="N327" s="45"/>
      <c r="O327" s="45"/>
      <c r="P327" s="45"/>
      <c r="Q327" s="45"/>
      <c r="R327" s="51"/>
      <c r="S327" s="53">
        <v>9</v>
      </c>
      <c r="T327" s="45">
        <v>291.25999999999988</v>
      </c>
      <c r="U327" s="45"/>
      <c r="V327" s="45"/>
      <c r="W327" s="45"/>
      <c r="X327" s="45"/>
      <c r="Y327" s="45"/>
      <c r="Z327" s="51"/>
      <c r="AA327" s="53">
        <v>9</v>
      </c>
      <c r="AB327" s="45">
        <v>288.91000000000003</v>
      </c>
      <c r="AC327" s="45"/>
      <c r="AD327" s="45"/>
      <c r="AE327" s="45"/>
      <c r="AF327" s="45"/>
      <c r="AG327" s="45"/>
      <c r="AH327" s="51"/>
      <c r="AI327" s="53">
        <v>9</v>
      </c>
      <c r="AJ327" s="45">
        <v>287.87999999999988</v>
      </c>
      <c r="AK327" s="45"/>
      <c r="AL327" s="45"/>
      <c r="AM327" s="45"/>
      <c r="AN327" s="45"/>
      <c r="AO327" s="45"/>
      <c r="AP327" s="51"/>
    </row>
    <row r="328" spans="1:42" ht="21" customHeight="1" thickTop="1" thickBot="1" x14ac:dyDescent="0.35">
      <c r="A328" s="63"/>
      <c r="B328" s="66"/>
      <c r="C328" s="53">
        <v>10</v>
      </c>
      <c r="D328" s="45">
        <v>288.66000000000003</v>
      </c>
      <c r="E328" s="45"/>
      <c r="F328" s="45"/>
      <c r="G328" s="45"/>
      <c r="H328" s="45"/>
      <c r="I328" s="45"/>
      <c r="J328" s="51"/>
      <c r="K328" s="53">
        <v>10</v>
      </c>
      <c r="L328" s="45">
        <v>288.20999999999998</v>
      </c>
      <c r="M328" s="45"/>
      <c r="N328" s="45"/>
      <c r="O328" s="45"/>
      <c r="P328" s="45"/>
      <c r="Q328" s="45"/>
      <c r="R328" s="51"/>
      <c r="S328" s="53">
        <v>10</v>
      </c>
      <c r="T328" s="45">
        <v>289.92999999999989</v>
      </c>
      <c r="U328" s="45"/>
      <c r="V328" s="45"/>
      <c r="W328" s="45"/>
      <c r="X328" s="45"/>
      <c r="Y328" s="45"/>
      <c r="Z328" s="51"/>
      <c r="AA328" s="53">
        <v>10</v>
      </c>
      <c r="AB328" s="45">
        <v>288.57</v>
      </c>
      <c r="AC328" s="45"/>
      <c r="AD328" s="45"/>
      <c r="AE328" s="45"/>
      <c r="AF328" s="45"/>
      <c r="AG328" s="45"/>
      <c r="AH328" s="51"/>
      <c r="AI328" s="53">
        <v>10</v>
      </c>
      <c r="AJ328" s="45">
        <v>286.89999999999998</v>
      </c>
      <c r="AK328" s="45"/>
      <c r="AL328" s="45"/>
      <c r="AM328" s="45"/>
      <c r="AN328" s="45"/>
      <c r="AO328" s="45"/>
      <c r="AP328" s="51"/>
    </row>
    <row r="329" spans="1:42" ht="21" customHeight="1" thickTop="1" thickBot="1" x14ac:dyDescent="0.35">
      <c r="A329" s="63"/>
      <c r="B329" s="66"/>
      <c r="C329" s="53"/>
      <c r="D329" s="45"/>
      <c r="E329" s="45"/>
      <c r="F329" s="45"/>
      <c r="G329" s="45"/>
      <c r="H329" s="45"/>
      <c r="I329" s="45"/>
      <c r="J329" s="51"/>
      <c r="K329" s="53"/>
      <c r="L329" s="45"/>
      <c r="M329" s="45"/>
      <c r="N329" s="45"/>
      <c r="O329" s="45"/>
      <c r="P329" s="45"/>
      <c r="Q329" s="45"/>
      <c r="R329" s="51"/>
      <c r="S329" s="53"/>
      <c r="T329" s="45"/>
      <c r="U329" s="45"/>
      <c r="V329" s="45"/>
      <c r="W329" s="45"/>
      <c r="X329" s="45"/>
      <c r="Y329" s="45"/>
      <c r="Z329" s="51"/>
      <c r="AA329" s="53"/>
      <c r="AB329" s="45"/>
      <c r="AC329" s="45"/>
      <c r="AD329" s="45"/>
      <c r="AE329" s="45"/>
      <c r="AF329" s="45"/>
      <c r="AG329" s="45"/>
      <c r="AH329" s="51"/>
      <c r="AI329" s="53"/>
      <c r="AJ329" s="45"/>
      <c r="AK329" s="45"/>
      <c r="AL329" s="45"/>
      <c r="AM329" s="45"/>
      <c r="AN329" s="45"/>
      <c r="AO329" s="45"/>
      <c r="AP329" s="51"/>
    </row>
    <row r="330" spans="1:42" ht="21" customHeight="1" thickTop="1" thickBot="1" x14ac:dyDescent="0.35">
      <c r="A330" s="63"/>
      <c r="B330" s="66"/>
      <c r="C330" s="54" t="s">
        <v>16</v>
      </c>
      <c r="D330" s="49">
        <f>MIN(D319:D328)</f>
        <v>287.7</v>
      </c>
      <c r="E330" s="45"/>
      <c r="F330" s="55" t="s">
        <v>17</v>
      </c>
      <c r="G330" s="49" t="s">
        <v>18</v>
      </c>
      <c r="H330" s="49" t="s">
        <v>19</v>
      </c>
      <c r="I330" s="45"/>
      <c r="J330" s="51"/>
      <c r="K330" s="54" t="s">
        <v>16</v>
      </c>
      <c r="L330" s="49">
        <f>MIN(L319:L328)</f>
        <v>287.99999999999989</v>
      </c>
      <c r="M330" s="45"/>
      <c r="N330" s="55" t="s">
        <v>17</v>
      </c>
      <c r="O330" s="49" t="s">
        <v>18</v>
      </c>
      <c r="P330" s="49" t="s">
        <v>19</v>
      </c>
      <c r="Q330" s="45"/>
      <c r="R330" s="51"/>
      <c r="S330" s="54" t="s">
        <v>16</v>
      </c>
      <c r="T330" s="49">
        <f>MIN(T319:T328)</f>
        <v>287.9799999999999</v>
      </c>
      <c r="U330" s="45"/>
      <c r="V330" s="55" t="s">
        <v>17</v>
      </c>
      <c r="W330" s="49" t="s">
        <v>18</v>
      </c>
      <c r="X330" s="49" t="s">
        <v>19</v>
      </c>
      <c r="Y330" s="45"/>
      <c r="Z330" s="51"/>
      <c r="AA330" s="54" t="s">
        <v>16</v>
      </c>
      <c r="AB330" s="49">
        <f>MIN(AB319:AB328)</f>
        <v>288.02999999999997</v>
      </c>
      <c r="AC330" s="45"/>
      <c r="AD330" s="55" t="s">
        <v>17</v>
      </c>
      <c r="AE330" s="49" t="s">
        <v>18</v>
      </c>
      <c r="AF330" s="49" t="s">
        <v>19</v>
      </c>
      <c r="AG330" s="45"/>
      <c r="AH330" s="51"/>
      <c r="AI330" s="54" t="s">
        <v>16</v>
      </c>
      <c r="AJ330" s="49">
        <f>MIN(AJ319:AJ328)</f>
        <v>286.77999999999997</v>
      </c>
      <c r="AK330" s="45"/>
      <c r="AL330" s="55" t="s">
        <v>17</v>
      </c>
      <c r="AM330" s="49" t="s">
        <v>18</v>
      </c>
      <c r="AN330" s="49" t="s">
        <v>19</v>
      </c>
      <c r="AO330" s="45"/>
      <c r="AP330" s="51"/>
    </row>
    <row r="331" spans="1:42" ht="21" customHeight="1" thickTop="1" thickBot="1" x14ac:dyDescent="0.35">
      <c r="A331" s="63"/>
      <c r="B331" s="66"/>
      <c r="C331" s="54" t="s">
        <v>20</v>
      </c>
      <c r="D331" s="48">
        <f>AVERAGE(D319:D328)</f>
        <v>288.56599999999997</v>
      </c>
      <c r="E331" s="47"/>
      <c r="F331" s="48">
        <f>_xlfn.STDEV.S(D319:D328) / AVERAGE(D319:D328) * 100%</f>
        <v>1.2402753267179148E-3</v>
      </c>
      <c r="G331" s="48">
        <f t="array" ref="G331">MIN((D319:D328 - MIN(D319:D328,L319:L328,T319:T328,AB319:AB328,AJ319:AJ328))/MIN(D319:D328,L319:L328,T319:T328,AB319:AB328,AJ319:AJ328)*100%)</f>
        <v>3.2080340330567542E-3</v>
      </c>
      <c r="H331" s="48">
        <f t="array" ref="H331">AVERAGE((D319:D328 - MIN(D319:D328,L319:L328,T319:T328,AB319:AB328,AJ319:AJ328))/MIN(D319:D328,L319:L328,T319:T328,AB319:AB328,AJ319:AJ328)*100%)</f>
        <v>6.2277704163470121E-3</v>
      </c>
      <c r="I331" s="45"/>
      <c r="J331" s="51"/>
      <c r="K331" s="54" t="s">
        <v>20</v>
      </c>
      <c r="L331" s="48">
        <f>AVERAGE(L319:L328)</f>
        <v>288.51</v>
      </c>
      <c r="M331" s="47"/>
      <c r="N331" s="48">
        <f>_xlfn.STDEV.S(L319:L328) / AVERAGE(L319:L328) * 100%</f>
        <v>1.1182562021017051E-3</v>
      </c>
      <c r="O331" s="48">
        <f t="array" ref="O331">MIN((L319:L328 - MIN(D319:D328,L319:L328,T319:T328,AB319:AB328,AJ319:AJ328))/MIN(D319:D328,L319:L328,T319:T328,AB319:AB328,AJ319:AJ328)*100%)</f>
        <v>4.254132087314017E-3</v>
      </c>
      <c r="P331" s="48">
        <f t="array" ref="P331">AVERAGE((L319:L328 - MIN(D319:D328,L319:L328,T319:T328,AB319:AB328,AJ319:AJ328))/MIN(D319:D328,L319:L328,T319:T328,AB319:AB328,AJ319:AJ328)*100%)</f>
        <v>6.0324987795522551E-3</v>
      </c>
      <c r="Q331" s="44"/>
      <c r="R331" s="51"/>
      <c r="S331" s="54" t="s">
        <v>20</v>
      </c>
      <c r="T331" s="48">
        <f>AVERAGE(T319:T328)</f>
        <v>289.31799999999987</v>
      </c>
      <c r="U331" s="47"/>
      <c r="V331" s="48">
        <f>_xlfn.STDEV.S(T319:T328) / AVERAGE(T319:T328) * 100%</f>
        <v>3.3942759126079345E-3</v>
      </c>
      <c r="W331" s="48">
        <f t="array" ref="W331">MIN((T319:T328 - MIN(D319:D328,L319:L328,T319:T328,AB319:AB328,AJ319:AJ328))/MIN(D319:D328,L319:L328,T319:T328,AB319:AB328,AJ319:AJ328)*100%)</f>
        <v>4.1843922170302387E-3</v>
      </c>
      <c r="X331" s="48">
        <f t="array" ref="X331">AVERAGE((T319:T328 - MIN(D319:D328,L319:L328,T319:T328,AB319:AB328,AJ319:AJ328))/MIN(D319:D328,L319:L328,T319:T328,AB319:AB328,AJ319:AJ328)*100%)</f>
        <v>8.8499895390192779E-3</v>
      </c>
      <c r="Y331" s="44"/>
      <c r="Z331" s="51"/>
      <c r="AA331" s="54" t="s">
        <v>20</v>
      </c>
      <c r="AB331" s="48">
        <f>AVERAGE(AB319:AB328)</f>
        <v>288.82699999999994</v>
      </c>
      <c r="AC331" s="47"/>
      <c r="AD331" s="48">
        <f>_xlfn.STDEV.S(AB319:AB328) / AVERAGE(AB319:AB328) * 100%</f>
        <v>1.5209576144635123E-3</v>
      </c>
      <c r="AE331" s="48">
        <f t="array" ref="AE331">MIN((AB319:AB328 - MIN(D319:D328,L319:L328,T319:T328,AB319:AB328,AJ319:AJ328))/MIN(D319:D328,L319:L328,T319:T328,AB319:AB328,AJ319:AJ328)*100%)</f>
        <v>4.35874189274008E-3</v>
      </c>
      <c r="AF331" s="48">
        <f t="array" ref="AF331">AVERAGE((AB319:AB328 - MIN(D319:D328,L319:L328,T319:T328,AB319:AB328,AJ319:AJ328))/MIN(D319:D328,L319:L328,T319:T328,AB319:AB328,AJ319:AJ328)*100%)</f>
        <v>7.1378757235511445E-3</v>
      </c>
      <c r="AG331" s="44"/>
      <c r="AH331" s="51"/>
      <c r="AI331" s="54" t="s">
        <v>20</v>
      </c>
      <c r="AJ331" s="48">
        <f>AVERAGE(AJ319:AJ328)</f>
        <v>287.53399999999999</v>
      </c>
      <c r="AK331" s="47"/>
      <c r="AL331" s="48">
        <f>_xlfn.STDEV.S(AJ319:AJ328) / AVERAGE(AJ319:AJ328) * 100%</f>
        <v>1.7459590025998976E-3</v>
      </c>
      <c r="AM331" s="48">
        <f t="array" ref="AM331">MIN((AJ319:AJ328 - MIN(D319:D328,L319:L328,T319:T328,AB319:AB328,AJ319:AJ328))/MIN(D319:D328,L319:L328,T319:T328,AB319:AB328,AJ319:AJ328)*100%)</f>
        <v>0</v>
      </c>
      <c r="AN331" s="48">
        <f t="array" ref="AN331">AVERAGE((AJ319:AJ328 - MIN(D319:D328,L319:L328,T319:T328,AB319:AB328,AJ319:AJ328))/MIN(D319:D328,L319:L328,T319:T328,AB319:AB328,AJ319:AJ328)*100%)</f>
        <v>2.6291931097007829E-3</v>
      </c>
      <c r="AO331" s="44"/>
      <c r="AP331" s="51"/>
    </row>
    <row r="332" spans="1:42" ht="21" customHeight="1" thickTop="1" thickBot="1" x14ac:dyDescent="0.35">
      <c r="A332" s="63"/>
      <c r="B332" s="67"/>
      <c r="C332" s="53"/>
      <c r="D332" s="44"/>
      <c r="E332" s="44"/>
      <c r="F332" s="44"/>
      <c r="G332" s="44"/>
      <c r="H332" s="44"/>
      <c r="I332" s="44"/>
      <c r="J332" s="51"/>
      <c r="K332" s="53"/>
      <c r="L332" s="44"/>
      <c r="M332" s="44"/>
      <c r="N332" s="44"/>
      <c r="O332" s="44"/>
      <c r="P332" s="44"/>
      <c r="Q332" s="44"/>
      <c r="R332" s="51"/>
      <c r="S332" s="53"/>
      <c r="T332" s="44"/>
      <c r="U332" s="44"/>
      <c r="V332" s="44"/>
      <c r="W332" s="44"/>
      <c r="X332" s="44"/>
      <c r="Y332" s="44"/>
      <c r="Z332" s="51"/>
      <c r="AA332" s="53"/>
      <c r="AB332" s="44"/>
      <c r="AC332" s="44"/>
      <c r="AD332" s="44"/>
      <c r="AE332" s="44"/>
      <c r="AF332" s="44"/>
      <c r="AG332" s="44"/>
      <c r="AH332" s="51"/>
      <c r="AI332" s="53"/>
      <c r="AJ332" s="44"/>
      <c r="AK332" s="44"/>
      <c r="AL332" s="44"/>
      <c r="AM332" s="44"/>
      <c r="AN332" s="44"/>
      <c r="AO332" s="44"/>
      <c r="AP332" s="51"/>
    </row>
    <row r="333" spans="1:42" ht="21" customHeight="1" thickTop="1" thickBot="1" x14ac:dyDescent="0.35">
      <c r="A333" s="63"/>
      <c r="B333" s="65" t="s">
        <v>88</v>
      </c>
      <c r="C333" s="59" t="s">
        <v>8</v>
      </c>
      <c r="D333" s="46" t="s">
        <v>9</v>
      </c>
      <c r="E333" s="46" t="s">
        <v>10</v>
      </c>
      <c r="F333" s="46" t="s">
        <v>11</v>
      </c>
      <c r="G333" s="46" t="s">
        <v>12</v>
      </c>
      <c r="H333" s="46" t="s">
        <v>13</v>
      </c>
      <c r="I333" s="46" t="s">
        <v>14</v>
      </c>
      <c r="J333" s="60" t="s">
        <v>15</v>
      </c>
      <c r="K333" s="59" t="s">
        <v>8</v>
      </c>
      <c r="L333" s="46" t="s">
        <v>9</v>
      </c>
      <c r="M333" s="46" t="s">
        <v>10</v>
      </c>
      <c r="N333" s="46" t="s">
        <v>11</v>
      </c>
      <c r="O333" s="46" t="s">
        <v>12</v>
      </c>
      <c r="P333" s="46" t="s">
        <v>13</v>
      </c>
      <c r="Q333" s="46" t="s">
        <v>14</v>
      </c>
      <c r="R333" s="60" t="s">
        <v>15</v>
      </c>
      <c r="S333" s="59" t="s">
        <v>8</v>
      </c>
      <c r="T333" s="46" t="s">
        <v>9</v>
      </c>
      <c r="U333" s="46" t="s">
        <v>10</v>
      </c>
      <c r="V333" s="46" t="s">
        <v>11</v>
      </c>
      <c r="W333" s="46" t="s">
        <v>12</v>
      </c>
      <c r="X333" s="46" t="s">
        <v>13</v>
      </c>
      <c r="Y333" s="46" t="s">
        <v>14</v>
      </c>
      <c r="Z333" s="60" t="s">
        <v>15</v>
      </c>
      <c r="AA333" s="59" t="s">
        <v>8</v>
      </c>
      <c r="AB333" s="46" t="s">
        <v>9</v>
      </c>
      <c r="AC333" s="46" t="s">
        <v>10</v>
      </c>
      <c r="AD333" s="46" t="s">
        <v>11</v>
      </c>
      <c r="AE333" s="46" t="s">
        <v>12</v>
      </c>
      <c r="AF333" s="46" t="s">
        <v>13</v>
      </c>
      <c r="AG333" s="46" t="s">
        <v>14</v>
      </c>
      <c r="AH333" s="60" t="s">
        <v>15</v>
      </c>
      <c r="AI333" s="59" t="s">
        <v>8</v>
      </c>
      <c r="AJ333" s="46" t="s">
        <v>9</v>
      </c>
      <c r="AK333" s="46" t="s">
        <v>10</v>
      </c>
      <c r="AL333" s="46" t="s">
        <v>11</v>
      </c>
      <c r="AM333" s="46" t="s">
        <v>12</v>
      </c>
      <c r="AN333" s="46" t="s">
        <v>13</v>
      </c>
      <c r="AO333" s="46" t="s">
        <v>14</v>
      </c>
      <c r="AP333" s="60" t="s">
        <v>15</v>
      </c>
    </row>
    <row r="334" spans="1:42" ht="21" customHeight="1" thickTop="1" thickBot="1" x14ac:dyDescent="0.35">
      <c r="A334" s="63"/>
      <c r="B334" s="66"/>
      <c r="C334" s="52">
        <v>1</v>
      </c>
      <c r="D334" s="44">
        <v>304.31999999999988</v>
      </c>
      <c r="E334" s="44"/>
      <c r="F334" s="44"/>
      <c r="G334" s="44"/>
      <c r="H334" s="44"/>
      <c r="I334" s="44"/>
      <c r="J334" s="51"/>
      <c r="K334" s="52">
        <v>1</v>
      </c>
      <c r="L334" s="44">
        <v>305.27999999999997</v>
      </c>
      <c r="M334" s="44"/>
      <c r="N334" s="44"/>
      <c r="O334" s="44"/>
      <c r="P334" s="44"/>
      <c r="Q334" s="44"/>
      <c r="R334" s="51"/>
      <c r="S334" s="52">
        <v>1</v>
      </c>
      <c r="T334" s="44">
        <v>304.60000000000002</v>
      </c>
      <c r="U334" s="44"/>
      <c r="V334" s="44"/>
      <c r="W334" s="44"/>
      <c r="X334" s="44"/>
      <c r="Y334" s="44"/>
      <c r="Z334" s="51"/>
      <c r="AA334" s="52">
        <v>1</v>
      </c>
      <c r="AB334" s="44">
        <v>305.2999999999999</v>
      </c>
      <c r="AC334" s="44"/>
      <c r="AD334" s="44"/>
      <c r="AE334" s="44"/>
      <c r="AF334" s="44"/>
      <c r="AG334" s="44"/>
      <c r="AH334" s="51"/>
      <c r="AI334" s="52">
        <v>1</v>
      </c>
      <c r="AJ334" s="44">
        <v>305.11</v>
      </c>
      <c r="AK334" s="44"/>
      <c r="AL334" s="44"/>
      <c r="AM334" s="44"/>
      <c r="AN334" s="44"/>
      <c r="AO334" s="44"/>
      <c r="AP334" s="51"/>
    </row>
    <row r="335" spans="1:42" ht="21" customHeight="1" thickTop="1" thickBot="1" x14ac:dyDescent="0.35">
      <c r="A335" s="63"/>
      <c r="B335" s="66"/>
      <c r="C335" s="53">
        <v>2</v>
      </c>
      <c r="D335" s="45">
        <v>303.61999999999989</v>
      </c>
      <c r="E335" s="45"/>
      <c r="F335" s="45"/>
      <c r="G335" s="45"/>
      <c r="H335" s="45"/>
      <c r="I335" s="45"/>
      <c r="J335" s="51"/>
      <c r="K335" s="53">
        <v>2</v>
      </c>
      <c r="L335" s="45">
        <v>305.45</v>
      </c>
      <c r="M335" s="45"/>
      <c r="N335" s="45"/>
      <c r="O335" s="45"/>
      <c r="P335" s="45"/>
      <c r="Q335" s="45"/>
      <c r="R335" s="51"/>
      <c r="S335" s="53">
        <v>2</v>
      </c>
      <c r="T335" s="45">
        <v>305.1099999999999</v>
      </c>
      <c r="U335" s="45"/>
      <c r="V335" s="45"/>
      <c r="W335" s="45"/>
      <c r="X335" s="45"/>
      <c r="Y335" s="45"/>
      <c r="Z335" s="51"/>
      <c r="AA335" s="53">
        <v>2</v>
      </c>
      <c r="AB335" s="45">
        <v>304.75999999999988</v>
      </c>
      <c r="AC335" s="45"/>
      <c r="AD335" s="45"/>
      <c r="AE335" s="45"/>
      <c r="AF335" s="45"/>
      <c r="AG335" s="45"/>
      <c r="AH335" s="51"/>
      <c r="AI335" s="53">
        <v>2</v>
      </c>
      <c r="AJ335" s="45">
        <v>304.91000000000003</v>
      </c>
      <c r="AK335" s="45"/>
      <c r="AL335" s="45"/>
      <c r="AM335" s="45"/>
      <c r="AN335" s="45"/>
      <c r="AO335" s="45"/>
      <c r="AP335" s="51"/>
    </row>
    <row r="336" spans="1:42" ht="21" customHeight="1" thickTop="1" thickBot="1" x14ac:dyDescent="0.35">
      <c r="A336" s="63"/>
      <c r="B336" s="66"/>
      <c r="C336" s="53">
        <v>3</v>
      </c>
      <c r="D336" s="45">
        <v>305.0499999999999</v>
      </c>
      <c r="E336" s="45"/>
      <c r="F336" s="45"/>
      <c r="G336" s="44"/>
      <c r="H336" s="44"/>
      <c r="I336" s="44"/>
      <c r="J336" s="51"/>
      <c r="K336" s="53">
        <v>3</v>
      </c>
      <c r="L336" s="45">
        <v>304.92</v>
      </c>
      <c r="M336" s="45"/>
      <c r="N336" s="45"/>
      <c r="O336" s="44"/>
      <c r="P336" s="44"/>
      <c r="Q336" s="44"/>
      <c r="R336" s="51"/>
      <c r="S336" s="53">
        <v>3</v>
      </c>
      <c r="T336" s="45">
        <v>304.75999999999988</v>
      </c>
      <c r="U336" s="45"/>
      <c r="V336" s="45"/>
      <c r="W336" s="44"/>
      <c r="X336" s="44"/>
      <c r="Y336" s="44"/>
      <c r="Z336" s="51"/>
      <c r="AA336" s="53">
        <v>3</v>
      </c>
      <c r="AB336" s="45">
        <v>304.61</v>
      </c>
      <c r="AC336" s="45"/>
      <c r="AD336" s="45"/>
      <c r="AE336" s="44"/>
      <c r="AF336" s="44"/>
      <c r="AG336" s="44"/>
      <c r="AH336" s="51"/>
      <c r="AI336" s="53">
        <v>3</v>
      </c>
      <c r="AJ336" s="45">
        <v>304.91000000000003</v>
      </c>
      <c r="AK336" s="45"/>
      <c r="AL336" s="45"/>
      <c r="AM336" s="44"/>
      <c r="AN336" s="44"/>
      <c r="AO336" s="44"/>
      <c r="AP336" s="51"/>
    </row>
    <row r="337" spans="1:42" ht="21" customHeight="1" thickTop="1" thickBot="1" x14ac:dyDescent="0.35">
      <c r="A337" s="63"/>
      <c r="B337" s="66"/>
      <c r="C337" s="53">
        <v>4</v>
      </c>
      <c r="D337" s="45">
        <v>304.70999999999992</v>
      </c>
      <c r="E337" s="45"/>
      <c r="F337" s="45"/>
      <c r="G337" s="45"/>
      <c r="H337" s="45"/>
      <c r="I337" s="45"/>
      <c r="J337" s="51"/>
      <c r="K337" s="53">
        <v>4</v>
      </c>
      <c r="L337" s="45">
        <v>305.14999999999998</v>
      </c>
      <c r="M337" s="45"/>
      <c r="N337" s="45"/>
      <c r="O337" s="45"/>
      <c r="P337" s="45"/>
      <c r="Q337" s="45"/>
      <c r="R337" s="51"/>
      <c r="S337" s="53">
        <v>4</v>
      </c>
      <c r="T337" s="45">
        <v>305.53999999999991</v>
      </c>
      <c r="U337" s="45"/>
      <c r="V337" s="45"/>
      <c r="W337" s="45"/>
      <c r="X337" s="45"/>
      <c r="Y337" s="45"/>
      <c r="Z337" s="51"/>
      <c r="AA337" s="53">
        <v>4</v>
      </c>
      <c r="AB337" s="45">
        <v>305.77999999999992</v>
      </c>
      <c r="AC337" s="45"/>
      <c r="AD337" s="45"/>
      <c r="AE337" s="45"/>
      <c r="AF337" s="45"/>
      <c r="AG337" s="45"/>
      <c r="AH337" s="51"/>
      <c r="AI337" s="53">
        <v>4</v>
      </c>
      <c r="AJ337" s="45">
        <v>304.01999999999992</v>
      </c>
      <c r="AK337" s="45"/>
      <c r="AL337" s="45"/>
      <c r="AM337" s="45"/>
      <c r="AN337" s="45"/>
      <c r="AO337" s="45"/>
      <c r="AP337" s="51"/>
    </row>
    <row r="338" spans="1:42" ht="21" customHeight="1" thickTop="1" thickBot="1" x14ac:dyDescent="0.35">
      <c r="A338" s="63"/>
      <c r="B338" s="66"/>
      <c r="C338" s="53">
        <v>5</v>
      </c>
      <c r="D338" s="45">
        <v>303.61999999999989</v>
      </c>
      <c r="E338" s="45"/>
      <c r="F338" s="45"/>
      <c r="G338" s="45"/>
      <c r="H338" s="45"/>
      <c r="I338" s="45"/>
      <c r="J338" s="51"/>
      <c r="K338" s="53">
        <v>5</v>
      </c>
      <c r="L338" s="45">
        <v>305.08</v>
      </c>
      <c r="M338" s="45"/>
      <c r="N338" s="45"/>
      <c r="O338" s="45"/>
      <c r="P338" s="45"/>
      <c r="Q338" s="45"/>
      <c r="R338" s="51"/>
      <c r="S338" s="53">
        <v>5</v>
      </c>
      <c r="T338" s="45">
        <v>304.69</v>
      </c>
      <c r="U338" s="45"/>
      <c r="V338" s="45"/>
      <c r="W338" s="45"/>
      <c r="X338" s="45"/>
      <c r="Y338" s="45"/>
      <c r="Z338" s="51"/>
      <c r="AA338" s="53">
        <v>5</v>
      </c>
      <c r="AB338" s="45">
        <v>306.00999999999988</v>
      </c>
      <c r="AC338" s="45"/>
      <c r="AD338" s="45"/>
      <c r="AE338" s="45"/>
      <c r="AF338" s="45"/>
      <c r="AG338" s="45"/>
      <c r="AH338" s="51"/>
      <c r="AI338" s="53">
        <v>5</v>
      </c>
      <c r="AJ338" s="45">
        <v>304.36999999999989</v>
      </c>
      <c r="AK338" s="45"/>
      <c r="AL338" s="45"/>
      <c r="AM338" s="45"/>
      <c r="AN338" s="45"/>
      <c r="AO338" s="45"/>
      <c r="AP338" s="51"/>
    </row>
    <row r="339" spans="1:42" ht="21" customHeight="1" thickTop="1" thickBot="1" x14ac:dyDescent="0.35">
      <c r="A339" s="63"/>
      <c r="B339" s="66"/>
      <c r="C339" s="53">
        <v>6</v>
      </c>
      <c r="D339" s="45">
        <v>305.30999999999989</v>
      </c>
      <c r="E339" s="45"/>
      <c r="F339" s="45"/>
      <c r="G339" s="45"/>
      <c r="H339" s="45"/>
      <c r="I339" s="45"/>
      <c r="J339" s="51"/>
      <c r="K339" s="53">
        <v>6</v>
      </c>
      <c r="L339" s="45">
        <v>305.60000000000002</v>
      </c>
      <c r="M339" s="45"/>
      <c r="N339" s="45"/>
      <c r="O339" s="45"/>
      <c r="P339" s="45"/>
      <c r="Q339" s="45"/>
      <c r="R339" s="51"/>
      <c r="S339" s="53">
        <v>6</v>
      </c>
      <c r="T339" s="45">
        <v>308.02999999999997</v>
      </c>
      <c r="U339" s="45"/>
      <c r="V339" s="45"/>
      <c r="W339" s="45"/>
      <c r="X339" s="45"/>
      <c r="Y339" s="45"/>
      <c r="Z339" s="51"/>
      <c r="AA339" s="53">
        <v>6</v>
      </c>
      <c r="AB339" s="45">
        <v>305.33</v>
      </c>
      <c r="AC339" s="45"/>
      <c r="AD339" s="45"/>
      <c r="AE339" s="45"/>
      <c r="AF339" s="45"/>
      <c r="AG339" s="45"/>
      <c r="AH339" s="51"/>
      <c r="AI339" s="53">
        <v>6</v>
      </c>
      <c r="AJ339" s="45">
        <v>304.91000000000003</v>
      </c>
      <c r="AK339" s="45"/>
      <c r="AL339" s="45"/>
      <c r="AM339" s="45"/>
      <c r="AN339" s="45"/>
      <c r="AO339" s="45"/>
      <c r="AP339" s="51"/>
    </row>
    <row r="340" spans="1:42" ht="21" customHeight="1" thickTop="1" thickBot="1" x14ac:dyDescent="0.35">
      <c r="A340" s="63"/>
      <c r="B340" s="66"/>
      <c r="C340" s="53">
        <v>7</v>
      </c>
      <c r="D340" s="45">
        <v>303.3</v>
      </c>
      <c r="E340" s="45"/>
      <c r="F340" s="45"/>
      <c r="G340" s="45"/>
      <c r="H340" s="45"/>
      <c r="I340" s="45"/>
      <c r="J340" s="51"/>
      <c r="K340" s="53">
        <v>7</v>
      </c>
      <c r="L340" s="45">
        <v>305.04000000000002</v>
      </c>
      <c r="M340" s="45"/>
      <c r="N340" s="45"/>
      <c r="O340" s="45"/>
      <c r="P340" s="45"/>
      <c r="Q340" s="45"/>
      <c r="R340" s="51"/>
      <c r="S340" s="53">
        <v>7</v>
      </c>
      <c r="T340" s="45">
        <v>306.77</v>
      </c>
      <c r="U340" s="45"/>
      <c r="V340" s="45"/>
      <c r="W340" s="45"/>
      <c r="X340" s="45"/>
      <c r="Y340" s="45"/>
      <c r="Z340" s="51"/>
      <c r="AA340" s="53">
        <v>7</v>
      </c>
      <c r="AB340" s="45">
        <v>304.43999999999988</v>
      </c>
      <c r="AC340" s="45"/>
      <c r="AD340" s="45"/>
      <c r="AE340" s="45"/>
      <c r="AF340" s="45"/>
      <c r="AG340" s="45"/>
      <c r="AH340" s="51"/>
      <c r="AI340" s="53">
        <v>7</v>
      </c>
      <c r="AJ340" s="45">
        <v>305.2299999999999</v>
      </c>
      <c r="AK340" s="45"/>
      <c r="AL340" s="45"/>
      <c r="AM340" s="45"/>
      <c r="AN340" s="45"/>
      <c r="AO340" s="45"/>
      <c r="AP340" s="51"/>
    </row>
    <row r="341" spans="1:42" ht="21" customHeight="1" thickTop="1" thickBot="1" x14ac:dyDescent="0.35">
      <c r="A341" s="63"/>
      <c r="B341" s="66"/>
      <c r="C341" s="53">
        <v>8</v>
      </c>
      <c r="D341" s="45">
        <v>304.89999999999998</v>
      </c>
      <c r="E341" s="45"/>
      <c r="F341" s="45"/>
      <c r="G341" s="45"/>
      <c r="H341" s="45"/>
      <c r="I341" s="45"/>
      <c r="J341" s="51"/>
      <c r="K341" s="53">
        <v>8</v>
      </c>
      <c r="L341" s="45">
        <v>305.28999999999991</v>
      </c>
      <c r="M341" s="45"/>
      <c r="N341" s="45"/>
      <c r="O341" s="45"/>
      <c r="P341" s="45"/>
      <c r="Q341" s="45"/>
      <c r="R341" s="51"/>
      <c r="S341" s="53">
        <v>8</v>
      </c>
      <c r="T341" s="45">
        <v>307.36999999999989</v>
      </c>
      <c r="U341" s="45"/>
      <c r="V341" s="45"/>
      <c r="W341" s="45"/>
      <c r="X341" s="45"/>
      <c r="Y341" s="45"/>
      <c r="Z341" s="51"/>
      <c r="AA341" s="53">
        <v>8</v>
      </c>
      <c r="AB341" s="45">
        <v>304.76999999999992</v>
      </c>
      <c r="AC341" s="45"/>
      <c r="AD341" s="45"/>
      <c r="AE341" s="45"/>
      <c r="AF341" s="45"/>
      <c r="AG341" s="45"/>
      <c r="AH341" s="51"/>
      <c r="AI341" s="53">
        <v>8</v>
      </c>
      <c r="AJ341" s="45">
        <v>304.36999999999989</v>
      </c>
      <c r="AK341" s="45"/>
      <c r="AL341" s="45"/>
      <c r="AM341" s="45"/>
      <c r="AN341" s="45"/>
      <c r="AO341" s="45"/>
      <c r="AP341" s="51"/>
    </row>
    <row r="342" spans="1:42" ht="21" customHeight="1" thickTop="1" thickBot="1" x14ac:dyDescent="0.35">
      <c r="A342" s="63"/>
      <c r="B342" s="66"/>
      <c r="C342" s="53">
        <v>9</v>
      </c>
      <c r="D342" s="45">
        <v>304.83</v>
      </c>
      <c r="E342" s="45"/>
      <c r="F342" s="45"/>
      <c r="G342" s="45"/>
      <c r="H342" s="45"/>
      <c r="I342" s="45"/>
      <c r="J342" s="51"/>
      <c r="K342" s="53">
        <v>9</v>
      </c>
      <c r="L342" s="45">
        <v>305.57</v>
      </c>
      <c r="M342" s="45"/>
      <c r="N342" s="45"/>
      <c r="O342" s="45"/>
      <c r="P342" s="45"/>
      <c r="Q342" s="45"/>
      <c r="R342" s="51"/>
      <c r="S342" s="53">
        <v>9</v>
      </c>
      <c r="T342" s="45">
        <v>305.44999999999987</v>
      </c>
      <c r="U342" s="45"/>
      <c r="V342" s="45"/>
      <c r="W342" s="45"/>
      <c r="X342" s="45"/>
      <c r="Y342" s="45"/>
      <c r="Z342" s="51"/>
      <c r="AA342" s="53">
        <v>9</v>
      </c>
      <c r="AB342" s="45">
        <v>304.67999999999989</v>
      </c>
      <c r="AC342" s="45"/>
      <c r="AD342" s="45"/>
      <c r="AE342" s="45"/>
      <c r="AF342" s="45"/>
      <c r="AG342" s="45"/>
      <c r="AH342" s="51"/>
      <c r="AI342" s="53">
        <v>9</v>
      </c>
      <c r="AJ342" s="45">
        <v>304.91000000000003</v>
      </c>
      <c r="AK342" s="45"/>
      <c r="AL342" s="45"/>
      <c r="AM342" s="45"/>
      <c r="AN342" s="45"/>
      <c r="AO342" s="45"/>
      <c r="AP342" s="51"/>
    </row>
    <row r="343" spans="1:42" ht="21" customHeight="1" thickTop="1" thickBot="1" x14ac:dyDescent="0.35">
      <c r="A343" s="63"/>
      <c r="B343" s="66"/>
      <c r="C343" s="53">
        <v>10</v>
      </c>
      <c r="D343" s="45">
        <v>304.14999999999998</v>
      </c>
      <c r="E343" s="45"/>
      <c r="F343" s="45"/>
      <c r="G343" s="45"/>
      <c r="H343" s="45"/>
      <c r="I343" s="45"/>
      <c r="J343" s="51"/>
      <c r="K343" s="53">
        <v>10</v>
      </c>
      <c r="L343" s="45">
        <v>305.39999999999998</v>
      </c>
      <c r="M343" s="45"/>
      <c r="N343" s="45"/>
      <c r="O343" s="45"/>
      <c r="P343" s="45"/>
      <c r="Q343" s="45"/>
      <c r="R343" s="51"/>
      <c r="S343" s="53">
        <v>10</v>
      </c>
      <c r="T343" s="45">
        <v>305.2399999999999</v>
      </c>
      <c r="U343" s="45"/>
      <c r="V343" s="45"/>
      <c r="W343" s="45"/>
      <c r="X343" s="45"/>
      <c r="Y343" s="45"/>
      <c r="Z343" s="51"/>
      <c r="AA343" s="53">
        <v>10</v>
      </c>
      <c r="AB343" s="45">
        <v>306.08999999999997</v>
      </c>
      <c r="AC343" s="45"/>
      <c r="AD343" s="45"/>
      <c r="AE343" s="45"/>
      <c r="AF343" s="45"/>
      <c r="AG343" s="45"/>
      <c r="AH343" s="51"/>
      <c r="AI343" s="53">
        <v>10</v>
      </c>
      <c r="AJ343" s="45">
        <v>304.91000000000003</v>
      </c>
      <c r="AK343" s="45"/>
      <c r="AL343" s="45"/>
      <c r="AM343" s="45"/>
      <c r="AN343" s="45"/>
      <c r="AO343" s="45"/>
      <c r="AP343" s="51"/>
    </row>
    <row r="344" spans="1:42" ht="21" customHeight="1" thickTop="1" thickBot="1" x14ac:dyDescent="0.35">
      <c r="A344" s="63"/>
      <c r="B344" s="66"/>
      <c r="C344" s="53"/>
      <c r="D344" s="45"/>
      <c r="E344" s="45"/>
      <c r="F344" s="45"/>
      <c r="G344" s="45"/>
      <c r="H344" s="45"/>
      <c r="I344" s="45"/>
      <c r="J344" s="51"/>
      <c r="K344" s="53"/>
      <c r="L344" s="45"/>
      <c r="M344" s="45"/>
      <c r="N344" s="45"/>
      <c r="O344" s="45"/>
      <c r="P344" s="45"/>
      <c r="Q344" s="45"/>
      <c r="R344" s="51"/>
      <c r="S344" s="53"/>
      <c r="T344" s="45"/>
      <c r="U344" s="45"/>
      <c r="V344" s="45"/>
      <c r="W344" s="45"/>
      <c r="X344" s="45"/>
      <c r="Y344" s="45"/>
      <c r="Z344" s="51"/>
      <c r="AA344" s="53"/>
      <c r="AB344" s="45"/>
      <c r="AC344" s="45"/>
      <c r="AD344" s="45"/>
      <c r="AE344" s="45"/>
      <c r="AF344" s="45"/>
      <c r="AG344" s="45"/>
      <c r="AH344" s="51"/>
      <c r="AI344" s="53"/>
      <c r="AJ344" s="45"/>
      <c r="AK344" s="45"/>
      <c r="AL344" s="45"/>
      <c r="AM344" s="45"/>
      <c r="AN344" s="45"/>
      <c r="AO344" s="45"/>
      <c r="AP344" s="51"/>
    </row>
    <row r="345" spans="1:42" ht="21" customHeight="1" thickTop="1" thickBot="1" x14ac:dyDescent="0.35">
      <c r="A345" s="63"/>
      <c r="B345" s="66"/>
      <c r="C345" s="54" t="s">
        <v>16</v>
      </c>
      <c r="D345" s="49">
        <f>MIN(D334:D343)</f>
        <v>303.3</v>
      </c>
      <c r="E345" s="45"/>
      <c r="F345" s="55" t="s">
        <v>17</v>
      </c>
      <c r="G345" s="49" t="s">
        <v>18</v>
      </c>
      <c r="H345" s="49" t="s">
        <v>19</v>
      </c>
      <c r="I345" s="45"/>
      <c r="J345" s="51"/>
      <c r="K345" s="54" t="s">
        <v>16</v>
      </c>
      <c r="L345" s="49">
        <f>MIN(L334:L343)</f>
        <v>304.92</v>
      </c>
      <c r="M345" s="45"/>
      <c r="N345" s="55" t="s">
        <v>17</v>
      </c>
      <c r="O345" s="49" t="s">
        <v>18</v>
      </c>
      <c r="P345" s="49" t="s">
        <v>19</v>
      </c>
      <c r="Q345" s="45"/>
      <c r="R345" s="51"/>
      <c r="S345" s="54" t="s">
        <v>16</v>
      </c>
      <c r="T345" s="49">
        <f>MIN(T334:T343)</f>
        <v>304.60000000000002</v>
      </c>
      <c r="U345" s="45"/>
      <c r="V345" s="55" t="s">
        <v>17</v>
      </c>
      <c r="W345" s="49" t="s">
        <v>18</v>
      </c>
      <c r="X345" s="49" t="s">
        <v>19</v>
      </c>
      <c r="Y345" s="45"/>
      <c r="Z345" s="51"/>
      <c r="AA345" s="54" t="s">
        <v>16</v>
      </c>
      <c r="AB345" s="49">
        <f>MIN(AB334:AB343)</f>
        <v>304.43999999999988</v>
      </c>
      <c r="AC345" s="45"/>
      <c r="AD345" s="55" t="s">
        <v>17</v>
      </c>
      <c r="AE345" s="49" t="s">
        <v>18</v>
      </c>
      <c r="AF345" s="49" t="s">
        <v>19</v>
      </c>
      <c r="AG345" s="45"/>
      <c r="AH345" s="51"/>
      <c r="AI345" s="54" t="s">
        <v>16</v>
      </c>
      <c r="AJ345" s="49">
        <f>MIN(AJ334:AJ343)</f>
        <v>304.01999999999992</v>
      </c>
      <c r="AK345" s="45"/>
      <c r="AL345" s="55" t="s">
        <v>17</v>
      </c>
      <c r="AM345" s="49" t="s">
        <v>18</v>
      </c>
      <c r="AN345" s="49" t="s">
        <v>19</v>
      </c>
      <c r="AO345" s="45"/>
      <c r="AP345" s="51"/>
    </row>
    <row r="346" spans="1:42" ht="21" customHeight="1" thickTop="1" thickBot="1" x14ac:dyDescent="0.35">
      <c r="A346" s="63"/>
      <c r="B346" s="66"/>
      <c r="C346" s="54" t="s">
        <v>20</v>
      </c>
      <c r="D346" s="48">
        <f>AVERAGE(D334:D343)</f>
        <v>304.38099999999997</v>
      </c>
      <c r="E346" s="47"/>
      <c r="F346" s="48">
        <f>_xlfn.STDEV.S(D334:D343) / AVERAGE(D334:D343) * 100%</f>
        <v>2.2639285382958659E-3</v>
      </c>
      <c r="G346" s="48">
        <f t="array" ref="G346">MIN((D334:D343 - MIN(D334:D343,L334:L343,T334:T343,AB334:AB343,AJ334:AJ343))/MIN(D334:D343,L334:L343,T334:T343,AB334:AB343,AJ334:AJ343)*100%)</f>
        <v>0</v>
      </c>
      <c r="H346" s="48">
        <f t="array" ref="H346">AVERAGE((D334:D343 - MIN(D334:D343,L334:L343,T334:T343,AB334:AB343,AJ334:AJ343))/MIN(D334:D343,L334:L343,T334:T343,AB334:AB343,AJ334:AJ343)*100%)</f>
        <v>3.5641279261454687E-3</v>
      </c>
      <c r="I346" s="45"/>
      <c r="J346" s="51"/>
      <c r="K346" s="54" t="s">
        <v>20</v>
      </c>
      <c r="L346" s="48">
        <f>AVERAGE(L334:L343)</f>
        <v>305.27800000000002</v>
      </c>
      <c r="M346" s="47"/>
      <c r="N346" s="48">
        <f>_xlfn.STDEV.S(L334:L343) / AVERAGE(L334:L343) * 100%</f>
        <v>7.5171649978572153E-4</v>
      </c>
      <c r="O346" s="48">
        <f t="array" ref="O346">MIN((L334:L343 - MIN(D334:D343,L334:L343,T334:T343,AB334:AB343,AJ334:AJ343))/MIN(D334:D343,L334:L343,T334:T343,AB334:AB343,AJ334:AJ343)*100%)</f>
        <v>5.3412462908012017E-3</v>
      </c>
      <c r="P346" s="48">
        <f t="array" ref="P346">AVERAGE((L334:L343 - MIN(D334:D343,L334:L343,T334:T343,AB334:AB343,AJ334:AJ343))/MIN(D334:D343,L334:L343,T334:T343,AB334:AB343,AJ334:AJ343)*100%)</f>
        <v>6.5215957797559315E-3</v>
      </c>
      <c r="Q346" s="44"/>
      <c r="R346" s="51"/>
      <c r="S346" s="54" t="s">
        <v>20</v>
      </c>
      <c r="T346" s="48">
        <f>AVERAGE(T334:T343)</f>
        <v>305.75599999999997</v>
      </c>
      <c r="U346" s="47"/>
      <c r="V346" s="48">
        <f>_xlfn.STDEV.S(T334:T343) / AVERAGE(T334:T343) * 100%</f>
        <v>3.9447609233443353E-3</v>
      </c>
      <c r="W346" s="48">
        <f t="array" ref="W346">MIN((T334:T343 - MIN(D334:D343,L334:L343,T334:T343,AB334:AB343,AJ334:AJ343))/MIN(D334:D343,L334:L343,T334:T343,AB334:AB343,AJ334:AJ343)*100%)</f>
        <v>4.2861852950874099E-3</v>
      </c>
      <c r="X346" s="48">
        <f t="array" ref="X346">AVERAGE((T334:T343 - MIN(D334:D343,L334:L343,T334:T343,AB334:AB343,AJ334:AJ343))/MIN(D334:D343,L334:L343,T334:T343,AB334:AB343,AJ334:AJ343)*100%)</f>
        <v>8.0975931421032668E-3</v>
      </c>
      <c r="Y346" s="44"/>
      <c r="Z346" s="51"/>
      <c r="AA346" s="54" t="s">
        <v>20</v>
      </c>
      <c r="AB346" s="48">
        <f>AVERAGE(AB334:AB343)</f>
        <v>305.17699999999996</v>
      </c>
      <c r="AC346" s="47"/>
      <c r="AD346" s="48">
        <f>_xlfn.STDEV.S(AB334:AB343) / AVERAGE(AB334:AB343) * 100%</f>
        <v>2.0083404153955092E-3</v>
      </c>
      <c r="AE346" s="48">
        <f t="array" ref="AE346">MIN((AB334:AB343 - MIN(D334:D343,L334:L343,T334:T343,AB334:AB343,AJ334:AJ343))/MIN(D334:D343,L334:L343,T334:T343,AB334:AB343,AJ334:AJ343)*100%)</f>
        <v>3.7586547972300447E-3</v>
      </c>
      <c r="AF346" s="48">
        <f t="array" ref="AF346">AVERAGE((AB334:AB343 - MIN(D334:D343,L334:L343,T334:T343,AB334:AB343,AJ334:AJ343))/MIN(D334:D343,L334:L343,T334:T343,AB334:AB343,AJ334:AJ343)*100%)</f>
        <v>6.188592152983557E-3</v>
      </c>
      <c r="AG346" s="44"/>
      <c r="AH346" s="51"/>
      <c r="AI346" s="54" t="s">
        <v>20</v>
      </c>
      <c r="AJ346" s="48">
        <f>AVERAGE(AJ334:AJ343)</f>
        <v>304.76499999999999</v>
      </c>
      <c r="AK346" s="47"/>
      <c r="AL346" s="48">
        <f>_xlfn.STDEV.S(AJ334:AJ343) / AVERAGE(AJ334:AJ343) * 100%</f>
        <v>1.2506223909356789E-3</v>
      </c>
      <c r="AM346" s="48">
        <f t="array" ref="AM346">MIN((AJ334:AJ343 - MIN(D334:D343,L334:L343,T334:T343,AB334:AB343,AJ334:AJ343))/MIN(D334:D343,L334:L343,T334:T343,AB334:AB343,AJ334:AJ343)*100%)</f>
        <v>2.3738872403557981E-3</v>
      </c>
      <c r="AN346" s="48">
        <f t="array" ref="AN346">AVERAGE((AJ334:AJ343 - MIN(D334:D343,L334:L343,T334:T343,AB334:AB343,AJ334:AJ343))/MIN(D334:D343,L334:L343,T334:T343,AB334:AB343,AJ334:AJ343)*100%)</f>
        <v>4.8302011210021884E-3</v>
      </c>
      <c r="AO346" s="44"/>
      <c r="AP346" s="51"/>
    </row>
    <row r="347" spans="1:42" ht="21" customHeight="1" thickTop="1" thickBot="1" x14ac:dyDescent="0.35">
      <c r="A347" s="63"/>
      <c r="B347" s="67"/>
      <c r="C347" s="53"/>
      <c r="D347" s="44"/>
      <c r="E347" s="44"/>
      <c r="F347" s="44"/>
      <c r="G347" s="44"/>
      <c r="H347" s="44"/>
      <c r="I347" s="44"/>
      <c r="J347" s="51"/>
      <c r="K347" s="53"/>
      <c r="L347" s="44"/>
      <c r="M347" s="44"/>
      <c r="N347" s="44"/>
      <c r="O347" s="44"/>
      <c r="P347" s="44"/>
      <c r="Q347" s="44"/>
      <c r="R347" s="51"/>
      <c r="S347" s="53"/>
      <c r="T347" s="44"/>
      <c r="U347" s="44"/>
      <c r="V347" s="44"/>
      <c r="W347" s="44"/>
      <c r="X347" s="44"/>
      <c r="Y347" s="44"/>
      <c r="Z347" s="51"/>
      <c r="AA347" s="53"/>
      <c r="AB347" s="44"/>
      <c r="AC347" s="44"/>
      <c r="AD347" s="44"/>
      <c r="AE347" s="44"/>
      <c r="AF347" s="44"/>
      <c r="AG347" s="44"/>
      <c r="AH347" s="51"/>
      <c r="AI347" s="53"/>
      <c r="AJ347" s="44"/>
      <c r="AK347" s="44"/>
      <c r="AL347" s="44"/>
      <c r="AM347" s="44"/>
      <c r="AN347" s="44"/>
      <c r="AO347" s="44"/>
      <c r="AP347" s="51"/>
    </row>
    <row r="348" spans="1:42" ht="21" customHeight="1" thickTop="1" thickBot="1" x14ac:dyDescent="0.35">
      <c r="A348" s="63"/>
      <c r="B348" s="65" t="s">
        <v>89</v>
      </c>
      <c r="C348" s="59" t="s">
        <v>8</v>
      </c>
      <c r="D348" s="46" t="s">
        <v>9</v>
      </c>
      <c r="E348" s="46" t="s">
        <v>10</v>
      </c>
      <c r="F348" s="46" t="s">
        <v>11</v>
      </c>
      <c r="G348" s="46" t="s">
        <v>12</v>
      </c>
      <c r="H348" s="46" t="s">
        <v>13</v>
      </c>
      <c r="I348" s="46" t="s">
        <v>14</v>
      </c>
      <c r="J348" s="60" t="s">
        <v>15</v>
      </c>
      <c r="K348" s="59" t="s">
        <v>8</v>
      </c>
      <c r="L348" s="46" t="s">
        <v>9</v>
      </c>
      <c r="M348" s="46" t="s">
        <v>10</v>
      </c>
      <c r="N348" s="46" t="s">
        <v>11</v>
      </c>
      <c r="O348" s="46" t="s">
        <v>12</v>
      </c>
      <c r="P348" s="46" t="s">
        <v>13</v>
      </c>
      <c r="Q348" s="46" t="s">
        <v>14</v>
      </c>
      <c r="R348" s="60" t="s">
        <v>15</v>
      </c>
      <c r="S348" s="59" t="s">
        <v>8</v>
      </c>
      <c r="T348" s="46" t="s">
        <v>9</v>
      </c>
      <c r="U348" s="46" t="s">
        <v>10</v>
      </c>
      <c r="V348" s="46" t="s">
        <v>11</v>
      </c>
      <c r="W348" s="46" t="s">
        <v>12</v>
      </c>
      <c r="X348" s="46" t="s">
        <v>13</v>
      </c>
      <c r="Y348" s="46" t="s">
        <v>14</v>
      </c>
      <c r="Z348" s="60" t="s">
        <v>15</v>
      </c>
      <c r="AA348" s="59" t="s">
        <v>8</v>
      </c>
      <c r="AB348" s="46" t="s">
        <v>9</v>
      </c>
      <c r="AC348" s="46" t="s">
        <v>10</v>
      </c>
      <c r="AD348" s="46" t="s">
        <v>11</v>
      </c>
      <c r="AE348" s="46" t="s">
        <v>12</v>
      </c>
      <c r="AF348" s="46" t="s">
        <v>13</v>
      </c>
      <c r="AG348" s="46" t="s">
        <v>14</v>
      </c>
      <c r="AH348" s="60" t="s">
        <v>15</v>
      </c>
      <c r="AI348" s="59" t="s">
        <v>8</v>
      </c>
      <c r="AJ348" s="46" t="s">
        <v>9</v>
      </c>
      <c r="AK348" s="46" t="s">
        <v>10</v>
      </c>
      <c r="AL348" s="46" t="s">
        <v>11</v>
      </c>
      <c r="AM348" s="46" t="s">
        <v>12</v>
      </c>
      <c r="AN348" s="46" t="s">
        <v>13</v>
      </c>
      <c r="AO348" s="46" t="s">
        <v>14</v>
      </c>
      <c r="AP348" s="60" t="s">
        <v>15</v>
      </c>
    </row>
    <row r="349" spans="1:42" ht="21" customHeight="1" thickTop="1" thickBot="1" x14ac:dyDescent="0.35">
      <c r="A349" s="63"/>
      <c r="B349" s="66"/>
      <c r="C349" s="52">
        <v>1</v>
      </c>
      <c r="D349" s="44">
        <v>334.52999999999992</v>
      </c>
      <c r="E349" s="44"/>
      <c r="F349" s="44"/>
      <c r="G349" s="44"/>
      <c r="H349" s="44"/>
      <c r="I349" s="44"/>
      <c r="J349" s="51"/>
      <c r="K349" s="52">
        <v>1</v>
      </c>
      <c r="L349" s="44">
        <v>335.65</v>
      </c>
      <c r="M349" s="44"/>
      <c r="N349" s="44"/>
      <c r="O349" s="44"/>
      <c r="P349" s="44"/>
      <c r="Q349" s="44"/>
      <c r="R349" s="51"/>
      <c r="S349" s="52">
        <v>1</v>
      </c>
      <c r="T349" s="44">
        <v>335.69999999999987</v>
      </c>
      <c r="U349" s="44"/>
      <c r="V349" s="44"/>
      <c r="W349" s="44"/>
      <c r="X349" s="44"/>
      <c r="Y349" s="44"/>
      <c r="Z349" s="51"/>
      <c r="AA349" s="52">
        <v>1</v>
      </c>
      <c r="AB349" s="44">
        <v>336.15999999999991</v>
      </c>
      <c r="AC349" s="44"/>
      <c r="AD349" s="44"/>
      <c r="AE349" s="44"/>
      <c r="AF349" s="44"/>
      <c r="AG349" s="44"/>
      <c r="AH349" s="51"/>
      <c r="AI349" s="52">
        <v>1</v>
      </c>
      <c r="AJ349" s="44">
        <v>333.62999999999988</v>
      </c>
      <c r="AK349" s="44"/>
      <c r="AL349" s="44"/>
      <c r="AM349" s="44"/>
      <c r="AN349" s="44"/>
      <c r="AO349" s="44"/>
      <c r="AP349" s="51"/>
    </row>
    <row r="350" spans="1:42" ht="21" customHeight="1" thickTop="1" thickBot="1" x14ac:dyDescent="0.35">
      <c r="A350" s="63"/>
      <c r="B350" s="66"/>
      <c r="C350" s="53">
        <v>2</v>
      </c>
      <c r="D350" s="45">
        <v>334.65999999999991</v>
      </c>
      <c r="E350" s="45"/>
      <c r="F350" s="45"/>
      <c r="G350" s="45"/>
      <c r="H350" s="45"/>
      <c r="I350" s="45"/>
      <c r="J350" s="51"/>
      <c r="K350" s="53">
        <v>2</v>
      </c>
      <c r="L350" s="45">
        <v>334.90999999999991</v>
      </c>
      <c r="M350" s="45"/>
      <c r="N350" s="45"/>
      <c r="O350" s="45"/>
      <c r="P350" s="45"/>
      <c r="Q350" s="45"/>
      <c r="R350" s="51"/>
      <c r="S350" s="53">
        <v>2</v>
      </c>
      <c r="T350" s="45">
        <v>334.02999999999992</v>
      </c>
      <c r="U350" s="45"/>
      <c r="V350" s="45"/>
      <c r="W350" s="45"/>
      <c r="X350" s="45"/>
      <c r="Y350" s="45"/>
      <c r="Z350" s="51"/>
      <c r="AA350" s="53">
        <v>2</v>
      </c>
      <c r="AB350" s="45">
        <v>334.32999999999993</v>
      </c>
      <c r="AC350" s="45"/>
      <c r="AD350" s="45"/>
      <c r="AE350" s="45"/>
      <c r="AF350" s="45"/>
      <c r="AG350" s="45"/>
      <c r="AH350" s="51"/>
      <c r="AI350" s="53">
        <v>2</v>
      </c>
      <c r="AJ350" s="45">
        <v>334.08999999999992</v>
      </c>
      <c r="AK350" s="45"/>
      <c r="AL350" s="45"/>
      <c r="AM350" s="45"/>
      <c r="AN350" s="45"/>
      <c r="AO350" s="45"/>
      <c r="AP350" s="51"/>
    </row>
    <row r="351" spans="1:42" ht="21" customHeight="1" thickTop="1" thickBot="1" x14ac:dyDescent="0.35">
      <c r="A351" s="63"/>
      <c r="B351" s="66"/>
      <c r="C351" s="53">
        <v>3</v>
      </c>
      <c r="D351" s="45">
        <v>334.24</v>
      </c>
      <c r="E351" s="45"/>
      <c r="F351" s="45"/>
      <c r="G351" s="44"/>
      <c r="H351" s="44"/>
      <c r="I351" s="44"/>
      <c r="J351" s="51"/>
      <c r="K351" s="53">
        <v>3</v>
      </c>
      <c r="L351" s="45">
        <v>334.82</v>
      </c>
      <c r="M351" s="45"/>
      <c r="N351" s="45"/>
      <c r="O351" s="44"/>
      <c r="P351" s="44"/>
      <c r="Q351" s="44"/>
      <c r="R351" s="51"/>
      <c r="S351" s="53">
        <v>3</v>
      </c>
      <c r="T351" s="45">
        <v>335.01999999999992</v>
      </c>
      <c r="U351" s="45"/>
      <c r="V351" s="45"/>
      <c r="W351" s="44"/>
      <c r="X351" s="44"/>
      <c r="Y351" s="44"/>
      <c r="Z351" s="51"/>
      <c r="AA351" s="53">
        <v>3</v>
      </c>
      <c r="AB351" s="45">
        <v>334.65999999999991</v>
      </c>
      <c r="AC351" s="45"/>
      <c r="AD351" s="45"/>
      <c r="AE351" s="44"/>
      <c r="AF351" s="44"/>
      <c r="AG351" s="44"/>
      <c r="AH351" s="51"/>
      <c r="AI351" s="53">
        <v>3</v>
      </c>
      <c r="AJ351" s="45">
        <v>333.24</v>
      </c>
      <c r="AK351" s="45"/>
      <c r="AL351" s="45"/>
      <c r="AM351" s="44"/>
      <c r="AN351" s="44"/>
      <c r="AO351" s="44"/>
      <c r="AP351" s="51"/>
    </row>
    <row r="352" spans="1:42" ht="21" customHeight="1" thickTop="1" thickBot="1" x14ac:dyDescent="0.35">
      <c r="A352" s="63"/>
      <c r="B352" s="66"/>
      <c r="C352" s="53">
        <v>4</v>
      </c>
      <c r="D352" s="45">
        <v>333.61999999999989</v>
      </c>
      <c r="E352" s="45"/>
      <c r="F352" s="45"/>
      <c r="G352" s="45"/>
      <c r="H352" s="45"/>
      <c r="I352" s="45"/>
      <c r="J352" s="51"/>
      <c r="K352" s="53">
        <v>4</v>
      </c>
      <c r="L352" s="45">
        <v>334.7399999999999</v>
      </c>
      <c r="M352" s="45"/>
      <c r="N352" s="45"/>
      <c r="O352" s="45"/>
      <c r="P352" s="45"/>
      <c r="Q352" s="45"/>
      <c r="R352" s="51"/>
      <c r="S352" s="53">
        <v>4</v>
      </c>
      <c r="T352" s="45">
        <v>333.50999999999988</v>
      </c>
      <c r="U352" s="45"/>
      <c r="V352" s="45"/>
      <c r="W352" s="45"/>
      <c r="X352" s="45"/>
      <c r="Y352" s="45"/>
      <c r="Z352" s="51"/>
      <c r="AA352" s="53">
        <v>4</v>
      </c>
      <c r="AB352" s="45">
        <v>334.37999999999988</v>
      </c>
      <c r="AC352" s="45"/>
      <c r="AD352" s="45"/>
      <c r="AE352" s="45"/>
      <c r="AF352" s="45"/>
      <c r="AG352" s="45"/>
      <c r="AH352" s="51"/>
      <c r="AI352" s="53">
        <v>4</v>
      </c>
      <c r="AJ352" s="45">
        <v>333.42999999999989</v>
      </c>
      <c r="AK352" s="45"/>
      <c r="AL352" s="45"/>
      <c r="AM352" s="45"/>
      <c r="AN352" s="45"/>
      <c r="AO352" s="45"/>
      <c r="AP352" s="51"/>
    </row>
    <row r="353" spans="1:42" ht="21" customHeight="1" thickTop="1" thickBot="1" x14ac:dyDescent="0.35">
      <c r="A353" s="63"/>
      <c r="B353" s="66"/>
      <c r="C353" s="53">
        <v>5</v>
      </c>
      <c r="D353" s="45">
        <v>334.70999999999992</v>
      </c>
      <c r="E353" s="45"/>
      <c r="F353" s="45"/>
      <c r="G353" s="45"/>
      <c r="H353" s="45"/>
      <c r="I353" s="45"/>
      <c r="J353" s="51"/>
      <c r="K353" s="53">
        <v>5</v>
      </c>
      <c r="L353" s="45">
        <v>334.83999999999992</v>
      </c>
      <c r="M353" s="45"/>
      <c r="N353" s="45"/>
      <c r="O353" s="45"/>
      <c r="P353" s="45"/>
      <c r="Q353" s="45"/>
      <c r="R353" s="51"/>
      <c r="S353" s="53">
        <v>5</v>
      </c>
      <c r="T353" s="45">
        <v>334.0499999999999</v>
      </c>
      <c r="U353" s="45"/>
      <c r="V353" s="45"/>
      <c r="W353" s="45"/>
      <c r="X353" s="45"/>
      <c r="Y353" s="45"/>
      <c r="Z353" s="51"/>
      <c r="AA353" s="53">
        <v>5</v>
      </c>
      <c r="AB353" s="45">
        <v>334.99999999999989</v>
      </c>
      <c r="AC353" s="45"/>
      <c r="AD353" s="45"/>
      <c r="AE353" s="45"/>
      <c r="AF353" s="45"/>
      <c r="AG353" s="45"/>
      <c r="AH353" s="51"/>
      <c r="AI353" s="53">
        <v>5</v>
      </c>
      <c r="AJ353" s="45">
        <v>334.08999999999992</v>
      </c>
      <c r="AK353" s="45"/>
      <c r="AL353" s="45"/>
      <c r="AM353" s="45"/>
      <c r="AN353" s="45"/>
      <c r="AO353" s="45"/>
      <c r="AP353" s="51"/>
    </row>
    <row r="354" spans="1:42" ht="21" customHeight="1" thickTop="1" thickBot="1" x14ac:dyDescent="0.35">
      <c r="A354" s="63"/>
      <c r="B354" s="66"/>
      <c r="C354" s="53">
        <v>6</v>
      </c>
      <c r="D354" s="45">
        <v>333.4</v>
      </c>
      <c r="E354" s="45"/>
      <c r="F354" s="45"/>
      <c r="G354" s="45"/>
      <c r="H354" s="45"/>
      <c r="I354" s="45"/>
      <c r="J354" s="51"/>
      <c r="K354" s="53">
        <v>6</v>
      </c>
      <c r="L354" s="45">
        <v>334.5499999999999</v>
      </c>
      <c r="M354" s="45"/>
      <c r="N354" s="45"/>
      <c r="O354" s="45"/>
      <c r="P354" s="45"/>
      <c r="Q354" s="45"/>
      <c r="R354" s="51"/>
      <c r="S354" s="53">
        <v>6</v>
      </c>
      <c r="T354" s="45">
        <v>336.32999999999993</v>
      </c>
      <c r="U354" s="45"/>
      <c r="V354" s="45"/>
      <c r="W354" s="45"/>
      <c r="X354" s="45"/>
      <c r="Y354" s="45"/>
      <c r="Z354" s="51"/>
      <c r="AA354" s="53">
        <v>6</v>
      </c>
      <c r="AB354" s="45">
        <v>334.2399999999999</v>
      </c>
      <c r="AC354" s="45"/>
      <c r="AD354" s="45"/>
      <c r="AE354" s="45"/>
      <c r="AF354" s="45"/>
      <c r="AG354" s="45"/>
      <c r="AH354" s="51"/>
      <c r="AI354" s="53">
        <v>6</v>
      </c>
      <c r="AJ354" s="45">
        <v>334.17</v>
      </c>
      <c r="AK354" s="45"/>
      <c r="AL354" s="45"/>
      <c r="AM354" s="45"/>
      <c r="AN354" s="45"/>
      <c r="AO354" s="45"/>
      <c r="AP354" s="51"/>
    </row>
    <row r="355" spans="1:42" ht="21" customHeight="1" thickTop="1" thickBot="1" x14ac:dyDescent="0.35">
      <c r="A355" s="63"/>
      <c r="B355" s="66"/>
      <c r="C355" s="53">
        <v>7</v>
      </c>
      <c r="D355" s="45">
        <v>333.39999999999992</v>
      </c>
      <c r="E355" s="45"/>
      <c r="F355" s="45"/>
      <c r="G355" s="45"/>
      <c r="H355" s="45"/>
      <c r="I355" s="45"/>
      <c r="J355" s="51"/>
      <c r="K355" s="53">
        <v>7</v>
      </c>
      <c r="L355" s="45">
        <v>334.85</v>
      </c>
      <c r="M355" s="45"/>
      <c r="N355" s="45"/>
      <c r="O355" s="45"/>
      <c r="P355" s="45"/>
      <c r="Q355" s="45"/>
      <c r="R355" s="51"/>
      <c r="S355" s="53">
        <v>7</v>
      </c>
      <c r="T355" s="45">
        <v>335.46999999999991</v>
      </c>
      <c r="U355" s="45"/>
      <c r="V355" s="45"/>
      <c r="W355" s="45"/>
      <c r="X355" s="45"/>
      <c r="Y355" s="45"/>
      <c r="Z355" s="51"/>
      <c r="AA355" s="53">
        <v>7</v>
      </c>
      <c r="AB355" s="45">
        <v>334.8</v>
      </c>
      <c r="AC355" s="45"/>
      <c r="AD355" s="45"/>
      <c r="AE355" s="45"/>
      <c r="AF355" s="45"/>
      <c r="AG355" s="45"/>
      <c r="AH355" s="51"/>
      <c r="AI355" s="53">
        <v>7</v>
      </c>
      <c r="AJ355" s="45">
        <v>333.06999999999988</v>
      </c>
      <c r="AK355" s="45"/>
      <c r="AL355" s="45"/>
      <c r="AM355" s="45"/>
      <c r="AN355" s="45"/>
      <c r="AO355" s="45"/>
      <c r="AP355" s="51"/>
    </row>
    <row r="356" spans="1:42" ht="21" customHeight="1" thickTop="1" thickBot="1" x14ac:dyDescent="0.35">
      <c r="A356" s="63"/>
      <c r="B356" s="66"/>
      <c r="C356" s="53">
        <v>8</v>
      </c>
      <c r="D356" s="45">
        <v>333.65999999999991</v>
      </c>
      <c r="E356" s="45"/>
      <c r="F356" s="45"/>
      <c r="G356" s="45"/>
      <c r="H356" s="45"/>
      <c r="I356" s="45"/>
      <c r="J356" s="51"/>
      <c r="K356" s="53">
        <v>8</v>
      </c>
      <c r="L356" s="45">
        <v>335.15999999999991</v>
      </c>
      <c r="M356" s="45"/>
      <c r="N356" s="45"/>
      <c r="O356" s="45"/>
      <c r="P356" s="45"/>
      <c r="Q356" s="45"/>
      <c r="R356" s="51"/>
      <c r="S356" s="53">
        <v>8</v>
      </c>
      <c r="T356" s="45">
        <v>333.99</v>
      </c>
      <c r="U356" s="45"/>
      <c r="V356" s="45"/>
      <c r="W356" s="45"/>
      <c r="X356" s="45"/>
      <c r="Y356" s="45"/>
      <c r="Z356" s="51"/>
      <c r="AA356" s="53">
        <v>8</v>
      </c>
      <c r="AB356" s="45">
        <v>334.32999999999993</v>
      </c>
      <c r="AC356" s="45"/>
      <c r="AD356" s="45"/>
      <c r="AE356" s="45"/>
      <c r="AF356" s="45"/>
      <c r="AG356" s="45"/>
      <c r="AH356" s="51"/>
      <c r="AI356" s="53">
        <v>8</v>
      </c>
      <c r="AJ356" s="45">
        <v>334.02999999999992</v>
      </c>
      <c r="AK356" s="45"/>
      <c r="AL356" s="45"/>
      <c r="AM356" s="45"/>
      <c r="AN356" s="45"/>
      <c r="AO356" s="45"/>
      <c r="AP356" s="51"/>
    </row>
    <row r="357" spans="1:42" ht="21" customHeight="1" thickTop="1" thickBot="1" x14ac:dyDescent="0.35">
      <c r="A357" s="63"/>
      <c r="B357" s="66"/>
      <c r="C357" s="53">
        <v>9</v>
      </c>
      <c r="D357" s="45">
        <v>334.99999999999989</v>
      </c>
      <c r="E357" s="45"/>
      <c r="F357" s="45"/>
      <c r="G357" s="45"/>
      <c r="H357" s="45"/>
      <c r="I357" s="45"/>
      <c r="J357" s="51"/>
      <c r="K357" s="53">
        <v>9</v>
      </c>
      <c r="L357" s="45">
        <v>334.55999999999989</v>
      </c>
      <c r="M357" s="45"/>
      <c r="N357" s="45"/>
      <c r="O357" s="45"/>
      <c r="P357" s="45"/>
      <c r="Q357" s="45"/>
      <c r="R357" s="51"/>
      <c r="S357" s="53">
        <v>9</v>
      </c>
      <c r="T357" s="45">
        <v>334.8599999999999</v>
      </c>
      <c r="U357" s="45"/>
      <c r="V357" s="45"/>
      <c r="W357" s="45"/>
      <c r="X357" s="45"/>
      <c r="Y357" s="45"/>
      <c r="Z357" s="51"/>
      <c r="AA357" s="53">
        <v>9</v>
      </c>
      <c r="AB357" s="45">
        <v>334.17999999999989</v>
      </c>
      <c r="AC357" s="45"/>
      <c r="AD357" s="45"/>
      <c r="AE357" s="45"/>
      <c r="AF357" s="45"/>
      <c r="AG357" s="45"/>
      <c r="AH357" s="51"/>
      <c r="AI357" s="53">
        <v>9</v>
      </c>
      <c r="AJ357" s="45">
        <v>334.13999999999987</v>
      </c>
      <c r="AK357" s="45"/>
      <c r="AL357" s="45"/>
      <c r="AM357" s="45"/>
      <c r="AN357" s="45"/>
      <c r="AO357" s="45"/>
      <c r="AP357" s="51"/>
    </row>
    <row r="358" spans="1:42" ht="21" customHeight="1" thickTop="1" thickBot="1" x14ac:dyDescent="0.35">
      <c r="A358" s="63"/>
      <c r="B358" s="66"/>
      <c r="C358" s="53">
        <v>10</v>
      </c>
      <c r="D358" s="45">
        <v>333.43999999999988</v>
      </c>
      <c r="E358" s="45"/>
      <c r="F358" s="45"/>
      <c r="G358" s="45"/>
      <c r="H358" s="45"/>
      <c r="I358" s="45"/>
      <c r="J358" s="51"/>
      <c r="K358" s="53">
        <v>10</v>
      </c>
      <c r="L358" s="45">
        <v>334.99999999999989</v>
      </c>
      <c r="M358" s="45"/>
      <c r="N358" s="45"/>
      <c r="O358" s="45"/>
      <c r="P358" s="45"/>
      <c r="Q358" s="45"/>
      <c r="R358" s="51"/>
      <c r="S358" s="53">
        <v>10</v>
      </c>
      <c r="T358" s="45">
        <v>333.62999999999988</v>
      </c>
      <c r="U358" s="45"/>
      <c r="V358" s="45"/>
      <c r="W358" s="45"/>
      <c r="X358" s="45"/>
      <c r="Y358" s="45"/>
      <c r="Z358" s="51"/>
      <c r="AA358" s="53">
        <v>10</v>
      </c>
      <c r="AB358" s="45">
        <v>334.27999999999992</v>
      </c>
      <c r="AC358" s="45"/>
      <c r="AD358" s="45"/>
      <c r="AE358" s="45"/>
      <c r="AF358" s="45"/>
      <c r="AG358" s="45"/>
      <c r="AH358" s="51"/>
      <c r="AI358" s="53">
        <v>10</v>
      </c>
      <c r="AJ358" s="45">
        <v>334.08999999999992</v>
      </c>
      <c r="AK358" s="45"/>
      <c r="AL358" s="45"/>
      <c r="AM358" s="45"/>
      <c r="AN358" s="45"/>
      <c r="AO358" s="45"/>
      <c r="AP358" s="51"/>
    </row>
    <row r="359" spans="1:42" ht="21" customHeight="1" thickTop="1" thickBot="1" x14ac:dyDescent="0.35">
      <c r="A359" s="63"/>
      <c r="B359" s="66"/>
      <c r="C359" s="53"/>
      <c r="D359" s="45"/>
      <c r="E359" s="45"/>
      <c r="F359" s="45"/>
      <c r="G359" s="45"/>
      <c r="H359" s="45"/>
      <c r="I359" s="45"/>
      <c r="J359" s="51"/>
      <c r="K359" s="53"/>
      <c r="L359" s="45"/>
      <c r="M359" s="45"/>
      <c r="N359" s="45"/>
      <c r="O359" s="45"/>
      <c r="P359" s="45"/>
      <c r="Q359" s="45"/>
      <c r="R359" s="51"/>
      <c r="S359" s="53"/>
      <c r="T359" s="45"/>
      <c r="U359" s="45"/>
      <c r="V359" s="45"/>
      <c r="W359" s="45"/>
      <c r="X359" s="45"/>
      <c r="Y359" s="45"/>
      <c r="Z359" s="51"/>
      <c r="AA359" s="53"/>
      <c r="AB359" s="45"/>
      <c r="AC359" s="45"/>
      <c r="AD359" s="45"/>
      <c r="AE359" s="45"/>
      <c r="AF359" s="45"/>
      <c r="AG359" s="45"/>
      <c r="AH359" s="51"/>
      <c r="AI359" s="53"/>
      <c r="AJ359" s="45"/>
      <c r="AK359" s="45"/>
      <c r="AL359" s="45"/>
      <c r="AM359" s="45"/>
      <c r="AN359" s="45"/>
      <c r="AO359" s="45"/>
      <c r="AP359" s="51"/>
    </row>
    <row r="360" spans="1:42" ht="21" customHeight="1" thickTop="1" thickBot="1" x14ac:dyDescent="0.35">
      <c r="A360" s="63"/>
      <c r="B360" s="66"/>
      <c r="C360" s="54" t="s">
        <v>16</v>
      </c>
      <c r="D360" s="49">
        <f>MIN(D349:D358)</f>
        <v>333.39999999999992</v>
      </c>
      <c r="E360" s="45"/>
      <c r="F360" s="55" t="s">
        <v>17</v>
      </c>
      <c r="G360" s="49" t="s">
        <v>18</v>
      </c>
      <c r="H360" s="49" t="s">
        <v>19</v>
      </c>
      <c r="I360" s="45"/>
      <c r="J360" s="51"/>
      <c r="K360" s="54" t="s">
        <v>16</v>
      </c>
      <c r="L360" s="49">
        <f>MIN(L349:L358)</f>
        <v>334.5499999999999</v>
      </c>
      <c r="M360" s="45"/>
      <c r="N360" s="55" t="s">
        <v>17</v>
      </c>
      <c r="O360" s="49" t="s">
        <v>18</v>
      </c>
      <c r="P360" s="49" t="s">
        <v>19</v>
      </c>
      <c r="Q360" s="45"/>
      <c r="R360" s="51"/>
      <c r="S360" s="54" t="s">
        <v>16</v>
      </c>
      <c r="T360" s="49">
        <f>MIN(T349:T358)</f>
        <v>333.50999999999988</v>
      </c>
      <c r="U360" s="45"/>
      <c r="V360" s="55" t="s">
        <v>17</v>
      </c>
      <c r="W360" s="49" t="s">
        <v>18</v>
      </c>
      <c r="X360" s="49" t="s">
        <v>19</v>
      </c>
      <c r="Y360" s="45"/>
      <c r="Z360" s="51"/>
      <c r="AA360" s="54" t="s">
        <v>16</v>
      </c>
      <c r="AB360" s="49">
        <f>MIN(AB349:AB358)</f>
        <v>334.17999999999989</v>
      </c>
      <c r="AC360" s="45"/>
      <c r="AD360" s="55" t="s">
        <v>17</v>
      </c>
      <c r="AE360" s="49" t="s">
        <v>18</v>
      </c>
      <c r="AF360" s="49" t="s">
        <v>19</v>
      </c>
      <c r="AG360" s="45"/>
      <c r="AH360" s="51"/>
      <c r="AI360" s="54" t="s">
        <v>16</v>
      </c>
      <c r="AJ360" s="49">
        <f>MIN(AJ349:AJ358)</f>
        <v>333.06999999999988</v>
      </c>
      <c r="AK360" s="45"/>
      <c r="AL360" s="55" t="s">
        <v>17</v>
      </c>
      <c r="AM360" s="49" t="s">
        <v>18</v>
      </c>
      <c r="AN360" s="49" t="s">
        <v>19</v>
      </c>
      <c r="AO360" s="45"/>
      <c r="AP360" s="51"/>
    </row>
    <row r="361" spans="1:42" ht="21" customHeight="1" thickTop="1" thickBot="1" x14ac:dyDescent="0.35">
      <c r="A361" s="63"/>
      <c r="B361" s="66"/>
      <c r="C361" s="54" t="s">
        <v>20</v>
      </c>
      <c r="D361" s="48">
        <f>AVERAGE(D349:D358)</f>
        <v>334.06599999999997</v>
      </c>
      <c r="E361" s="47"/>
      <c r="F361" s="48">
        <f>_xlfn.STDEV.S(D349:D358) / AVERAGE(D349:D358) * 100%</f>
        <v>1.8742414050614995E-3</v>
      </c>
      <c r="G361" s="48">
        <f t="array" ref="G361">MIN((D349:D358 - MIN(D349:D358,L349:L358,T349:T358,AB349:AB358,AJ349:AJ358))/MIN(D349:D358,L349:L358,T349:T358,AB349:AB358,AJ349:AJ358)*100%)</f>
        <v>9.9078271834761767E-4</v>
      </c>
      <c r="H361" s="48">
        <f t="array" ref="H361">AVERAGE((D349:D358 - MIN(D349:D358,L349:L358,T349:T358,AB349:AB358,AJ349:AJ358))/MIN(D349:D358,L349:L358,T349:T358,AB349:AB358,AJ349:AJ358)*100%)</f>
        <v>2.9903623862852962E-3</v>
      </c>
      <c r="I361" s="45"/>
      <c r="J361" s="51"/>
      <c r="K361" s="54" t="s">
        <v>20</v>
      </c>
      <c r="L361" s="48">
        <f>AVERAGE(L349:L358)</f>
        <v>334.90799999999996</v>
      </c>
      <c r="M361" s="47"/>
      <c r="N361" s="48">
        <f>_xlfn.STDEV.S(L349:L358) / AVERAGE(L349:L358) * 100%</f>
        <v>9.5245410619511882E-4</v>
      </c>
      <c r="O361" s="48">
        <f t="array" ref="O361">MIN((L349:L358 - MIN(D349:D358,L349:L358,T349:T358,AB349:AB358,AJ349:AJ358))/MIN(D349:D358,L349:L358,T349:T358,AB349:AB358,AJ349:AJ358)*100%)</f>
        <v>4.4435103731948799E-3</v>
      </c>
      <c r="P361" s="48">
        <f t="array" ref="P361">AVERAGE((L349:L358 - MIN(D349:D358,L349:L358,T349:T358,AB349:AB358,AJ349:AJ358))/MIN(D349:D358,L349:L358,T349:T358,AB349:AB358,AJ349:AJ358)*100%)</f>
        <v>5.5183595040083199E-3</v>
      </c>
      <c r="Q361" s="44"/>
      <c r="R361" s="51"/>
      <c r="S361" s="54" t="s">
        <v>20</v>
      </c>
      <c r="T361" s="48">
        <f>AVERAGE(T349:T358)</f>
        <v>334.65899999999993</v>
      </c>
      <c r="U361" s="47"/>
      <c r="V361" s="48">
        <f>_xlfn.STDEV.S(T349:T358) / AVERAGE(T349:T358) * 100%</f>
        <v>2.8691258946963172E-3</v>
      </c>
      <c r="W361" s="48">
        <f t="array" ref="W361">MIN((T349:T358 - MIN(D349:D358,L349:L358,T349:T358,AB349:AB358,AJ349:AJ358))/MIN(D349:D358,L349:L358,T349:T358,AB349:AB358,AJ349:AJ358)*100%)</f>
        <v>1.3210436244633196E-3</v>
      </c>
      <c r="X361" s="48">
        <f t="array" ref="X361">AVERAGE((T349:T358 - MIN(D349:D358,L349:L358,T349:T358,AB349:AB358,AJ349:AJ358))/MIN(D349:D358,L349:L358,T349:T358,AB349:AB358,AJ349:AJ358)*100%)</f>
        <v>4.7707689074369744E-3</v>
      </c>
      <c r="Y361" s="44"/>
      <c r="Z361" s="51"/>
      <c r="AA361" s="54" t="s">
        <v>20</v>
      </c>
      <c r="AB361" s="48">
        <f>AVERAGE(AB349:AB358)</f>
        <v>334.63599999999985</v>
      </c>
      <c r="AC361" s="47"/>
      <c r="AD361" s="48">
        <f>_xlfn.STDEV.S(AB349:AB358) / AVERAGE(AB349:AB358) * 100%</f>
        <v>1.7893479531175265E-3</v>
      </c>
      <c r="AE361" s="48">
        <f t="array" ref="AE361">MIN((AB349:AB358 - MIN(D349:D358,L349:L358,T349:T358,AB349:AB358,AJ349:AJ358))/MIN(D349:D358,L349:L358,T349:T358,AB349:AB358,AJ349:AJ358)*100%)</f>
        <v>3.3326327798961601E-3</v>
      </c>
      <c r="AF361" s="48">
        <f t="array" ref="AF361">AVERAGE((AB349:AB358 - MIN(D349:D358,L349:L358,T349:T358,AB349:AB358,AJ349:AJ358))/MIN(D349:D358,L349:L358,T349:T358,AB349:AB358,AJ349:AJ358)*100%)</f>
        <v>4.7017143543400409E-3</v>
      </c>
      <c r="AG361" s="44"/>
      <c r="AH361" s="51"/>
      <c r="AI361" s="54" t="s">
        <v>20</v>
      </c>
      <c r="AJ361" s="48">
        <f>AVERAGE(AJ349:AJ358)</f>
        <v>333.79799999999989</v>
      </c>
      <c r="AK361" s="47"/>
      <c r="AL361" s="48">
        <f>_xlfn.STDEV.S(AJ349:AJ358) / AVERAGE(AJ349:AJ358) * 100%</f>
        <v>1.2512362234792899E-3</v>
      </c>
      <c r="AM361" s="48">
        <f t="array" ref="AM361">MIN((AJ349:AJ358 - MIN(D349:D358,L349:L358,T349:T358,AB349:AB358,AJ349:AJ358))/MIN(D349:D358,L349:L358,T349:T358,AB349:AB358,AJ349:AJ358)*100%)</f>
        <v>0</v>
      </c>
      <c r="AN361" s="48">
        <f t="array" ref="AN361">AVERAGE((AJ349:AJ358 - MIN(D349:D358,L349:L358,T349:T358,AB349:AB358,AJ349:AJ358))/MIN(D349:D358,L349:L358,T349:T358,AB349:AB358,AJ349:AJ358)*100%)</f>
        <v>2.185726724112178E-3</v>
      </c>
      <c r="AO361" s="44"/>
      <c r="AP361" s="51"/>
    </row>
    <row r="362" spans="1:42" ht="21" customHeight="1" thickTop="1" thickBot="1" x14ac:dyDescent="0.35">
      <c r="A362" s="64"/>
      <c r="B362" s="67"/>
      <c r="C362" s="56"/>
      <c r="D362" s="57"/>
      <c r="E362" s="57"/>
      <c r="F362" s="57"/>
      <c r="G362" s="57"/>
      <c r="H362" s="57"/>
      <c r="I362" s="57"/>
      <c r="J362" s="58"/>
      <c r="K362" s="56"/>
      <c r="L362" s="57"/>
      <c r="M362" s="57"/>
      <c r="N362" s="57"/>
      <c r="O362" s="57"/>
      <c r="P362" s="57"/>
      <c r="Q362" s="57"/>
      <c r="R362" s="58"/>
      <c r="S362" s="56"/>
      <c r="T362" s="57"/>
      <c r="U362" s="57"/>
      <c r="V362" s="57"/>
      <c r="W362" s="57"/>
      <c r="X362" s="57"/>
      <c r="Y362" s="57"/>
      <c r="Z362" s="58"/>
      <c r="AA362" s="56"/>
      <c r="AB362" s="57"/>
      <c r="AC362" s="57"/>
      <c r="AD362" s="57"/>
      <c r="AE362" s="57"/>
      <c r="AF362" s="57"/>
      <c r="AG362" s="57"/>
      <c r="AH362" s="58"/>
      <c r="AI362" s="56"/>
      <c r="AJ362" s="57"/>
      <c r="AK362" s="57"/>
      <c r="AL362" s="57"/>
      <c r="AM362" s="57"/>
      <c r="AN362" s="57"/>
      <c r="AO362" s="57"/>
      <c r="AP362" s="58"/>
    </row>
    <row r="363" spans="1:42" ht="21" customHeight="1" thickTop="1" thickBot="1" x14ac:dyDescent="0.35">
      <c r="A363" s="62">
        <v>4</v>
      </c>
      <c r="B363" s="65" t="s">
        <v>90</v>
      </c>
      <c r="C363" s="59" t="s">
        <v>8</v>
      </c>
      <c r="D363" s="46" t="s">
        <v>9</v>
      </c>
      <c r="E363" s="46" t="s">
        <v>10</v>
      </c>
      <c r="F363" s="46" t="s">
        <v>11</v>
      </c>
      <c r="G363" s="46" t="s">
        <v>12</v>
      </c>
      <c r="H363" s="46" t="s">
        <v>13</v>
      </c>
      <c r="I363" s="46" t="s">
        <v>14</v>
      </c>
      <c r="J363" s="60" t="s">
        <v>15</v>
      </c>
      <c r="K363" s="59" t="s">
        <v>8</v>
      </c>
      <c r="L363" s="46" t="s">
        <v>9</v>
      </c>
      <c r="M363" s="46" t="s">
        <v>10</v>
      </c>
      <c r="N363" s="46" t="s">
        <v>11</v>
      </c>
      <c r="O363" s="46" t="s">
        <v>12</v>
      </c>
      <c r="P363" s="46" t="s">
        <v>13</v>
      </c>
      <c r="Q363" s="46" t="s">
        <v>14</v>
      </c>
      <c r="R363" s="60" t="s">
        <v>15</v>
      </c>
      <c r="S363" s="59" t="s">
        <v>8</v>
      </c>
      <c r="T363" s="46" t="s">
        <v>9</v>
      </c>
      <c r="U363" s="46" t="s">
        <v>10</v>
      </c>
      <c r="V363" s="46" t="s">
        <v>11</v>
      </c>
      <c r="W363" s="46" t="s">
        <v>12</v>
      </c>
      <c r="X363" s="46" t="s">
        <v>13</v>
      </c>
      <c r="Y363" s="46" t="s">
        <v>14</v>
      </c>
      <c r="Z363" s="60" t="s">
        <v>15</v>
      </c>
      <c r="AA363" s="59" t="s">
        <v>8</v>
      </c>
      <c r="AB363" s="46" t="s">
        <v>9</v>
      </c>
      <c r="AC363" s="46" t="s">
        <v>10</v>
      </c>
      <c r="AD363" s="46" t="s">
        <v>11</v>
      </c>
      <c r="AE363" s="46" t="s">
        <v>12</v>
      </c>
      <c r="AF363" s="46" t="s">
        <v>13</v>
      </c>
      <c r="AG363" s="46" t="s">
        <v>14</v>
      </c>
      <c r="AH363" s="60" t="s">
        <v>15</v>
      </c>
      <c r="AI363" s="59" t="s">
        <v>8</v>
      </c>
      <c r="AJ363" s="46" t="s">
        <v>9</v>
      </c>
      <c r="AK363" s="46" t="s">
        <v>10</v>
      </c>
      <c r="AL363" s="46" t="s">
        <v>11</v>
      </c>
      <c r="AM363" s="46" t="s">
        <v>12</v>
      </c>
      <c r="AN363" s="46" t="s">
        <v>13</v>
      </c>
      <c r="AO363" s="46" t="s">
        <v>14</v>
      </c>
      <c r="AP363" s="60" t="s">
        <v>15</v>
      </c>
    </row>
    <row r="364" spans="1:42" ht="21" customHeight="1" thickTop="1" thickBot="1" x14ac:dyDescent="0.35">
      <c r="A364" s="63"/>
      <c r="B364" s="66"/>
      <c r="C364" s="52">
        <v>1</v>
      </c>
      <c r="D364" s="44">
        <v>214.44</v>
      </c>
      <c r="E364" s="44"/>
      <c r="F364" s="44"/>
      <c r="G364" s="44"/>
      <c r="H364" s="44"/>
      <c r="I364" s="44"/>
      <c r="J364" s="51"/>
      <c r="K364" s="52">
        <v>1</v>
      </c>
      <c r="L364" s="44">
        <v>214.32</v>
      </c>
      <c r="M364" s="44"/>
      <c r="N364" s="44"/>
      <c r="O364" s="44"/>
      <c r="P364" s="44"/>
      <c r="Q364" s="44"/>
      <c r="R364" s="51"/>
      <c r="S364" s="52">
        <v>1</v>
      </c>
      <c r="T364" s="44">
        <v>216.74</v>
      </c>
      <c r="U364" s="44"/>
      <c r="V364" s="44"/>
      <c r="W364" s="44"/>
      <c r="X364" s="44"/>
      <c r="Y364" s="44"/>
      <c r="Z364" s="51"/>
      <c r="AA364" s="52">
        <v>1</v>
      </c>
      <c r="AB364" s="44">
        <v>213.75</v>
      </c>
      <c r="AC364" s="44"/>
      <c r="AD364" s="44"/>
      <c r="AE364" s="44"/>
      <c r="AF364" s="44"/>
      <c r="AG364" s="44"/>
      <c r="AH364" s="51"/>
      <c r="AI364" s="52">
        <v>1</v>
      </c>
      <c r="AJ364" s="44">
        <v>216.76</v>
      </c>
      <c r="AK364" s="44"/>
      <c r="AL364" s="44"/>
      <c r="AM364" s="44"/>
      <c r="AN364" s="44"/>
      <c r="AO364" s="44"/>
      <c r="AP364" s="51"/>
    </row>
    <row r="365" spans="1:42" ht="21" customHeight="1" thickTop="1" thickBot="1" x14ac:dyDescent="0.35">
      <c r="A365" s="63"/>
      <c r="B365" s="66"/>
      <c r="C365" s="53">
        <v>2</v>
      </c>
      <c r="D365" s="45">
        <v>212.58</v>
      </c>
      <c r="E365" s="45"/>
      <c r="F365" s="45"/>
      <c r="G365" s="45"/>
      <c r="H365" s="45"/>
      <c r="I365" s="45"/>
      <c r="J365" s="51"/>
      <c r="K365" s="53">
        <v>2</v>
      </c>
      <c r="L365" s="45">
        <v>214.91</v>
      </c>
      <c r="M365" s="45"/>
      <c r="N365" s="45"/>
      <c r="O365" s="45"/>
      <c r="P365" s="45"/>
      <c r="Q365" s="45"/>
      <c r="R365" s="51"/>
      <c r="S365" s="53">
        <v>2</v>
      </c>
      <c r="T365" s="45">
        <v>216.28</v>
      </c>
      <c r="U365" s="45"/>
      <c r="V365" s="45"/>
      <c r="W365" s="45"/>
      <c r="X365" s="45"/>
      <c r="Y365" s="45"/>
      <c r="Z365" s="51"/>
      <c r="AA365" s="53">
        <v>2</v>
      </c>
      <c r="AB365" s="45">
        <v>213.61</v>
      </c>
      <c r="AC365" s="45"/>
      <c r="AD365" s="45"/>
      <c r="AE365" s="45"/>
      <c r="AF365" s="45"/>
      <c r="AG365" s="45"/>
      <c r="AH365" s="51"/>
      <c r="AI365" s="53">
        <v>2</v>
      </c>
      <c r="AJ365" s="45">
        <v>216.41</v>
      </c>
      <c r="AK365" s="45"/>
      <c r="AL365" s="45"/>
      <c r="AM365" s="45"/>
      <c r="AN365" s="45"/>
      <c r="AO365" s="45"/>
      <c r="AP365" s="51"/>
    </row>
    <row r="366" spans="1:42" ht="21" customHeight="1" thickTop="1" thickBot="1" x14ac:dyDescent="0.35">
      <c r="A366" s="63"/>
      <c r="B366" s="66"/>
      <c r="C366" s="53">
        <v>3</v>
      </c>
      <c r="D366" s="45">
        <v>213.58</v>
      </c>
      <c r="E366" s="45"/>
      <c r="F366" s="45"/>
      <c r="G366" s="44"/>
      <c r="H366" s="44"/>
      <c r="I366" s="44"/>
      <c r="J366" s="51"/>
      <c r="K366" s="53">
        <v>3</v>
      </c>
      <c r="L366" s="45">
        <v>214.58</v>
      </c>
      <c r="M366" s="45"/>
      <c r="N366" s="45"/>
      <c r="O366" s="44"/>
      <c r="P366" s="44"/>
      <c r="Q366" s="44"/>
      <c r="R366" s="51"/>
      <c r="S366" s="53">
        <v>3</v>
      </c>
      <c r="T366" s="45">
        <v>216.82</v>
      </c>
      <c r="U366" s="45"/>
      <c r="V366" s="45"/>
      <c r="W366" s="44"/>
      <c r="X366" s="44"/>
      <c r="Y366" s="44"/>
      <c r="Z366" s="51"/>
      <c r="AA366" s="53">
        <v>3</v>
      </c>
      <c r="AB366" s="45">
        <v>214.82</v>
      </c>
      <c r="AC366" s="45"/>
      <c r="AD366" s="45"/>
      <c r="AE366" s="44"/>
      <c r="AF366" s="44"/>
      <c r="AG366" s="44"/>
      <c r="AH366" s="51"/>
      <c r="AI366" s="53">
        <v>3</v>
      </c>
      <c r="AJ366" s="45">
        <v>217.27</v>
      </c>
      <c r="AK366" s="45"/>
      <c r="AL366" s="45"/>
      <c r="AM366" s="44"/>
      <c r="AN366" s="44"/>
      <c r="AO366" s="44"/>
      <c r="AP366" s="51"/>
    </row>
    <row r="367" spans="1:42" ht="21" customHeight="1" thickTop="1" thickBot="1" x14ac:dyDescent="0.35">
      <c r="A367" s="63"/>
      <c r="B367" s="66"/>
      <c r="C367" s="53">
        <v>4</v>
      </c>
      <c r="D367" s="45">
        <v>214.52</v>
      </c>
      <c r="E367" s="45"/>
      <c r="F367" s="45"/>
      <c r="G367" s="45"/>
      <c r="H367" s="45"/>
      <c r="I367" s="45"/>
      <c r="J367" s="51"/>
      <c r="K367" s="53">
        <v>4</v>
      </c>
      <c r="L367" s="45">
        <v>215.3</v>
      </c>
      <c r="M367" s="45"/>
      <c r="N367" s="45"/>
      <c r="O367" s="45"/>
      <c r="P367" s="45"/>
      <c r="Q367" s="45"/>
      <c r="R367" s="51"/>
      <c r="S367" s="53">
        <v>4</v>
      </c>
      <c r="T367" s="45">
        <v>216.28</v>
      </c>
      <c r="U367" s="45"/>
      <c r="V367" s="45"/>
      <c r="W367" s="45"/>
      <c r="X367" s="45"/>
      <c r="Y367" s="45"/>
      <c r="Z367" s="51"/>
      <c r="AA367" s="53">
        <v>4</v>
      </c>
      <c r="AB367" s="45">
        <v>216.37</v>
      </c>
      <c r="AC367" s="45"/>
      <c r="AD367" s="45"/>
      <c r="AE367" s="45"/>
      <c r="AF367" s="45"/>
      <c r="AG367" s="45"/>
      <c r="AH367" s="51"/>
      <c r="AI367" s="53">
        <v>4</v>
      </c>
      <c r="AJ367" s="45">
        <v>217.37</v>
      </c>
      <c r="AK367" s="45"/>
      <c r="AL367" s="45"/>
      <c r="AM367" s="45"/>
      <c r="AN367" s="45"/>
      <c r="AO367" s="45"/>
      <c r="AP367" s="51"/>
    </row>
    <row r="368" spans="1:42" ht="21" customHeight="1" thickTop="1" thickBot="1" x14ac:dyDescent="0.35">
      <c r="A368" s="63"/>
      <c r="B368" s="66"/>
      <c r="C368" s="53">
        <v>5</v>
      </c>
      <c r="D368" s="45">
        <v>212.92</v>
      </c>
      <c r="E368" s="45"/>
      <c r="F368" s="45"/>
      <c r="G368" s="45"/>
      <c r="H368" s="45"/>
      <c r="I368" s="45"/>
      <c r="J368" s="51"/>
      <c r="K368" s="53">
        <v>5</v>
      </c>
      <c r="L368" s="45">
        <v>214.75</v>
      </c>
      <c r="M368" s="45"/>
      <c r="N368" s="45"/>
      <c r="O368" s="45"/>
      <c r="P368" s="45"/>
      <c r="Q368" s="45"/>
      <c r="R368" s="51"/>
      <c r="S368" s="53">
        <v>5</v>
      </c>
      <c r="T368" s="45">
        <v>220.19</v>
      </c>
      <c r="U368" s="45"/>
      <c r="V368" s="45"/>
      <c r="W368" s="45"/>
      <c r="X368" s="45"/>
      <c r="Y368" s="45"/>
      <c r="Z368" s="51"/>
      <c r="AA368" s="53">
        <v>5</v>
      </c>
      <c r="AB368" s="45">
        <v>216.75</v>
      </c>
      <c r="AC368" s="45"/>
      <c r="AD368" s="45"/>
      <c r="AE368" s="45"/>
      <c r="AF368" s="45"/>
      <c r="AG368" s="45"/>
      <c r="AH368" s="51"/>
      <c r="AI368" s="53">
        <v>5</v>
      </c>
      <c r="AJ368" s="45">
        <v>216.64</v>
      </c>
      <c r="AK368" s="45"/>
      <c r="AL368" s="45"/>
      <c r="AM368" s="45"/>
      <c r="AN368" s="45"/>
      <c r="AO368" s="45"/>
      <c r="AP368" s="51"/>
    </row>
    <row r="369" spans="1:42" ht="21" customHeight="1" thickTop="1" thickBot="1" x14ac:dyDescent="0.35">
      <c r="A369" s="63"/>
      <c r="B369" s="66"/>
      <c r="C369" s="53">
        <v>6</v>
      </c>
      <c r="D369" s="45">
        <v>213.79</v>
      </c>
      <c r="E369" s="45"/>
      <c r="F369" s="45"/>
      <c r="G369" s="45"/>
      <c r="H369" s="45"/>
      <c r="I369" s="45"/>
      <c r="J369" s="51"/>
      <c r="K369" s="53">
        <v>6</v>
      </c>
      <c r="L369" s="45">
        <v>214.5</v>
      </c>
      <c r="M369" s="45"/>
      <c r="N369" s="45"/>
      <c r="O369" s="45"/>
      <c r="P369" s="45"/>
      <c r="Q369" s="45"/>
      <c r="R369" s="51"/>
      <c r="S369" s="53">
        <v>6</v>
      </c>
      <c r="T369" s="45">
        <v>217.67</v>
      </c>
      <c r="U369" s="45"/>
      <c r="V369" s="45"/>
      <c r="W369" s="45"/>
      <c r="X369" s="45"/>
      <c r="Y369" s="45"/>
      <c r="Z369" s="51"/>
      <c r="AA369" s="53">
        <v>6</v>
      </c>
      <c r="AB369" s="45">
        <v>212.56</v>
      </c>
      <c r="AC369" s="45"/>
      <c r="AD369" s="45"/>
      <c r="AE369" s="45"/>
      <c r="AF369" s="45"/>
      <c r="AG369" s="45"/>
      <c r="AH369" s="51"/>
      <c r="AI369" s="53">
        <v>6</v>
      </c>
      <c r="AJ369" s="45">
        <v>217.37</v>
      </c>
      <c r="AK369" s="45"/>
      <c r="AL369" s="45"/>
      <c r="AM369" s="45"/>
      <c r="AN369" s="45"/>
      <c r="AO369" s="45"/>
      <c r="AP369" s="51"/>
    </row>
    <row r="370" spans="1:42" ht="21" customHeight="1" thickTop="1" thickBot="1" x14ac:dyDescent="0.35">
      <c r="A370" s="63"/>
      <c r="B370" s="66"/>
      <c r="C370" s="53">
        <v>7</v>
      </c>
      <c r="D370" s="45">
        <v>214.26</v>
      </c>
      <c r="E370" s="45"/>
      <c r="F370" s="45"/>
      <c r="G370" s="45"/>
      <c r="H370" s="45"/>
      <c r="I370" s="45"/>
      <c r="J370" s="51"/>
      <c r="K370" s="53">
        <v>7</v>
      </c>
      <c r="L370" s="45">
        <v>215.06</v>
      </c>
      <c r="M370" s="45"/>
      <c r="N370" s="45"/>
      <c r="O370" s="45"/>
      <c r="P370" s="45"/>
      <c r="Q370" s="45"/>
      <c r="R370" s="51"/>
      <c r="S370" s="53">
        <v>7</v>
      </c>
      <c r="T370" s="45">
        <v>217.7</v>
      </c>
      <c r="U370" s="45"/>
      <c r="V370" s="45"/>
      <c r="W370" s="45"/>
      <c r="X370" s="45"/>
      <c r="Y370" s="45"/>
      <c r="Z370" s="51"/>
      <c r="AA370" s="53">
        <v>7</v>
      </c>
      <c r="AB370" s="45">
        <v>218.34</v>
      </c>
      <c r="AC370" s="45"/>
      <c r="AD370" s="45"/>
      <c r="AE370" s="45"/>
      <c r="AF370" s="45"/>
      <c r="AG370" s="45"/>
      <c r="AH370" s="51"/>
      <c r="AI370" s="53">
        <v>7</v>
      </c>
      <c r="AJ370" s="45">
        <v>215.91</v>
      </c>
      <c r="AK370" s="45"/>
      <c r="AL370" s="45"/>
      <c r="AM370" s="45"/>
      <c r="AN370" s="45"/>
      <c r="AO370" s="45"/>
      <c r="AP370" s="51"/>
    </row>
    <row r="371" spans="1:42" ht="21" customHeight="1" thickTop="1" thickBot="1" x14ac:dyDescent="0.35">
      <c r="A371" s="63"/>
      <c r="B371" s="66"/>
      <c r="C371" s="53">
        <v>8</v>
      </c>
      <c r="D371" s="45">
        <v>213.75</v>
      </c>
      <c r="E371" s="45"/>
      <c r="F371" s="45"/>
      <c r="G371" s="45"/>
      <c r="H371" s="45"/>
      <c r="I371" s="45"/>
      <c r="J371" s="51"/>
      <c r="K371" s="53">
        <v>8</v>
      </c>
      <c r="L371" s="45">
        <v>214.85</v>
      </c>
      <c r="M371" s="45"/>
      <c r="N371" s="45"/>
      <c r="O371" s="45"/>
      <c r="P371" s="45"/>
      <c r="Q371" s="45"/>
      <c r="R371" s="51"/>
      <c r="S371" s="53">
        <v>8</v>
      </c>
      <c r="T371" s="45">
        <v>217.55</v>
      </c>
      <c r="U371" s="45"/>
      <c r="V371" s="45"/>
      <c r="W371" s="45"/>
      <c r="X371" s="45"/>
      <c r="Y371" s="45"/>
      <c r="Z371" s="51"/>
      <c r="AA371" s="53">
        <v>8</v>
      </c>
      <c r="AB371" s="45">
        <v>215.08</v>
      </c>
      <c r="AC371" s="45"/>
      <c r="AD371" s="45"/>
      <c r="AE371" s="45"/>
      <c r="AF371" s="45"/>
      <c r="AG371" s="45"/>
      <c r="AH371" s="51"/>
      <c r="AI371" s="53">
        <v>8</v>
      </c>
      <c r="AJ371" s="45">
        <v>216.45</v>
      </c>
      <c r="AK371" s="45"/>
      <c r="AL371" s="45"/>
      <c r="AM371" s="45"/>
      <c r="AN371" s="45"/>
      <c r="AO371" s="45"/>
      <c r="AP371" s="51"/>
    </row>
    <row r="372" spans="1:42" ht="21" customHeight="1" thickTop="1" thickBot="1" x14ac:dyDescent="0.35">
      <c r="A372" s="63"/>
      <c r="B372" s="66"/>
      <c r="C372" s="53">
        <v>9</v>
      </c>
      <c r="D372" s="45">
        <v>214.29</v>
      </c>
      <c r="E372" s="45"/>
      <c r="F372" s="45"/>
      <c r="G372" s="45"/>
      <c r="H372" s="45"/>
      <c r="I372" s="45"/>
      <c r="J372" s="51"/>
      <c r="K372" s="53">
        <v>9</v>
      </c>
      <c r="L372" s="45">
        <v>214.84</v>
      </c>
      <c r="M372" s="45"/>
      <c r="N372" s="45"/>
      <c r="O372" s="45"/>
      <c r="P372" s="45"/>
      <c r="Q372" s="45"/>
      <c r="R372" s="51"/>
      <c r="S372" s="53">
        <v>9</v>
      </c>
      <c r="T372" s="45">
        <v>216.06</v>
      </c>
      <c r="U372" s="45"/>
      <c r="V372" s="45"/>
      <c r="W372" s="45"/>
      <c r="X372" s="45"/>
      <c r="Y372" s="45"/>
      <c r="Z372" s="51"/>
      <c r="AA372" s="53">
        <v>9</v>
      </c>
      <c r="AB372" s="45">
        <v>213.78</v>
      </c>
      <c r="AC372" s="45"/>
      <c r="AD372" s="45"/>
      <c r="AE372" s="45"/>
      <c r="AF372" s="45"/>
      <c r="AG372" s="45"/>
      <c r="AH372" s="51"/>
      <c r="AI372" s="53">
        <v>9</v>
      </c>
      <c r="AJ372" s="45">
        <v>215.45</v>
      </c>
      <c r="AK372" s="45"/>
      <c r="AL372" s="45"/>
      <c r="AM372" s="45"/>
      <c r="AN372" s="45"/>
      <c r="AO372" s="45"/>
      <c r="AP372" s="51"/>
    </row>
    <row r="373" spans="1:42" ht="21" customHeight="1" thickTop="1" thickBot="1" x14ac:dyDescent="0.35">
      <c r="A373" s="63"/>
      <c r="B373" s="66"/>
      <c r="C373" s="53">
        <v>10</v>
      </c>
      <c r="D373" s="45">
        <v>213.58</v>
      </c>
      <c r="E373" s="45"/>
      <c r="F373" s="45"/>
      <c r="G373" s="45"/>
      <c r="H373" s="45"/>
      <c r="I373" s="45"/>
      <c r="J373" s="51"/>
      <c r="K373" s="53">
        <v>10</v>
      </c>
      <c r="L373" s="45">
        <v>214.98</v>
      </c>
      <c r="M373" s="45"/>
      <c r="N373" s="45"/>
      <c r="O373" s="45"/>
      <c r="P373" s="45"/>
      <c r="Q373" s="45"/>
      <c r="R373" s="51"/>
      <c r="S373" s="53">
        <v>10</v>
      </c>
      <c r="T373" s="45">
        <v>217.93</v>
      </c>
      <c r="U373" s="45"/>
      <c r="V373" s="45"/>
      <c r="W373" s="45"/>
      <c r="X373" s="45"/>
      <c r="Y373" s="45"/>
      <c r="Z373" s="51"/>
      <c r="AA373" s="53">
        <v>10</v>
      </c>
      <c r="AB373" s="45">
        <v>217.58</v>
      </c>
      <c r="AC373" s="45"/>
      <c r="AD373" s="45"/>
      <c r="AE373" s="45"/>
      <c r="AF373" s="45"/>
      <c r="AG373" s="45"/>
      <c r="AH373" s="51"/>
      <c r="AI373" s="53">
        <v>10</v>
      </c>
      <c r="AJ373" s="45">
        <v>217.26</v>
      </c>
      <c r="AK373" s="45"/>
      <c r="AL373" s="45"/>
      <c r="AM373" s="45"/>
      <c r="AN373" s="45"/>
      <c r="AO373" s="45"/>
      <c r="AP373" s="51"/>
    </row>
    <row r="374" spans="1:42" ht="21" customHeight="1" thickTop="1" thickBot="1" x14ac:dyDescent="0.35">
      <c r="A374" s="63"/>
      <c r="B374" s="66"/>
      <c r="C374" s="53"/>
      <c r="D374" s="45"/>
      <c r="E374" s="45"/>
      <c r="F374" s="45"/>
      <c r="G374" s="45"/>
      <c r="H374" s="45"/>
      <c r="I374" s="45"/>
      <c r="J374" s="51"/>
      <c r="K374" s="53"/>
      <c r="L374" s="45"/>
      <c r="M374" s="45"/>
      <c r="N374" s="45"/>
      <c r="O374" s="45"/>
      <c r="P374" s="45"/>
      <c r="Q374" s="45"/>
      <c r="R374" s="51"/>
      <c r="S374" s="53"/>
      <c r="T374" s="45"/>
      <c r="U374" s="45"/>
      <c r="V374" s="45"/>
      <c r="W374" s="45"/>
      <c r="X374" s="45"/>
      <c r="Y374" s="45"/>
      <c r="Z374" s="51"/>
      <c r="AA374" s="53"/>
      <c r="AB374" s="45"/>
      <c r="AC374" s="45"/>
      <c r="AD374" s="45"/>
      <c r="AE374" s="45"/>
      <c r="AF374" s="45"/>
      <c r="AG374" s="45"/>
      <c r="AH374" s="51"/>
      <c r="AI374" s="53"/>
      <c r="AJ374" s="45"/>
      <c r="AK374" s="45"/>
      <c r="AL374" s="45"/>
      <c r="AM374" s="45"/>
      <c r="AN374" s="45"/>
      <c r="AO374" s="45"/>
      <c r="AP374" s="51"/>
    </row>
    <row r="375" spans="1:42" ht="21" customHeight="1" thickTop="1" thickBot="1" x14ac:dyDescent="0.35">
      <c r="A375" s="63"/>
      <c r="B375" s="66"/>
      <c r="C375" s="54" t="s">
        <v>16</v>
      </c>
      <c r="D375" s="49">
        <f>MIN(D364:D373)</f>
        <v>212.58</v>
      </c>
      <c r="E375" s="45"/>
      <c r="F375" s="55" t="s">
        <v>17</v>
      </c>
      <c r="G375" s="49" t="s">
        <v>18</v>
      </c>
      <c r="H375" s="49" t="s">
        <v>19</v>
      </c>
      <c r="I375" s="45"/>
      <c r="J375" s="51"/>
      <c r="K375" s="54" t="s">
        <v>16</v>
      </c>
      <c r="L375" s="49">
        <f>MIN(L364:L373)</f>
        <v>214.32</v>
      </c>
      <c r="M375" s="45"/>
      <c r="N375" s="55" t="s">
        <v>17</v>
      </c>
      <c r="O375" s="49" t="s">
        <v>18</v>
      </c>
      <c r="P375" s="49" t="s">
        <v>19</v>
      </c>
      <c r="Q375" s="45"/>
      <c r="R375" s="51"/>
      <c r="S375" s="54" t="s">
        <v>16</v>
      </c>
      <c r="T375" s="49">
        <f>MIN(T364:T373)</f>
        <v>216.06</v>
      </c>
      <c r="U375" s="45"/>
      <c r="V375" s="55" t="s">
        <v>17</v>
      </c>
      <c r="W375" s="49" t="s">
        <v>18</v>
      </c>
      <c r="X375" s="49" t="s">
        <v>19</v>
      </c>
      <c r="Y375" s="45"/>
      <c r="Z375" s="51"/>
      <c r="AA375" s="54" t="s">
        <v>16</v>
      </c>
      <c r="AB375" s="49">
        <f>MIN(AB364:AB373)</f>
        <v>212.56</v>
      </c>
      <c r="AC375" s="45"/>
      <c r="AD375" s="55" t="s">
        <v>17</v>
      </c>
      <c r="AE375" s="49" t="s">
        <v>18</v>
      </c>
      <c r="AF375" s="49" t="s">
        <v>19</v>
      </c>
      <c r="AG375" s="45"/>
      <c r="AH375" s="51"/>
      <c r="AI375" s="54" t="s">
        <v>16</v>
      </c>
      <c r="AJ375" s="49">
        <f>MIN(AJ364:AJ373)</f>
        <v>215.45</v>
      </c>
      <c r="AK375" s="45"/>
      <c r="AL375" s="55" t="s">
        <v>17</v>
      </c>
      <c r="AM375" s="49" t="s">
        <v>18</v>
      </c>
      <c r="AN375" s="49" t="s">
        <v>19</v>
      </c>
      <c r="AO375" s="45"/>
      <c r="AP375" s="51"/>
    </row>
    <row r="376" spans="1:42" ht="21" customHeight="1" thickTop="1" thickBot="1" x14ac:dyDescent="0.35">
      <c r="A376" s="63"/>
      <c r="B376" s="66"/>
      <c r="C376" s="54" t="s">
        <v>20</v>
      </c>
      <c r="D376" s="48">
        <f>AVERAGE(D364:D373)</f>
        <v>213.77100000000002</v>
      </c>
      <c r="E376" s="47"/>
      <c r="F376" s="48">
        <f>_xlfn.STDEV.S(D364:D373) / AVERAGE(D364:D373) * 100%</f>
        <v>3.0129189757339761E-3</v>
      </c>
      <c r="G376" s="48">
        <f t="array" ref="G376">MIN((D364:D373 - MIN(D364:D373,L364:L373,T364:T373,AB364:AB373,AJ364:AJ373))/MIN(D364:D373,L364:L373,T364:T373,AB364:AB373,AJ364:AJ373)*100%)</f>
        <v>9.4091080165648443E-5</v>
      </c>
      <c r="H376" s="48">
        <f t="array" ref="H376">AVERAGE((D364:D373 - MIN(D364:D373,L364:L373,T364:T373,AB364:AB373,AJ364:AJ373))/MIN(D364:D373,L364:L373,T364:T373,AB364:AB373,AJ364:AJ373)*100%)</f>
        <v>5.6972149040270918E-3</v>
      </c>
      <c r="I376" s="45"/>
      <c r="J376" s="51"/>
      <c r="K376" s="54" t="s">
        <v>20</v>
      </c>
      <c r="L376" s="48">
        <f>AVERAGE(L364:L373)</f>
        <v>214.80899999999997</v>
      </c>
      <c r="M376" s="47"/>
      <c r="N376" s="48">
        <f>_xlfn.STDEV.S(L364:L373) / AVERAGE(L364:L373) * 100%</f>
        <v>1.33189092336542E-3</v>
      </c>
      <c r="O376" s="48">
        <f t="array" ref="O376">MIN((L364:L373 - MIN(D364:D373,L364:L373,T364:T373,AB364:AB373,AJ364:AJ373))/MIN(D364:D373,L364:L373,T364:T373,AB364:AB373,AJ364:AJ373)*100%)</f>
        <v>8.2800150545727837E-3</v>
      </c>
      <c r="P376" s="48">
        <f t="array" ref="P376">AVERAGE((L364:L373 - MIN(D364:D373,L364:L373,T364:T373,AB364:AB373,AJ364:AJ373))/MIN(D364:D373,L364:L373,T364:T373,AB364:AB373,AJ364:AJ373)*100%)</f>
        <v>1.0580541964621746E-2</v>
      </c>
      <c r="Q376" s="44"/>
      <c r="R376" s="51"/>
      <c r="S376" s="54" t="s">
        <v>20</v>
      </c>
      <c r="T376" s="48">
        <f>AVERAGE(T364:T373)</f>
        <v>217.32199999999997</v>
      </c>
      <c r="U376" s="47"/>
      <c r="V376" s="48">
        <f>_xlfn.STDEV.S(T364:T373) / AVERAGE(T364:T373) * 100%</f>
        <v>5.5865590528861473E-3</v>
      </c>
      <c r="W376" s="48">
        <f t="array" ref="W376">MIN((T364:T373 - MIN(D364:D373,L364:L373,T364:T373,AB364:AB373,AJ364:AJ373))/MIN(D364:D373,L364:L373,T364:T373,AB364:AB373,AJ364:AJ373)*100%)</f>
        <v>1.6465939028980053E-2</v>
      </c>
      <c r="X376" s="48">
        <f t="array" ref="X376">AVERAGE((T364:T373 - MIN(D364:D373,L364:L373,T364:T373,AB364:AB373,AJ364:AJ373))/MIN(D364:D373,L364:L373,T364:T373,AB364:AB373,AJ364:AJ373)*100%)</f>
        <v>2.2403086187429422E-2</v>
      </c>
      <c r="Y376" s="44"/>
      <c r="Z376" s="51"/>
      <c r="AA376" s="54" t="s">
        <v>20</v>
      </c>
      <c r="AB376" s="48">
        <f>AVERAGE(AB364:AB373)</f>
        <v>215.26399999999998</v>
      </c>
      <c r="AC376" s="47"/>
      <c r="AD376" s="48">
        <f>_xlfn.STDEV.S(AB364:AB373) / AVERAGE(AB364:AB373) * 100%</f>
        <v>8.8993968619878513E-3</v>
      </c>
      <c r="AE376" s="48">
        <f t="array" ref="AE376">MIN((AB364:AB373 - MIN(D364:D373,L364:L373,T364:T373,AB364:AB373,AJ364:AJ373))/MIN(D364:D373,L364:L373,T364:T373,AB364:AB373,AJ364:AJ373)*100%)</f>
        <v>0</v>
      </c>
      <c r="AF376" s="48">
        <f t="array" ref="AF376">AVERAGE((AB364:AB373 - MIN(D364:D373,L364:L373,T364:T373,AB364:AB373,AJ364:AJ373))/MIN(D364:D373,L364:L373,T364:T373,AB364:AB373,AJ364:AJ373)*100%)</f>
        <v>1.2721114038389169E-2</v>
      </c>
      <c r="AG376" s="44"/>
      <c r="AH376" s="51"/>
      <c r="AI376" s="54" t="s">
        <v>20</v>
      </c>
      <c r="AJ376" s="48">
        <f>AVERAGE(AJ364:AJ373)</f>
        <v>216.68899999999999</v>
      </c>
      <c r="AK376" s="47"/>
      <c r="AL376" s="48">
        <f>_xlfn.STDEV.S(AJ364:AJ373) / AVERAGE(AJ364:AJ373) * 100%</f>
        <v>3.0283438856196819E-3</v>
      </c>
      <c r="AM376" s="48">
        <f t="array" ref="AM376">MIN((AJ364:AJ373 - MIN(D364:D373,L364:L373,T364:T373,AB364:AB373,AJ364:AJ373))/MIN(D364:D373,L364:L373,T364:T373,AB364:AB373,AJ364:AJ373)*100%)</f>
        <v>1.3596161083929179E-2</v>
      </c>
      <c r="AN376" s="48">
        <f t="array" ref="AN376">AVERAGE((AJ364:AJ373 - MIN(D364:D373,L364:L373,T364:T373,AB364:AB373,AJ364:AJ373))/MIN(D364:D373,L364:L373,T364:T373,AB364:AB373,AJ364:AJ373)*100%)</f>
        <v>1.942510350018815E-2</v>
      </c>
      <c r="AO376" s="44"/>
      <c r="AP376" s="51"/>
    </row>
    <row r="377" spans="1:42" ht="21" customHeight="1" thickTop="1" thickBot="1" x14ac:dyDescent="0.35">
      <c r="A377" s="63"/>
      <c r="B377" s="67"/>
      <c r="C377" s="53"/>
      <c r="D377" s="44"/>
      <c r="E377" s="44"/>
      <c r="F377" s="44"/>
      <c r="G377" s="44"/>
      <c r="H377" s="44"/>
      <c r="I377" s="44"/>
      <c r="J377" s="51"/>
      <c r="K377" s="53"/>
      <c r="L377" s="44"/>
      <c r="M377" s="44"/>
      <c r="N377" s="44"/>
      <c r="O377" s="44"/>
      <c r="P377" s="44"/>
      <c r="Q377" s="44"/>
      <c r="R377" s="51"/>
      <c r="S377" s="53"/>
      <c r="T377" s="44"/>
      <c r="U377" s="44"/>
      <c r="V377" s="44"/>
      <c r="W377" s="44"/>
      <c r="X377" s="44"/>
      <c r="Y377" s="44"/>
      <c r="Z377" s="51"/>
      <c r="AA377" s="53"/>
      <c r="AB377" s="44"/>
      <c r="AC377" s="44"/>
      <c r="AD377" s="44"/>
      <c r="AE377" s="44"/>
      <c r="AF377" s="44"/>
      <c r="AG377" s="44"/>
      <c r="AH377" s="51"/>
      <c r="AI377" s="53"/>
      <c r="AJ377" s="44"/>
      <c r="AK377" s="44"/>
      <c r="AL377" s="44"/>
      <c r="AM377" s="44"/>
      <c r="AN377" s="44"/>
      <c r="AO377" s="44"/>
      <c r="AP377" s="51"/>
    </row>
    <row r="378" spans="1:42" ht="21" customHeight="1" thickTop="1" thickBot="1" x14ac:dyDescent="0.35">
      <c r="A378" s="63"/>
      <c r="B378" s="65" t="s">
        <v>91</v>
      </c>
      <c r="C378" s="59" t="s">
        <v>8</v>
      </c>
      <c r="D378" s="46" t="s">
        <v>9</v>
      </c>
      <c r="E378" s="46" t="s">
        <v>10</v>
      </c>
      <c r="F378" s="46" t="s">
        <v>11</v>
      </c>
      <c r="G378" s="46" t="s">
        <v>12</v>
      </c>
      <c r="H378" s="46" t="s">
        <v>13</v>
      </c>
      <c r="I378" s="46" t="s">
        <v>14</v>
      </c>
      <c r="J378" s="60" t="s">
        <v>15</v>
      </c>
      <c r="K378" s="59" t="s">
        <v>8</v>
      </c>
      <c r="L378" s="46" t="s">
        <v>9</v>
      </c>
      <c r="M378" s="46" t="s">
        <v>10</v>
      </c>
      <c r="N378" s="46" t="s">
        <v>11</v>
      </c>
      <c r="O378" s="46" t="s">
        <v>12</v>
      </c>
      <c r="P378" s="46" t="s">
        <v>13</v>
      </c>
      <c r="Q378" s="46" t="s">
        <v>14</v>
      </c>
      <c r="R378" s="60" t="s">
        <v>15</v>
      </c>
      <c r="S378" s="59" t="s">
        <v>8</v>
      </c>
      <c r="T378" s="46" t="s">
        <v>9</v>
      </c>
      <c r="U378" s="46" t="s">
        <v>10</v>
      </c>
      <c r="V378" s="46" t="s">
        <v>11</v>
      </c>
      <c r="W378" s="46" t="s">
        <v>12</v>
      </c>
      <c r="X378" s="46" t="s">
        <v>13</v>
      </c>
      <c r="Y378" s="46" t="s">
        <v>14</v>
      </c>
      <c r="Z378" s="60" t="s">
        <v>15</v>
      </c>
      <c r="AA378" s="59" t="s">
        <v>8</v>
      </c>
      <c r="AB378" s="46" t="s">
        <v>9</v>
      </c>
      <c r="AC378" s="46" t="s">
        <v>10</v>
      </c>
      <c r="AD378" s="46" t="s">
        <v>11</v>
      </c>
      <c r="AE378" s="46" t="s">
        <v>12</v>
      </c>
      <c r="AF378" s="46" t="s">
        <v>13</v>
      </c>
      <c r="AG378" s="46" t="s">
        <v>14</v>
      </c>
      <c r="AH378" s="60" t="s">
        <v>15</v>
      </c>
      <c r="AI378" s="59" t="s">
        <v>8</v>
      </c>
      <c r="AJ378" s="46" t="s">
        <v>9</v>
      </c>
      <c r="AK378" s="46" t="s">
        <v>10</v>
      </c>
      <c r="AL378" s="46" t="s">
        <v>11</v>
      </c>
      <c r="AM378" s="46" t="s">
        <v>12</v>
      </c>
      <c r="AN378" s="46" t="s">
        <v>13</v>
      </c>
      <c r="AO378" s="46" t="s">
        <v>14</v>
      </c>
      <c r="AP378" s="60" t="s">
        <v>15</v>
      </c>
    </row>
    <row r="379" spans="1:42" ht="21" customHeight="1" thickTop="1" thickBot="1" x14ac:dyDescent="0.35">
      <c r="A379" s="63"/>
      <c r="B379" s="66"/>
      <c r="C379" s="52">
        <v>1</v>
      </c>
      <c r="D379" s="44">
        <v>240.34</v>
      </c>
      <c r="E379" s="44"/>
      <c r="F379" s="44"/>
      <c r="G379" s="44"/>
      <c r="H379" s="44"/>
      <c r="I379" s="44"/>
      <c r="J379" s="51"/>
      <c r="K379" s="52">
        <v>1</v>
      </c>
      <c r="L379" s="44">
        <v>240.79</v>
      </c>
      <c r="M379" s="44"/>
      <c r="N379" s="44"/>
      <c r="O379" s="44"/>
      <c r="P379" s="44"/>
      <c r="Q379" s="44"/>
      <c r="R379" s="51"/>
      <c r="S379" s="52">
        <v>1</v>
      </c>
      <c r="T379" s="44">
        <v>241.47</v>
      </c>
      <c r="U379" s="44"/>
      <c r="V379" s="44"/>
      <c r="W379" s="44"/>
      <c r="X379" s="44"/>
      <c r="Y379" s="44"/>
      <c r="Z379" s="51"/>
      <c r="AA379" s="52">
        <v>1</v>
      </c>
      <c r="AB379" s="44">
        <v>242</v>
      </c>
      <c r="AC379" s="44"/>
      <c r="AD379" s="44"/>
      <c r="AE379" s="44"/>
      <c r="AF379" s="44"/>
      <c r="AG379" s="44"/>
      <c r="AH379" s="51"/>
      <c r="AI379" s="52">
        <v>1</v>
      </c>
      <c r="AJ379" s="44">
        <v>239.77</v>
      </c>
      <c r="AK379" s="44"/>
      <c r="AL379" s="44"/>
      <c r="AM379" s="44"/>
      <c r="AN379" s="44"/>
      <c r="AO379" s="44"/>
      <c r="AP379" s="51"/>
    </row>
    <row r="380" spans="1:42" ht="21" customHeight="1" thickTop="1" thickBot="1" x14ac:dyDescent="0.35">
      <c r="A380" s="63"/>
      <c r="B380" s="66"/>
      <c r="C380" s="53">
        <v>2</v>
      </c>
      <c r="D380" s="45">
        <v>241.34</v>
      </c>
      <c r="E380" s="45"/>
      <c r="F380" s="45"/>
      <c r="G380" s="45"/>
      <c r="H380" s="45"/>
      <c r="I380" s="45"/>
      <c r="J380" s="51"/>
      <c r="K380" s="53">
        <v>2</v>
      </c>
      <c r="L380" s="45">
        <v>241.38</v>
      </c>
      <c r="M380" s="45"/>
      <c r="N380" s="45"/>
      <c r="O380" s="45"/>
      <c r="P380" s="45"/>
      <c r="Q380" s="45"/>
      <c r="R380" s="51"/>
      <c r="S380" s="53">
        <v>2</v>
      </c>
      <c r="T380" s="45">
        <v>241.77</v>
      </c>
      <c r="U380" s="45"/>
      <c r="V380" s="45"/>
      <c r="W380" s="45"/>
      <c r="X380" s="45"/>
      <c r="Y380" s="45"/>
      <c r="Z380" s="51"/>
      <c r="AA380" s="53">
        <v>2</v>
      </c>
      <c r="AB380" s="45">
        <v>241.84</v>
      </c>
      <c r="AC380" s="45"/>
      <c r="AD380" s="45"/>
      <c r="AE380" s="45"/>
      <c r="AF380" s="45"/>
      <c r="AG380" s="45"/>
      <c r="AH380" s="51"/>
      <c r="AI380" s="53">
        <v>2</v>
      </c>
      <c r="AJ380" s="45">
        <v>240.41</v>
      </c>
      <c r="AK380" s="45"/>
      <c r="AL380" s="45"/>
      <c r="AM380" s="45"/>
      <c r="AN380" s="45"/>
      <c r="AO380" s="45"/>
      <c r="AP380" s="51"/>
    </row>
    <row r="381" spans="1:42" ht="21" customHeight="1" thickTop="1" thickBot="1" x14ac:dyDescent="0.35">
      <c r="A381" s="63"/>
      <c r="B381" s="66"/>
      <c r="C381" s="53">
        <v>3</v>
      </c>
      <c r="D381" s="45">
        <v>240.16</v>
      </c>
      <c r="E381" s="45"/>
      <c r="F381" s="45"/>
      <c r="G381" s="44"/>
      <c r="H381" s="44"/>
      <c r="I381" s="44"/>
      <c r="J381" s="51"/>
      <c r="K381" s="53">
        <v>3</v>
      </c>
      <c r="L381" s="45">
        <v>241.52</v>
      </c>
      <c r="M381" s="45"/>
      <c r="N381" s="45"/>
      <c r="O381" s="44"/>
      <c r="P381" s="44"/>
      <c r="Q381" s="44"/>
      <c r="R381" s="51"/>
      <c r="S381" s="53">
        <v>3</v>
      </c>
      <c r="T381" s="45">
        <v>241.79</v>
      </c>
      <c r="U381" s="45"/>
      <c r="V381" s="45"/>
      <c r="W381" s="44"/>
      <c r="X381" s="44"/>
      <c r="Y381" s="44"/>
      <c r="Z381" s="51"/>
      <c r="AA381" s="53">
        <v>3</v>
      </c>
      <c r="AB381" s="45">
        <v>240.74</v>
      </c>
      <c r="AC381" s="45"/>
      <c r="AD381" s="45"/>
      <c r="AE381" s="44"/>
      <c r="AF381" s="44"/>
      <c r="AG381" s="44"/>
      <c r="AH381" s="51"/>
      <c r="AI381" s="53">
        <v>3</v>
      </c>
      <c r="AJ381" s="45">
        <v>238.88</v>
      </c>
      <c r="AK381" s="45"/>
      <c r="AL381" s="45"/>
      <c r="AM381" s="44"/>
      <c r="AN381" s="44"/>
      <c r="AO381" s="44"/>
      <c r="AP381" s="51"/>
    </row>
    <row r="382" spans="1:42" ht="21" customHeight="1" thickTop="1" thickBot="1" x14ac:dyDescent="0.35">
      <c r="A382" s="63"/>
      <c r="B382" s="66"/>
      <c r="C382" s="53">
        <v>4</v>
      </c>
      <c r="D382" s="45">
        <v>240.06</v>
      </c>
      <c r="E382" s="45"/>
      <c r="F382" s="45"/>
      <c r="G382" s="45"/>
      <c r="H382" s="45"/>
      <c r="I382" s="45"/>
      <c r="J382" s="51"/>
      <c r="K382" s="53">
        <v>4</v>
      </c>
      <c r="L382" s="45">
        <v>241.26</v>
      </c>
      <c r="M382" s="45"/>
      <c r="N382" s="45"/>
      <c r="O382" s="45"/>
      <c r="P382" s="45"/>
      <c r="Q382" s="45"/>
      <c r="R382" s="51"/>
      <c r="S382" s="53">
        <v>4</v>
      </c>
      <c r="T382" s="45">
        <v>242.89</v>
      </c>
      <c r="U382" s="45"/>
      <c r="V382" s="45"/>
      <c r="W382" s="45"/>
      <c r="X382" s="45"/>
      <c r="Y382" s="45"/>
      <c r="Z382" s="51"/>
      <c r="AA382" s="53">
        <v>4</v>
      </c>
      <c r="AB382" s="45">
        <v>241.42</v>
      </c>
      <c r="AC382" s="45"/>
      <c r="AD382" s="45"/>
      <c r="AE382" s="45"/>
      <c r="AF382" s="45"/>
      <c r="AG382" s="45"/>
      <c r="AH382" s="51"/>
      <c r="AI382" s="53">
        <v>4</v>
      </c>
      <c r="AJ382" s="45">
        <v>241.71</v>
      </c>
      <c r="AK382" s="45"/>
      <c r="AL382" s="45"/>
      <c r="AM382" s="45"/>
      <c r="AN382" s="45"/>
      <c r="AO382" s="45"/>
      <c r="AP382" s="51"/>
    </row>
    <row r="383" spans="1:42" ht="21" customHeight="1" thickTop="1" thickBot="1" x14ac:dyDescent="0.35">
      <c r="A383" s="63"/>
      <c r="B383" s="66"/>
      <c r="C383" s="53">
        <v>5</v>
      </c>
      <c r="D383" s="45">
        <v>241.57</v>
      </c>
      <c r="E383" s="45"/>
      <c r="F383" s="45"/>
      <c r="G383" s="45"/>
      <c r="H383" s="45"/>
      <c r="I383" s="45"/>
      <c r="J383" s="51"/>
      <c r="K383" s="53">
        <v>5</v>
      </c>
      <c r="L383" s="45">
        <v>241.91</v>
      </c>
      <c r="M383" s="45"/>
      <c r="N383" s="45"/>
      <c r="O383" s="45"/>
      <c r="P383" s="45"/>
      <c r="Q383" s="45"/>
      <c r="R383" s="51"/>
      <c r="S383" s="53">
        <v>5</v>
      </c>
      <c r="T383" s="45">
        <v>240.57</v>
      </c>
      <c r="U383" s="45"/>
      <c r="V383" s="45"/>
      <c r="W383" s="45"/>
      <c r="X383" s="45"/>
      <c r="Y383" s="45"/>
      <c r="Z383" s="51"/>
      <c r="AA383" s="53">
        <v>5</v>
      </c>
      <c r="AB383" s="45">
        <v>241.98</v>
      </c>
      <c r="AC383" s="45"/>
      <c r="AD383" s="45"/>
      <c r="AE383" s="45"/>
      <c r="AF383" s="45"/>
      <c r="AG383" s="45"/>
      <c r="AH383" s="51"/>
      <c r="AI383" s="53">
        <v>5</v>
      </c>
      <c r="AJ383" s="45">
        <v>241.3</v>
      </c>
      <c r="AK383" s="45"/>
      <c r="AL383" s="45"/>
      <c r="AM383" s="45"/>
      <c r="AN383" s="45"/>
      <c r="AO383" s="45"/>
      <c r="AP383" s="51"/>
    </row>
    <row r="384" spans="1:42" ht="21" customHeight="1" thickTop="1" thickBot="1" x14ac:dyDescent="0.35">
      <c r="A384" s="63"/>
      <c r="B384" s="66"/>
      <c r="C384" s="53">
        <v>6</v>
      </c>
      <c r="D384" s="45">
        <v>241.53</v>
      </c>
      <c r="E384" s="45"/>
      <c r="F384" s="45"/>
      <c r="G384" s="45"/>
      <c r="H384" s="45"/>
      <c r="I384" s="45"/>
      <c r="J384" s="51"/>
      <c r="K384" s="53">
        <v>6</v>
      </c>
      <c r="L384" s="45">
        <v>242.36</v>
      </c>
      <c r="M384" s="45"/>
      <c r="N384" s="45"/>
      <c r="O384" s="45"/>
      <c r="P384" s="45"/>
      <c r="Q384" s="45"/>
      <c r="R384" s="51"/>
      <c r="S384" s="53">
        <v>6</v>
      </c>
      <c r="T384" s="45">
        <v>241.08</v>
      </c>
      <c r="U384" s="45"/>
      <c r="V384" s="45"/>
      <c r="W384" s="45"/>
      <c r="X384" s="45"/>
      <c r="Y384" s="45"/>
      <c r="Z384" s="51"/>
      <c r="AA384" s="53">
        <v>6</v>
      </c>
      <c r="AB384" s="45">
        <v>241.81</v>
      </c>
      <c r="AC384" s="45"/>
      <c r="AD384" s="45"/>
      <c r="AE384" s="45"/>
      <c r="AF384" s="45"/>
      <c r="AG384" s="45"/>
      <c r="AH384" s="51"/>
      <c r="AI384" s="53">
        <v>6</v>
      </c>
      <c r="AJ384" s="45">
        <v>239.33</v>
      </c>
      <c r="AK384" s="45"/>
      <c r="AL384" s="45"/>
      <c r="AM384" s="45"/>
      <c r="AN384" s="45"/>
      <c r="AO384" s="45"/>
      <c r="AP384" s="51"/>
    </row>
    <row r="385" spans="1:42" ht="21" customHeight="1" thickTop="1" thickBot="1" x14ac:dyDescent="0.35">
      <c r="A385" s="63"/>
      <c r="B385" s="66"/>
      <c r="C385" s="53">
        <v>7</v>
      </c>
      <c r="D385" s="45">
        <v>239.21</v>
      </c>
      <c r="E385" s="45"/>
      <c r="F385" s="45"/>
      <c r="G385" s="45"/>
      <c r="H385" s="45"/>
      <c r="I385" s="45"/>
      <c r="J385" s="51"/>
      <c r="K385" s="53">
        <v>7</v>
      </c>
      <c r="L385" s="45">
        <v>242.05</v>
      </c>
      <c r="M385" s="45"/>
      <c r="N385" s="45"/>
      <c r="O385" s="45"/>
      <c r="P385" s="45"/>
      <c r="Q385" s="45"/>
      <c r="R385" s="51"/>
      <c r="S385" s="53">
        <v>7</v>
      </c>
      <c r="T385" s="45">
        <v>240.89</v>
      </c>
      <c r="U385" s="45"/>
      <c r="V385" s="45"/>
      <c r="W385" s="45"/>
      <c r="X385" s="45"/>
      <c r="Y385" s="45"/>
      <c r="Z385" s="51"/>
      <c r="AA385" s="53">
        <v>7</v>
      </c>
      <c r="AB385" s="45">
        <v>240.77</v>
      </c>
      <c r="AC385" s="45"/>
      <c r="AD385" s="45"/>
      <c r="AE385" s="45"/>
      <c r="AF385" s="45"/>
      <c r="AG385" s="45"/>
      <c r="AH385" s="51"/>
      <c r="AI385" s="53">
        <v>7</v>
      </c>
      <c r="AJ385" s="45">
        <v>241.33</v>
      </c>
      <c r="AK385" s="45"/>
      <c r="AL385" s="45"/>
      <c r="AM385" s="45"/>
      <c r="AN385" s="45"/>
      <c r="AO385" s="45"/>
      <c r="AP385" s="51"/>
    </row>
    <row r="386" spans="1:42" ht="21" customHeight="1" thickTop="1" thickBot="1" x14ac:dyDescent="0.35">
      <c r="A386" s="63"/>
      <c r="B386" s="66"/>
      <c r="C386" s="53">
        <v>8</v>
      </c>
      <c r="D386" s="45">
        <v>239.59</v>
      </c>
      <c r="E386" s="45"/>
      <c r="F386" s="45"/>
      <c r="G386" s="45"/>
      <c r="H386" s="45"/>
      <c r="I386" s="45"/>
      <c r="J386" s="51"/>
      <c r="K386" s="53">
        <v>8</v>
      </c>
      <c r="L386" s="45">
        <v>240.95</v>
      </c>
      <c r="M386" s="45"/>
      <c r="N386" s="45"/>
      <c r="O386" s="45"/>
      <c r="P386" s="45"/>
      <c r="Q386" s="45"/>
      <c r="R386" s="51"/>
      <c r="S386" s="53">
        <v>8</v>
      </c>
      <c r="T386" s="45">
        <v>240.72</v>
      </c>
      <c r="U386" s="45"/>
      <c r="V386" s="45"/>
      <c r="W386" s="45"/>
      <c r="X386" s="45"/>
      <c r="Y386" s="45"/>
      <c r="Z386" s="51"/>
      <c r="AA386" s="53">
        <v>8</v>
      </c>
      <c r="AB386" s="45">
        <v>241.04</v>
      </c>
      <c r="AC386" s="45"/>
      <c r="AD386" s="45"/>
      <c r="AE386" s="45"/>
      <c r="AF386" s="45"/>
      <c r="AG386" s="45"/>
      <c r="AH386" s="51"/>
      <c r="AI386" s="53">
        <v>8</v>
      </c>
      <c r="AJ386" s="45">
        <v>241.89</v>
      </c>
      <c r="AK386" s="45"/>
      <c r="AL386" s="45"/>
      <c r="AM386" s="45"/>
      <c r="AN386" s="45"/>
      <c r="AO386" s="45"/>
      <c r="AP386" s="51"/>
    </row>
    <row r="387" spans="1:42" ht="21" customHeight="1" thickTop="1" thickBot="1" x14ac:dyDescent="0.35">
      <c r="A387" s="63"/>
      <c r="B387" s="66"/>
      <c r="C387" s="53">
        <v>9</v>
      </c>
      <c r="D387" s="45">
        <v>239.47</v>
      </c>
      <c r="E387" s="45"/>
      <c r="F387" s="45"/>
      <c r="G387" s="45"/>
      <c r="H387" s="45"/>
      <c r="I387" s="45"/>
      <c r="J387" s="51"/>
      <c r="K387" s="53">
        <v>9</v>
      </c>
      <c r="L387" s="45">
        <v>242.2</v>
      </c>
      <c r="M387" s="45"/>
      <c r="N387" s="45"/>
      <c r="O387" s="45"/>
      <c r="P387" s="45"/>
      <c r="Q387" s="45"/>
      <c r="R387" s="51"/>
      <c r="S387" s="53">
        <v>9</v>
      </c>
      <c r="T387" s="45">
        <v>240.45</v>
      </c>
      <c r="U387" s="45"/>
      <c r="V387" s="45"/>
      <c r="W387" s="45"/>
      <c r="X387" s="45"/>
      <c r="Y387" s="45"/>
      <c r="Z387" s="51"/>
      <c r="AA387" s="53">
        <v>9</v>
      </c>
      <c r="AB387" s="45">
        <v>242.07</v>
      </c>
      <c r="AC387" s="45"/>
      <c r="AD387" s="45"/>
      <c r="AE387" s="45"/>
      <c r="AF387" s="45"/>
      <c r="AG387" s="45"/>
      <c r="AH387" s="51"/>
      <c r="AI387" s="53">
        <v>9</v>
      </c>
      <c r="AJ387" s="45">
        <v>241.51</v>
      </c>
      <c r="AK387" s="45"/>
      <c r="AL387" s="45"/>
      <c r="AM387" s="45"/>
      <c r="AN387" s="45"/>
      <c r="AO387" s="45"/>
      <c r="AP387" s="51"/>
    </row>
    <row r="388" spans="1:42" ht="21" customHeight="1" thickTop="1" thickBot="1" x14ac:dyDescent="0.35">
      <c r="A388" s="63"/>
      <c r="B388" s="66"/>
      <c r="C388" s="53">
        <v>10</v>
      </c>
      <c r="D388" s="45">
        <v>240.53</v>
      </c>
      <c r="E388" s="45"/>
      <c r="F388" s="45"/>
      <c r="G388" s="45"/>
      <c r="H388" s="45"/>
      <c r="I388" s="45"/>
      <c r="J388" s="51"/>
      <c r="K388" s="53">
        <v>10</v>
      </c>
      <c r="L388" s="45">
        <v>240.89</v>
      </c>
      <c r="M388" s="45"/>
      <c r="N388" s="45"/>
      <c r="O388" s="45"/>
      <c r="P388" s="45"/>
      <c r="Q388" s="45"/>
      <c r="R388" s="51"/>
      <c r="S388" s="53">
        <v>10</v>
      </c>
      <c r="T388" s="45">
        <v>240.61</v>
      </c>
      <c r="U388" s="45"/>
      <c r="V388" s="45"/>
      <c r="W388" s="45"/>
      <c r="X388" s="45"/>
      <c r="Y388" s="45"/>
      <c r="Z388" s="51"/>
      <c r="AA388" s="53">
        <v>10</v>
      </c>
      <c r="AB388" s="45">
        <v>240.92</v>
      </c>
      <c r="AC388" s="45"/>
      <c r="AD388" s="45"/>
      <c r="AE388" s="45"/>
      <c r="AF388" s="45"/>
      <c r="AG388" s="45"/>
      <c r="AH388" s="51"/>
      <c r="AI388" s="53">
        <v>10</v>
      </c>
      <c r="AJ388" s="45">
        <v>241.28</v>
      </c>
      <c r="AK388" s="45"/>
      <c r="AL388" s="45"/>
      <c r="AM388" s="45"/>
      <c r="AN388" s="45"/>
      <c r="AO388" s="45"/>
      <c r="AP388" s="51"/>
    </row>
    <row r="389" spans="1:42" ht="21" customHeight="1" thickTop="1" thickBot="1" x14ac:dyDescent="0.35">
      <c r="A389" s="63"/>
      <c r="B389" s="66"/>
      <c r="C389" s="53"/>
      <c r="D389" s="45"/>
      <c r="E389" s="45"/>
      <c r="F389" s="45"/>
      <c r="G389" s="45"/>
      <c r="H389" s="45"/>
      <c r="I389" s="45"/>
      <c r="J389" s="51"/>
      <c r="K389" s="53"/>
      <c r="L389" s="45"/>
      <c r="M389" s="45"/>
      <c r="N389" s="45"/>
      <c r="O389" s="45"/>
      <c r="P389" s="45"/>
      <c r="Q389" s="45"/>
      <c r="R389" s="51"/>
      <c r="S389" s="53"/>
      <c r="T389" s="45"/>
      <c r="U389" s="45"/>
      <c r="V389" s="45"/>
      <c r="W389" s="45"/>
      <c r="X389" s="45"/>
      <c r="Y389" s="45"/>
      <c r="Z389" s="51"/>
      <c r="AA389" s="53"/>
      <c r="AB389" s="45"/>
      <c r="AC389" s="45"/>
      <c r="AD389" s="45"/>
      <c r="AE389" s="45"/>
      <c r="AF389" s="45"/>
      <c r="AG389" s="45"/>
      <c r="AH389" s="51"/>
      <c r="AI389" s="53"/>
      <c r="AJ389" s="45"/>
      <c r="AK389" s="45"/>
      <c r="AL389" s="45"/>
      <c r="AM389" s="45"/>
      <c r="AN389" s="45"/>
      <c r="AO389" s="45"/>
      <c r="AP389" s="51"/>
    </row>
    <row r="390" spans="1:42" ht="21" customHeight="1" thickTop="1" thickBot="1" x14ac:dyDescent="0.35">
      <c r="A390" s="63"/>
      <c r="B390" s="66"/>
      <c r="C390" s="54" t="s">
        <v>16</v>
      </c>
      <c r="D390" s="49">
        <f>MIN(D379:D388)</f>
        <v>239.21</v>
      </c>
      <c r="E390" s="45"/>
      <c r="F390" s="55" t="s">
        <v>17</v>
      </c>
      <c r="G390" s="49" t="s">
        <v>18</v>
      </c>
      <c r="H390" s="49" t="s">
        <v>19</v>
      </c>
      <c r="I390" s="45"/>
      <c r="J390" s="51"/>
      <c r="K390" s="54" t="s">
        <v>16</v>
      </c>
      <c r="L390" s="49">
        <f>MIN(L379:L388)</f>
        <v>240.79</v>
      </c>
      <c r="M390" s="45"/>
      <c r="N390" s="55" t="s">
        <v>17</v>
      </c>
      <c r="O390" s="49" t="s">
        <v>18</v>
      </c>
      <c r="P390" s="49" t="s">
        <v>19</v>
      </c>
      <c r="Q390" s="45"/>
      <c r="R390" s="51"/>
      <c r="S390" s="54" t="s">
        <v>16</v>
      </c>
      <c r="T390" s="49">
        <f>MIN(T379:T388)</f>
        <v>240.45</v>
      </c>
      <c r="U390" s="45"/>
      <c r="V390" s="55" t="s">
        <v>17</v>
      </c>
      <c r="W390" s="49" t="s">
        <v>18</v>
      </c>
      <c r="X390" s="49" t="s">
        <v>19</v>
      </c>
      <c r="Y390" s="45"/>
      <c r="Z390" s="51"/>
      <c r="AA390" s="54" t="s">
        <v>16</v>
      </c>
      <c r="AB390" s="49">
        <f>MIN(AB379:AB388)</f>
        <v>240.74</v>
      </c>
      <c r="AC390" s="45"/>
      <c r="AD390" s="55" t="s">
        <v>17</v>
      </c>
      <c r="AE390" s="49" t="s">
        <v>18</v>
      </c>
      <c r="AF390" s="49" t="s">
        <v>19</v>
      </c>
      <c r="AG390" s="45"/>
      <c r="AH390" s="51"/>
      <c r="AI390" s="54" t="s">
        <v>16</v>
      </c>
      <c r="AJ390" s="49">
        <f>MIN(AJ379:AJ388)</f>
        <v>238.88</v>
      </c>
      <c r="AK390" s="45"/>
      <c r="AL390" s="55" t="s">
        <v>17</v>
      </c>
      <c r="AM390" s="49" t="s">
        <v>18</v>
      </c>
      <c r="AN390" s="49" t="s">
        <v>19</v>
      </c>
      <c r="AO390" s="45"/>
      <c r="AP390" s="51"/>
    </row>
    <row r="391" spans="1:42" ht="21" customHeight="1" thickTop="1" thickBot="1" x14ac:dyDescent="0.35">
      <c r="A391" s="63"/>
      <c r="B391" s="66"/>
      <c r="C391" s="54" t="s">
        <v>20</v>
      </c>
      <c r="D391" s="48">
        <f>AVERAGE(D379:D388)</f>
        <v>240.38000000000002</v>
      </c>
      <c r="E391" s="47"/>
      <c r="F391" s="48">
        <f>_xlfn.STDEV.S(D379:D388) / AVERAGE(D379:D388) * 100%</f>
        <v>3.5776149430331431E-3</v>
      </c>
      <c r="G391" s="48">
        <f t="array" ref="G391">MIN((D379:D388 - MIN(D379:D388,L379:L388,T379:T388,AB379:AB388,AJ379:AJ388))/MIN(D379:D388,L379:L388,T379:T388,AB379:AB388,AJ379:AJ388)*100%)</f>
        <v>1.3814467515070852E-3</v>
      </c>
      <c r="H391" s="48">
        <f t="array" ref="H391">AVERAGE((D379:D388 - MIN(D379:D388,L379:L388,T379:T388,AB379:AB388,AJ379:AJ388))/MIN(D379:D388,L379:L388,T379:T388,AB379:AB388,AJ379:AJ388)*100%)</f>
        <v>6.2793034159410828E-3</v>
      </c>
      <c r="I391" s="45"/>
      <c r="J391" s="51"/>
      <c r="K391" s="54" t="s">
        <v>20</v>
      </c>
      <c r="L391" s="48">
        <f>AVERAGE(L379:L388)</f>
        <v>241.53099999999995</v>
      </c>
      <c r="M391" s="47"/>
      <c r="N391" s="48">
        <f>_xlfn.STDEV.S(L379:L388) / AVERAGE(L379:L388) * 100%</f>
        <v>2.3670330284108533E-3</v>
      </c>
      <c r="O391" s="48">
        <f t="array" ref="O391">MIN((L379:L388 - MIN(D379:D388,L379:L388,T379:T388,AB379:AB388,AJ379:AJ388))/MIN(D379:D388,L379:L388,T379:T388,AB379:AB388,AJ379:AJ388)*100%)</f>
        <v>7.9956463496316001E-3</v>
      </c>
      <c r="P391" s="48">
        <f t="array" ref="P391">AVERAGE((L379:L388 - MIN(D379:D388,L379:L388,T379:T388,AB379:AB388,AJ379:AJ388))/MIN(D379:D388,L379:L388,T379:T388,AB379:AB388,AJ379:AJ388)*100%)</f>
        <v>1.1097622237106506E-2</v>
      </c>
      <c r="Q391" s="44"/>
      <c r="R391" s="51"/>
      <c r="S391" s="54" t="s">
        <v>20</v>
      </c>
      <c r="T391" s="48">
        <f>AVERAGE(T379:T388)</f>
        <v>241.22400000000002</v>
      </c>
      <c r="U391" s="47"/>
      <c r="V391" s="48">
        <f>_xlfn.STDEV.S(T379:T388) / AVERAGE(T379:T388) * 100%</f>
        <v>3.1645799490584892E-3</v>
      </c>
      <c r="W391" s="48">
        <f t="array" ref="W391">MIN((T379:T388 - MIN(D379:D388,L379:L388,T379:T388,AB379:AB388,AJ379:AJ388))/MIN(D379:D388,L379:L388,T379:T388,AB379:AB388,AJ379:AJ388)*100%)</f>
        <v>6.5723375753516129E-3</v>
      </c>
      <c r="X391" s="48">
        <f t="array" ref="X391">AVERAGE((T379:T388 - MIN(D379:D388,L379:L388,T379:T388,AB379:AB388,AJ379:AJ388))/MIN(D379:D388,L379:L388,T379:T388,AB379:AB388,AJ379:AJ388)*100%)</f>
        <v>9.8124581379772386E-3</v>
      </c>
      <c r="Y391" s="44"/>
      <c r="Z391" s="51"/>
      <c r="AA391" s="54" t="s">
        <v>20</v>
      </c>
      <c r="AB391" s="48">
        <f>AVERAGE(AB379:AB388)</f>
        <v>241.459</v>
      </c>
      <c r="AC391" s="47"/>
      <c r="AD391" s="48">
        <f>_xlfn.STDEV.S(AB379:AB388) / AVERAGE(AB379:AB388) * 100%</f>
        <v>2.2536750019311112E-3</v>
      </c>
      <c r="AE391" s="48">
        <f t="array" ref="AE391">MIN((AB379:AB388 - MIN(D379:D388,L379:L388,T379:T388,AB379:AB388,AJ379:AJ388))/MIN(D379:D388,L379:L388,T379:T388,AB379:AB388,AJ379:AJ388)*100%)</f>
        <v>7.7863362357669698E-3</v>
      </c>
      <c r="AF391" s="48">
        <f t="array" ref="AF391">AVERAGE((AB379:AB388 - MIN(D379:D388,L379:L388,T379:T388,AB379:AB388,AJ379:AJ388))/MIN(D379:D388,L379:L388,T379:T388,AB379:AB388,AJ379:AJ388)*100%)</f>
        <v>1.0796215673141336E-2</v>
      </c>
      <c r="AG391" s="44"/>
      <c r="AH391" s="51"/>
      <c r="AI391" s="54" t="s">
        <v>20</v>
      </c>
      <c r="AJ391" s="48">
        <f>AVERAGE(AJ379:AJ388)</f>
        <v>240.74100000000004</v>
      </c>
      <c r="AK391" s="47"/>
      <c r="AL391" s="48">
        <f>_xlfn.STDEV.S(AJ379:AJ388) / AVERAGE(AJ379:AJ388) * 100%</f>
        <v>4.4452554104564401E-3</v>
      </c>
      <c r="AM391" s="48">
        <f t="array" ref="AM391">MIN((AJ379:AJ388 - MIN(D379:D388,L379:L388,T379:T388,AB379:AB388,AJ379:AJ388))/MIN(D379:D388,L379:L388,T379:T388,AB379:AB388,AJ379:AJ388)*100%)</f>
        <v>0</v>
      </c>
      <c r="AN391" s="48">
        <f t="array" ref="AN391">AVERAGE((AJ379:AJ388 - MIN(D379:D388,L379:L388,T379:T388,AB379:AB388,AJ379:AJ388))/MIN(D379:D388,L379:L388,T379:T388,AB379:AB388,AJ379:AJ388)*100%)</f>
        <v>7.7905224380442365E-3</v>
      </c>
      <c r="AO391" s="44"/>
      <c r="AP391" s="51"/>
    </row>
    <row r="392" spans="1:42" ht="21" customHeight="1" thickTop="1" thickBot="1" x14ac:dyDescent="0.35">
      <c r="A392" s="63"/>
      <c r="B392" s="67"/>
      <c r="C392" s="53"/>
      <c r="D392" s="44"/>
      <c r="E392" s="44"/>
      <c r="F392" s="44"/>
      <c r="G392" s="44"/>
      <c r="H392" s="44"/>
      <c r="I392" s="44"/>
      <c r="J392" s="51"/>
      <c r="K392" s="53"/>
      <c r="L392" s="44"/>
      <c r="M392" s="44"/>
      <c r="N392" s="44"/>
      <c r="O392" s="44"/>
      <c r="P392" s="44"/>
      <c r="Q392" s="44"/>
      <c r="R392" s="51"/>
      <c r="S392" s="53"/>
      <c r="T392" s="44"/>
      <c r="U392" s="44"/>
      <c r="V392" s="44"/>
      <c r="W392" s="44"/>
      <c r="X392" s="44"/>
      <c r="Y392" s="44"/>
      <c r="Z392" s="51"/>
      <c r="AA392" s="53"/>
      <c r="AB392" s="44"/>
      <c r="AC392" s="44"/>
      <c r="AD392" s="44"/>
      <c r="AE392" s="44"/>
      <c r="AF392" s="44"/>
      <c r="AG392" s="44"/>
      <c r="AH392" s="51"/>
      <c r="AI392" s="53"/>
      <c r="AJ392" s="44"/>
      <c r="AK392" s="44"/>
      <c r="AL392" s="44"/>
      <c r="AM392" s="44"/>
      <c r="AN392" s="44"/>
      <c r="AO392" s="44"/>
      <c r="AP392" s="51"/>
    </row>
    <row r="393" spans="1:42" ht="21" customHeight="1" thickTop="1" thickBot="1" x14ac:dyDescent="0.35">
      <c r="A393" s="63"/>
      <c r="B393" s="65" t="s">
        <v>92</v>
      </c>
      <c r="C393" s="59" t="s">
        <v>8</v>
      </c>
      <c r="D393" s="46" t="s">
        <v>9</v>
      </c>
      <c r="E393" s="46" t="s">
        <v>10</v>
      </c>
      <c r="F393" s="46" t="s">
        <v>11</v>
      </c>
      <c r="G393" s="46" t="s">
        <v>12</v>
      </c>
      <c r="H393" s="46" t="s">
        <v>13</v>
      </c>
      <c r="I393" s="46" t="s">
        <v>14</v>
      </c>
      <c r="J393" s="60" t="s">
        <v>15</v>
      </c>
      <c r="K393" s="59" t="s">
        <v>8</v>
      </c>
      <c r="L393" s="46" t="s">
        <v>9</v>
      </c>
      <c r="M393" s="46" t="s">
        <v>10</v>
      </c>
      <c r="N393" s="46" t="s">
        <v>11</v>
      </c>
      <c r="O393" s="46" t="s">
        <v>12</v>
      </c>
      <c r="P393" s="46" t="s">
        <v>13</v>
      </c>
      <c r="Q393" s="46" t="s">
        <v>14</v>
      </c>
      <c r="R393" s="60" t="s">
        <v>15</v>
      </c>
      <c r="S393" s="59" t="s">
        <v>8</v>
      </c>
      <c r="T393" s="46" t="s">
        <v>9</v>
      </c>
      <c r="U393" s="46" t="s">
        <v>10</v>
      </c>
      <c r="V393" s="46" t="s">
        <v>11</v>
      </c>
      <c r="W393" s="46" t="s">
        <v>12</v>
      </c>
      <c r="X393" s="46" t="s">
        <v>13</v>
      </c>
      <c r="Y393" s="46" t="s">
        <v>14</v>
      </c>
      <c r="Z393" s="60" t="s">
        <v>15</v>
      </c>
      <c r="AA393" s="59" t="s">
        <v>8</v>
      </c>
      <c r="AB393" s="46" t="s">
        <v>9</v>
      </c>
      <c r="AC393" s="46" t="s">
        <v>10</v>
      </c>
      <c r="AD393" s="46" t="s">
        <v>11</v>
      </c>
      <c r="AE393" s="46" t="s">
        <v>12</v>
      </c>
      <c r="AF393" s="46" t="s">
        <v>13</v>
      </c>
      <c r="AG393" s="46" t="s">
        <v>14</v>
      </c>
      <c r="AH393" s="60" t="s">
        <v>15</v>
      </c>
      <c r="AI393" s="59" t="s">
        <v>8</v>
      </c>
      <c r="AJ393" s="46" t="s">
        <v>9</v>
      </c>
      <c r="AK393" s="46" t="s">
        <v>10</v>
      </c>
      <c r="AL393" s="46" t="s">
        <v>11</v>
      </c>
      <c r="AM393" s="46" t="s">
        <v>12</v>
      </c>
      <c r="AN393" s="46" t="s">
        <v>13</v>
      </c>
      <c r="AO393" s="46" t="s">
        <v>14</v>
      </c>
      <c r="AP393" s="60" t="s">
        <v>15</v>
      </c>
    </row>
    <row r="394" spans="1:42" ht="21" customHeight="1" thickTop="1" thickBot="1" x14ac:dyDescent="0.35">
      <c r="A394" s="63"/>
      <c r="B394" s="66"/>
      <c r="C394" s="52">
        <v>1</v>
      </c>
      <c r="D394" s="44">
        <v>241.45</v>
      </c>
      <c r="E394" s="44"/>
      <c r="F394" s="44"/>
      <c r="G394" s="44"/>
      <c r="H394" s="44"/>
      <c r="I394" s="44"/>
      <c r="J394" s="51"/>
      <c r="K394" s="52">
        <v>1</v>
      </c>
      <c r="L394" s="44">
        <v>243.63</v>
      </c>
      <c r="M394" s="44"/>
      <c r="N394" s="44"/>
      <c r="O394" s="44"/>
      <c r="P394" s="44"/>
      <c r="Q394" s="44"/>
      <c r="R394" s="51"/>
      <c r="S394" s="52">
        <v>1</v>
      </c>
      <c r="T394" s="44">
        <v>243.59</v>
      </c>
      <c r="U394" s="44"/>
      <c r="V394" s="44"/>
      <c r="W394" s="44"/>
      <c r="X394" s="44"/>
      <c r="Y394" s="44"/>
      <c r="Z394" s="51"/>
      <c r="AA394" s="52">
        <v>1</v>
      </c>
      <c r="AB394" s="44">
        <v>244.15</v>
      </c>
      <c r="AC394" s="44"/>
      <c r="AD394" s="44"/>
      <c r="AE394" s="44"/>
      <c r="AF394" s="44"/>
      <c r="AG394" s="44"/>
      <c r="AH394" s="51"/>
      <c r="AI394" s="52">
        <v>1</v>
      </c>
      <c r="AJ394" s="44">
        <v>242.97</v>
      </c>
      <c r="AK394" s="44"/>
      <c r="AL394" s="44"/>
      <c r="AM394" s="44"/>
      <c r="AN394" s="44"/>
      <c r="AO394" s="44"/>
      <c r="AP394" s="51"/>
    </row>
    <row r="395" spans="1:42" ht="21" customHeight="1" thickTop="1" thickBot="1" x14ac:dyDescent="0.35">
      <c r="A395" s="63"/>
      <c r="B395" s="66"/>
      <c r="C395" s="53">
        <v>2</v>
      </c>
      <c r="D395" s="45">
        <v>240.16</v>
      </c>
      <c r="E395" s="45"/>
      <c r="F395" s="45"/>
      <c r="G395" s="45"/>
      <c r="H395" s="45"/>
      <c r="I395" s="45"/>
      <c r="J395" s="51"/>
      <c r="K395" s="53">
        <v>2</v>
      </c>
      <c r="L395" s="45">
        <v>244.08</v>
      </c>
      <c r="M395" s="45"/>
      <c r="N395" s="45"/>
      <c r="O395" s="45"/>
      <c r="P395" s="45"/>
      <c r="Q395" s="45"/>
      <c r="R395" s="51"/>
      <c r="S395" s="53">
        <v>2</v>
      </c>
      <c r="T395" s="45">
        <v>245.18</v>
      </c>
      <c r="U395" s="45"/>
      <c r="V395" s="45"/>
      <c r="W395" s="45"/>
      <c r="X395" s="45"/>
      <c r="Y395" s="45"/>
      <c r="Z395" s="51"/>
      <c r="AA395" s="53">
        <v>2</v>
      </c>
      <c r="AB395" s="45">
        <v>244.08</v>
      </c>
      <c r="AC395" s="45"/>
      <c r="AD395" s="45"/>
      <c r="AE395" s="45"/>
      <c r="AF395" s="45"/>
      <c r="AG395" s="45"/>
      <c r="AH395" s="51"/>
      <c r="AI395" s="53">
        <v>2</v>
      </c>
      <c r="AJ395" s="45">
        <v>242.37</v>
      </c>
      <c r="AK395" s="45"/>
      <c r="AL395" s="45"/>
      <c r="AM395" s="45"/>
      <c r="AN395" s="45"/>
      <c r="AO395" s="45"/>
      <c r="AP395" s="51"/>
    </row>
    <row r="396" spans="1:42" ht="21" customHeight="1" thickTop="1" thickBot="1" x14ac:dyDescent="0.35">
      <c r="A396" s="63"/>
      <c r="B396" s="66"/>
      <c r="C396" s="53">
        <v>3</v>
      </c>
      <c r="D396" s="45">
        <v>243.9</v>
      </c>
      <c r="E396" s="45"/>
      <c r="F396" s="45"/>
      <c r="G396" s="44"/>
      <c r="H396" s="44"/>
      <c r="I396" s="44"/>
      <c r="J396" s="51"/>
      <c r="K396" s="53">
        <v>3</v>
      </c>
      <c r="L396" s="45">
        <v>244.39</v>
      </c>
      <c r="M396" s="45"/>
      <c r="N396" s="45"/>
      <c r="O396" s="44"/>
      <c r="P396" s="44"/>
      <c r="Q396" s="44"/>
      <c r="R396" s="51"/>
      <c r="S396" s="53">
        <v>3</v>
      </c>
      <c r="T396" s="45">
        <v>243.13</v>
      </c>
      <c r="U396" s="45"/>
      <c r="V396" s="45"/>
      <c r="W396" s="44"/>
      <c r="X396" s="44"/>
      <c r="Y396" s="44"/>
      <c r="Z396" s="51"/>
      <c r="AA396" s="53">
        <v>3</v>
      </c>
      <c r="AB396" s="45">
        <v>242.15</v>
      </c>
      <c r="AC396" s="45"/>
      <c r="AD396" s="45"/>
      <c r="AE396" s="44"/>
      <c r="AF396" s="44"/>
      <c r="AG396" s="44"/>
      <c r="AH396" s="51"/>
      <c r="AI396" s="53">
        <v>3</v>
      </c>
      <c r="AJ396" s="45">
        <v>244.36</v>
      </c>
      <c r="AK396" s="45"/>
      <c r="AL396" s="45"/>
      <c r="AM396" s="44"/>
      <c r="AN396" s="44"/>
      <c r="AO396" s="44"/>
      <c r="AP396" s="51"/>
    </row>
    <row r="397" spans="1:42" ht="21" customHeight="1" thickTop="1" thickBot="1" x14ac:dyDescent="0.35">
      <c r="A397" s="63"/>
      <c r="B397" s="66"/>
      <c r="C397" s="53">
        <v>4</v>
      </c>
      <c r="D397" s="45">
        <v>243.99</v>
      </c>
      <c r="E397" s="45"/>
      <c r="F397" s="45"/>
      <c r="G397" s="45"/>
      <c r="H397" s="45"/>
      <c r="I397" s="45"/>
      <c r="J397" s="51"/>
      <c r="K397" s="53">
        <v>4</v>
      </c>
      <c r="L397" s="45">
        <v>243.41</v>
      </c>
      <c r="M397" s="45"/>
      <c r="N397" s="45"/>
      <c r="O397" s="45"/>
      <c r="P397" s="45"/>
      <c r="Q397" s="45"/>
      <c r="R397" s="51"/>
      <c r="S397" s="53">
        <v>4</v>
      </c>
      <c r="T397" s="45">
        <v>244.84</v>
      </c>
      <c r="U397" s="45"/>
      <c r="V397" s="45"/>
      <c r="W397" s="45"/>
      <c r="X397" s="45"/>
      <c r="Y397" s="45"/>
      <c r="Z397" s="51"/>
      <c r="AA397" s="53">
        <v>4</v>
      </c>
      <c r="AB397" s="45">
        <v>242.2</v>
      </c>
      <c r="AC397" s="45"/>
      <c r="AD397" s="45"/>
      <c r="AE397" s="45"/>
      <c r="AF397" s="45"/>
      <c r="AG397" s="45"/>
      <c r="AH397" s="51"/>
      <c r="AI397" s="53">
        <v>4</v>
      </c>
      <c r="AJ397" s="45">
        <v>244.17</v>
      </c>
      <c r="AK397" s="45"/>
      <c r="AL397" s="45"/>
      <c r="AM397" s="45"/>
      <c r="AN397" s="45"/>
      <c r="AO397" s="45"/>
      <c r="AP397" s="51"/>
    </row>
    <row r="398" spans="1:42" ht="21" customHeight="1" thickTop="1" thickBot="1" x14ac:dyDescent="0.35">
      <c r="A398" s="63"/>
      <c r="B398" s="66"/>
      <c r="C398" s="53">
        <v>5</v>
      </c>
      <c r="D398" s="45">
        <v>241.18</v>
      </c>
      <c r="E398" s="45"/>
      <c r="F398" s="45"/>
      <c r="G398" s="45"/>
      <c r="H398" s="45"/>
      <c r="I398" s="45"/>
      <c r="J398" s="51"/>
      <c r="K398" s="53">
        <v>5</v>
      </c>
      <c r="L398" s="45">
        <v>244.39</v>
      </c>
      <c r="M398" s="45"/>
      <c r="N398" s="45"/>
      <c r="O398" s="45"/>
      <c r="P398" s="45"/>
      <c r="Q398" s="45"/>
      <c r="R398" s="51"/>
      <c r="S398" s="53">
        <v>5</v>
      </c>
      <c r="T398" s="45">
        <v>247.93</v>
      </c>
      <c r="U398" s="45"/>
      <c r="V398" s="45"/>
      <c r="W398" s="45"/>
      <c r="X398" s="45"/>
      <c r="Y398" s="45"/>
      <c r="Z398" s="51"/>
      <c r="AA398" s="53">
        <v>5</v>
      </c>
      <c r="AB398" s="45">
        <v>245.59</v>
      </c>
      <c r="AC398" s="45"/>
      <c r="AD398" s="45"/>
      <c r="AE398" s="45"/>
      <c r="AF398" s="45"/>
      <c r="AG398" s="45"/>
      <c r="AH398" s="51"/>
      <c r="AI398" s="53">
        <v>5</v>
      </c>
      <c r="AJ398" s="45">
        <v>243.05</v>
      </c>
      <c r="AK398" s="45"/>
      <c r="AL398" s="45"/>
      <c r="AM398" s="45"/>
      <c r="AN398" s="45"/>
      <c r="AO398" s="45"/>
      <c r="AP398" s="51"/>
    </row>
    <row r="399" spans="1:42" ht="21" customHeight="1" thickTop="1" thickBot="1" x14ac:dyDescent="0.35">
      <c r="A399" s="63"/>
      <c r="B399" s="66"/>
      <c r="C399" s="53">
        <v>6</v>
      </c>
      <c r="D399" s="45">
        <v>243.26</v>
      </c>
      <c r="E399" s="45"/>
      <c r="F399" s="45"/>
      <c r="G399" s="45"/>
      <c r="H399" s="45"/>
      <c r="I399" s="45"/>
      <c r="J399" s="51"/>
      <c r="K399" s="53">
        <v>6</v>
      </c>
      <c r="L399" s="45">
        <v>244.51</v>
      </c>
      <c r="M399" s="45"/>
      <c r="N399" s="45"/>
      <c r="O399" s="45"/>
      <c r="P399" s="45"/>
      <c r="Q399" s="45"/>
      <c r="R399" s="51"/>
      <c r="S399" s="53">
        <v>6</v>
      </c>
      <c r="T399" s="45">
        <v>245.04</v>
      </c>
      <c r="U399" s="45"/>
      <c r="V399" s="45"/>
      <c r="W399" s="45"/>
      <c r="X399" s="45"/>
      <c r="Y399" s="45"/>
      <c r="Z399" s="51"/>
      <c r="AA399" s="53">
        <v>6</v>
      </c>
      <c r="AB399" s="45">
        <v>241.28</v>
      </c>
      <c r="AC399" s="45"/>
      <c r="AD399" s="45"/>
      <c r="AE399" s="45"/>
      <c r="AF399" s="45"/>
      <c r="AG399" s="45"/>
      <c r="AH399" s="51"/>
      <c r="AI399" s="53">
        <v>6</v>
      </c>
      <c r="AJ399" s="45">
        <v>244.3</v>
      </c>
      <c r="AK399" s="45"/>
      <c r="AL399" s="45"/>
      <c r="AM399" s="45"/>
      <c r="AN399" s="45"/>
      <c r="AO399" s="45"/>
      <c r="AP399" s="51"/>
    </row>
    <row r="400" spans="1:42" ht="21" customHeight="1" thickTop="1" thickBot="1" x14ac:dyDescent="0.35">
      <c r="A400" s="63"/>
      <c r="B400" s="66"/>
      <c r="C400" s="53">
        <v>7</v>
      </c>
      <c r="D400" s="45">
        <v>243.56</v>
      </c>
      <c r="E400" s="45"/>
      <c r="F400" s="45"/>
      <c r="G400" s="45"/>
      <c r="H400" s="45"/>
      <c r="I400" s="45"/>
      <c r="J400" s="51"/>
      <c r="K400" s="53">
        <v>7</v>
      </c>
      <c r="L400" s="45">
        <v>242.81</v>
      </c>
      <c r="M400" s="45"/>
      <c r="N400" s="45"/>
      <c r="O400" s="45"/>
      <c r="P400" s="45"/>
      <c r="Q400" s="45"/>
      <c r="R400" s="51"/>
      <c r="S400" s="53">
        <v>7</v>
      </c>
      <c r="T400" s="45">
        <v>244.17</v>
      </c>
      <c r="U400" s="45"/>
      <c r="V400" s="45"/>
      <c r="W400" s="45"/>
      <c r="X400" s="45"/>
      <c r="Y400" s="45"/>
      <c r="Z400" s="51"/>
      <c r="AA400" s="53">
        <v>7</v>
      </c>
      <c r="AB400" s="45">
        <v>243.16</v>
      </c>
      <c r="AC400" s="45"/>
      <c r="AD400" s="45"/>
      <c r="AE400" s="45"/>
      <c r="AF400" s="45"/>
      <c r="AG400" s="45"/>
      <c r="AH400" s="51"/>
      <c r="AI400" s="53">
        <v>7</v>
      </c>
      <c r="AJ400" s="45">
        <v>243.23</v>
      </c>
      <c r="AK400" s="45"/>
      <c r="AL400" s="45"/>
      <c r="AM400" s="45"/>
      <c r="AN400" s="45"/>
      <c r="AO400" s="45"/>
      <c r="AP400" s="51"/>
    </row>
    <row r="401" spans="1:42" ht="21" customHeight="1" thickTop="1" thickBot="1" x14ac:dyDescent="0.35">
      <c r="A401" s="63"/>
      <c r="B401" s="66"/>
      <c r="C401" s="53">
        <v>8</v>
      </c>
      <c r="D401" s="45">
        <v>242.01</v>
      </c>
      <c r="E401" s="45"/>
      <c r="F401" s="45"/>
      <c r="G401" s="45"/>
      <c r="H401" s="45"/>
      <c r="I401" s="45"/>
      <c r="J401" s="51"/>
      <c r="K401" s="53">
        <v>8</v>
      </c>
      <c r="L401" s="45">
        <v>243.82</v>
      </c>
      <c r="M401" s="45"/>
      <c r="N401" s="45"/>
      <c r="O401" s="45"/>
      <c r="P401" s="45"/>
      <c r="Q401" s="45"/>
      <c r="R401" s="51"/>
      <c r="S401" s="53">
        <v>8</v>
      </c>
      <c r="T401" s="45">
        <v>244.17</v>
      </c>
      <c r="U401" s="45"/>
      <c r="V401" s="45"/>
      <c r="W401" s="45"/>
      <c r="X401" s="45"/>
      <c r="Y401" s="45"/>
      <c r="Z401" s="51"/>
      <c r="AA401" s="53">
        <v>8</v>
      </c>
      <c r="AB401" s="45">
        <v>243.65</v>
      </c>
      <c r="AC401" s="45"/>
      <c r="AD401" s="45"/>
      <c r="AE401" s="45"/>
      <c r="AF401" s="45"/>
      <c r="AG401" s="45"/>
      <c r="AH401" s="51"/>
      <c r="AI401" s="53">
        <v>8</v>
      </c>
      <c r="AJ401" s="45">
        <v>243.18</v>
      </c>
      <c r="AK401" s="45"/>
      <c r="AL401" s="45"/>
      <c r="AM401" s="45"/>
      <c r="AN401" s="45"/>
      <c r="AO401" s="45"/>
      <c r="AP401" s="51"/>
    </row>
    <row r="402" spans="1:42" ht="21" customHeight="1" thickTop="1" thickBot="1" x14ac:dyDescent="0.35">
      <c r="A402" s="63"/>
      <c r="B402" s="66"/>
      <c r="C402" s="53">
        <v>9</v>
      </c>
      <c r="D402" s="45">
        <v>243.12</v>
      </c>
      <c r="E402" s="45"/>
      <c r="F402" s="45"/>
      <c r="G402" s="45"/>
      <c r="H402" s="45"/>
      <c r="I402" s="45"/>
      <c r="J402" s="51"/>
      <c r="K402" s="53">
        <v>9</v>
      </c>
      <c r="L402" s="45">
        <v>243.26</v>
      </c>
      <c r="M402" s="45"/>
      <c r="N402" s="45"/>
      <c r="O402" s="45"/>
      <c r="P402" s="45"/>
      <c r="Q402" s="45"/>
      <c r="R402" s="51"/>
      <c r="S402" s="53">
        <v>9</v>
      </c>
      <c r="T402" s="45">
        <v>241.54</v>
      </c>
      <c r="U402" s="45"/>
      <c r="V402" s="45"/>
      <c r="W402" s="45"/>
      <c r="X402" s="45"/>
      <c r="Y402" s="45"/>
      <c r="Z402" s="51"/>
      <c r="AA402" s="53">
        <v>9</v>
      </c>
      <c r="AB402" s="45">
        <v>242.86</v>
      </c>
      <c r="AC402" s="45"/>
      <c r="AD402" s="45"/>
      <c r="AE402" s="45"/>
      <c r="AF402" s="45"/>
      <c r="AG402" s="45"/>
      <c r="AH402" s="51"/>
      <c r="AI402" s="53">
        <v>9</v>
      </c>
      <c r="AJ402" s="45">
        <v>244.61</v>
      </c>
      <c r="AK402" s="45"/>
      <c r="AL402" s="45"/>
      <c r="AM402" s="45"/>
      <c r="AN402" s="45"/>
      <c r="AO402" s="45"/>
      <c r="AP402" s="51"/>
    </row>
    <row r="403" spans="1:42" ht="21" customHeight="1" thickTop="1" thickBot="1" x14ac:dyDescent="0.35">
      <c r="A403" s="63"/>
      <c r="B403" s="66"/>
      <c r="C403" s="53">
        <v>10</v>
      </c>
      <c r="D403" s="45">
        <v>244.03</v>
      </c>
      <c r="E403" s="45"/>
      <c r="F403" s="45"/>
      <c r="G403" s="45"/>
      <c r="H403" s="45"/>
      <c r="I403" s="45"/>
      <c r="J403" s="51"/>
      <c r="K403" s="53">
        <v>10</v>
      </c>
      <c r="L403" s="45">
        <v>243.67</v>
      </c>
      <c r="M403" s="45"/>
      <c r="N403" s="45"/>
      <c r="O403" s="45"/>
      <c r="P403" s="45"/>
      <c r="Q403" s="45"/>
      <c r="R403" s="51"/>
      <c r="S403" s="53">
        <v>10</v>
      </c>
      <c r="T403" s="45">
        <v>244.79</v>
      </c>
      <c r="U403" s="45"/>
      <c r="V403" s="45"/>
      <c r="W403" s="45"/>
      <c r="X403" s="45"/>
      <c r="Y403" s="45"/>
      <c r="Z403" s="51"/>
      <c r="AA403" s="53">
        <v>10</v>
      </c>
      <c r="AB403" s="45">
        <v>242.93</v>
      </c>
      <c r="AC403" s="45"/>
      <c r="AD403" s="45"/>
      <c r="AE403" s="45"/>
      <c r="AF403" s="45"/>
      <c r="AG403" s="45"/>
      <c r="AH403" s="51"/>
      <c r="AI403" s="53">
        <v>10</v>
      </c>
      <c r="AJ403" s="45">
        <v>244.31</v>
      </c>
      <c r="AK403" s="45"/>
      <c r="AL403" s="45"/>
      <c r="AM403" s="45"/>
      <c r="AN403" s="45"/>
      <c r="AO403" s="45"/>
      <c r="AP403" s="51"/>
    </row>
    <row r="404" spans="1:42" ht="21" customHeight="1" thickTop="1" thickBot="1" x14ac:dyDescent="0.35">
      <c r="A404" s="63"/>
      <c r="B404" s="66"/>
      <c r="C404" s="53"/>
      <c r="D404" s="45"/>
      <c r="E404" s="45"/>
      <c r="F404" s="45"/>
      <c r="G404" s="45"/>
      <c r="H404" s="45"/>
      <c r="I404" s="45"/>
      <c r="J404" s="51"/>
      <c r="K404" s="53"/>
      <c r="L404" s="45"/>
      <c r="M404" s="45"/>
      <c r="N404" s="45"/>
      <c r="O404" s="45"/>
      <c r="P404" s="45"/>
      <c r="Q404" s="45"/>
      <c r="R404" s="51"/>
      <c r="S404" s="53"/>
      <c r="T404" s="45"/>
      <c r="U404" s="45"/>
      <c r="V404" s="45"/>
      <c r="W404" s="45"/>
      <c r="X404" s="45"/>
      <c r="Y404" s="45"/>
      <c r="Z404" s="51"/>
      <c r="AA404" s="53"/>
      <c r="AB404" s="45"/>
      <c r="AC404" s="45"/>
      <c r="AD404" s="45"/>
      <c r="AE404" s="45"/>
      <c r="AF404" s="45"/>
      <c r="AG404" s="45"/>
      <c r="AH404" s="51"/>
      <c r="AI404" s="53"/>
      <c r="AJ404" s="45"/>
      <c r="AK404" s="45"/>
      <c r="AL404" s="45"/>
      <c r="AM404" s="45"/>
      <c r="AN404" s="45"/>
      <c r="AO404" s="45"/>
      <c r="AP404" s="51"/>
    </row>
    <row r="405" spans="1:42" ht="21" customHeight="1" thickTop="1" thickBot="1" x14ac:dyDescent="0.35">
      <c r="A405" s="63"/>
      <c r="B405" s="66"/>
      <c r="C405" s="54" t="s">
        <v>16</v>
      </c>
      <c r="D405" s="49">
        <f>MIN(D394:D403)</f>
        <v>240.16</v>
      </c>
      <c r="E405" s="45"/>
      <c r="F405" s="55" t="s">
        <v>17</v>
      </c>
      <c r="G405" s="49" t="s">
        <v>18</v>
      </c>
      <c r="H405" s="49" t="s">
        <v>19</v>
      </c>
      <c r="I405" s="45"/>
      <c r="J405" s="51"/>
      <c r="K405" s="54" t="s">
        <v>16</v>
      </c>
      <c r="L405" s="49">
        <f>MIN(L394:L403)</f>
        <v>242.81</v>
      </c>
      <c r="M405" s="45"/>
      <c r="N405" s="55" t="s">
        <v>17</v>
      </c>
      <c r="O405" s="49" t="s">
        <v>18</v>
      </c>
      <c r="P405" s="49" t="s">
        <v>19</v>
      </c>
      <c r="Q405" s="45"/>
      <c r="R405" s="51"/>
      <c r="S405" s="54" t="s">
        <v>16</v>
      </c>
      <c r="T405" s="49">
        <f>MIN(T394:T403)</f>
        <v>241.54</v>
      </c>
      <c r="U405" s="45"/>
      <c r="V405" s="55" t="s">
        <v>17</v>
      </c>
      <c r="W405" s="49" t="s">
        <v>18</v>
      </c>
      <c r="X405" s="49" t="s">
        <v>19</v>
      </c>
      <c r="Y405" s="45"/>
      <c r="Z405" s="51"/>
      <c r="AA405" s="54" t="s">
        <v>16</v>
      </c>
      <c r="AB405" s="49">
        <f>MIN(AB394:AB403)</f>
        <v>241.28</v>
      </c>
      <c r="AC405" s="45"/>
      <c r="AD405" s="55" t="s">
        <v>17</v>
      </c>
      <c r="AE405" s="49" t="s">
        <v>18</v>
      </c>
      <c r="AF405" s="49" t="s">
        <v>19</v>
      </c>
      <c r="AG405" s="45"/>
      <c r="AH405" s="51"/>
      <c r="AI405" s="54" t="s">
        <v>16</v>
      </c>
      <c r="AJ405" s="49">
        <f>MIN(AJ394:AJ403)</f>
        <v>242.37</v>
      </c>
      <c r="AK405" s="45"/>
      <c r="AL405" s="55" t="s">
        <v>17</v>
      </c>
      <c r="AM405" s="49" t="s">
        <v>18</v>
      </c>
      <c r="AN405" s="49" t="s">
        <v>19</v>
      </c>
      <c r="AO405" s="45"/>
      <c r="AP405" s="51"/>
    </row>
    <row r="406" spans="1:42" ht="21" customHeight="1" thickTop="1" thickBot="1" x14ac:dyDescent="0.35">
      <c r="A406" s="63"/>
      <c r="B406" s="66"/>
      <c r="C406" s="54" t="s">
        <v>20</v>
      </c>
      <c r="D406" s="48">
        <f>AVERAGE(D394:D403)</f>
        <v>242.66600000000003</v>
      </c>
      <c r="E406" s="47"/>
      <c r="F406" s="48">
        <f>_xlfn.STDEV.S(D394:D403) / AVERAGE(D394:D403) * 100%</f>
        <v>5.6455430352122752E-3</v>
      </c>
      <c r="G406" s="48">
        <f t="array" ref="G406">MIN((D394:D403 - MIN(D394:D403,L394:L403,T394:T403,AB394:AB403,AJ394:AJ403))/MIN(D394:D403,L394:L403,T394:T403,AB394:AB403,AJ394:AJ403)*100%)</f>
        <v>0</v>
      </c>
      <c r="H406" s="48">
        <f t="array" ref="H406">AVERAGE((D394:D403 - MIN(D394:D403,L394:L403,T394:T403,AB394:AB403,AJ394:AJ403))/MIN(D394:D403,L394:L403,T394:T403,AB394:AB403,AJ394:AJ403)*100%)</f>
        <v>1.0434710193204544E-2</v>
      </c>
      <c r="I406" s="45"/>
      <c r="J406" s="51"/>
      <c r="K406" s="54" t="s">
        <v>20</v>
      </c>
      <c r="L406" s="48">
        <f>AVERAGE(L394:L403)</f>
        <v>243.79700000000003</v>
      </c>
      <c r="M406" s="47"/>
      <c r="N406" s="48">
        <f>_xlfn.STDEV.S(L394:L403) / AVERAGE(L394:L403) * 100%</f>
        <v>2.2667673534897798E-3</v>
      </c>
      <c r="O406" s="48">
        <f t="array" ref="O406">MIN((L394:L403 - MIN(D394:D403,L394:L403,T394:T403,AB394:AB403,AJ394:AJ403))/MIN(D394:D403,L394:L403,T394:T403,AB394:AB403,AJ394:AJ403)*100%)</f>
        <v>1.1034310459693561E-2</v>
      </c>
      <c r="P406" s="48">
        <f t="array" ref="P406">AVERAGE((L394:L403 - MIN(D394:D403,L394:L403,T394:T403,AB394:AB403,AJ394:AJ403))/MIN(D394:D403,L394:L403,T394:T403,AB394:AB403,AJ394:AJ403)*100%)</f>
        <v>1.5144070619586933E-2</v>
      </c>
      <c r="Q406" s="44"/>
      <c r="R406" s="51"/>
      <c r="S406" s="54" t="s">
        <v>20</v>
      </c>
      <c r="T406" s="48">
        <f>AVERAGE(T394:T403)</f>
        <v>244.43800000000002</v>
      </c>
      <c r="U406" s="47"/>
      <c r="V406" s="48">
        <f>_xlfn.STDEV.S(T394:T403) / AVERAGE(T394:T403) * 100%</f>
        <v>6.7311506413309709E-3</v>
      </c>
      <c r="W406" s="48">
        <f t="array" ref="W406">MIN((T394:T403 - MIN(D394:D403,L394:L403,T394:T403,AB394:AB403,AJ394:AJ403))/MIN(D394:D403,L394:L403,T394:T403,AB394:AB403,AJ394:AJ403)*100%)</f>
        <v>5.7461692205196344E-3</v>
      </c>
      <c r="X406" s="48">
        <f t="array" ref="X406">AVERAGE((T394:T403 - MIN(D394:D403,L394:L403,T394:T403,AB394:AB403,AJ394:AJ403))/MIN(D394:D403,L394:L403,T394:T403,AB394:AB403,AJ394:AJ403)*100%)</f>
        <v>1.7813124583610927E-2</v>
      </c>
      <c r="Y406" s="44"/>
      <c r="Z406" s="51"/>
      <c r="AA406" s="54" t="s">
        <v>20</v>
      </c>
      <c r="AB406" s="48">
        <f>AVERAGE(AB394:AB403)</f>
        <v>243.20499999999998</v>
      </c>
      <c r="AC406" s="47"/>
      <c r="AD406" s="48">
        <f>_xlfn.STDEV.S(AB394:AB403) / AVERAGE(AB394:AB403) * 100%</f>
        <v>5.0489395420229947E-3</v>
      </c>
      <c r="AE406" s="48">
        <f t="array" ref="AE406">MIN((AB394:AB403 - MIN(D394:D403,L394:L403,T394:T403,AB394:AB403,AJ394:AJ403))/MIN(D394:D403,L394:L403,T394:T403,AB394:AB403,AJ394:AJ403)*100%)</f>
        <v>4.6635576282478535E-3</v>
      </c>
      <c r="AF406" s="48">
        <f t="array" ref="AF406">AVERAGE((AB394:AB403 - MIN(D394:D403,L394:L403,T394:T403,AB394:AB403,AJ394:AJ403))/MIN(D394:D403,L394:L403,T394:T403,AB394:AB403,AJ394:AJ403)*100%)</f>
        <v>1.2679047301798831E-2</v>
      </c>
      <c r="AG406" s="44"/>
      <c r="AH406" s="51"/>
      <c r="AI406" s="54" t="s">
        <v>20</v>
      </c>
      <c r="AJ406" s="48">
        <f>AVERAGE(AJ394:AJ403)</f>
        <v>243.65500000000003</v>
      </c>
      <c r="AK406" s="47"/>
      <c r="AL406" s="48">
        <f>_xlfn.STDEV.S(AJ394:AJ403) / AVERAGE(AJ394:AJ403) * 100%</f>
        <v>3.1826165549701381E-3</v>
      </c>
      <c r="AM406" s="48">
        <f t="array" ref="AM406">MIN((AJ394:AJ403 - MIN(D394:D403,L394:L403,T394:T403,AB394:AB403,AJ394:AJ403))/MIN(D394:D403,L394:L403,T394:T403,AB394:AB403,AJ394:AJ403)*100%)</f>
        <v>9.2021985343104934E-3</v>
      </c>
      <c r="AN406" s="48">
        <f t="array" ref="AN406">AVERAGE((AJ394:AJ403 - MIN(D394:D403,L394:L403,T394:T403,AB394:AB403,AJ394:AJ403))/MIN(D394:D403,L394:L403,T394:T403,AB394:AB403,AJ394:AJ403)*100%)</f>
        <v>1.455279813457698E-2</v>
      </c>
      <c r="AO406" s="44"/>
      <c r="AP406" s="51"/>
    </row>
    <row r="407" spans="1:42" ht="21" customHeight="1" thickTop="1" thickBot="1" x14ac:dyDescent="0.35">
      <c r="A407" s="63"/>
      <c r="B407" s="67"/>
      <c r="C407" s="53"/>
      <c r="D407" s="44"/>
      <c r="E407" s="44"/>
      <c r="F407" s="44"/>
      <c r="G407" s="44"/>
      <c r="H407" s="44"/>
      <c r="I407" s="44"/>
      <c r="J407" s="51"/>
      <c r="K407" s="53"/>
      <c r="L407" s="44"/>
      <c r="M407" s="44"/>
      <c r="N407" s="44"/>
      <c r="O407" s="44"/>
      <c r="P407" s="44"/>
      <c r="Q407" s="44"/>
      <c r="R407" s="51"/>
      <c r="S407" s="53"/>
      <c r="T407" s="44"/>
      <c r="U407" s="44"/>
      <c r="V407" s="44"/>
      <c r="W407" s="44"/>
      <c r="X407" s="44"/>
      <c r="Y407" s="44"/>
      <c r="Z407" s="51"/>
      <c r="AA407" s="53"/>
      <c r="AB407" s="44"/>
      <c r="AC407" s="44"/>
      <c r="AD407" s="44"/>
      <c r="AE407" s="44"/>
      <c r="AF407" s="44"/>
      <c r="AG407" s="44"/>
      <c r="AH407" s="51"/>
      <c r="AI407" s="53"/>
      <c r="AJ407" s="44"/>
      <c r="AK407" s="44"/>
      <c r="AL407" s="44"/>
      <c r="AM407" s="44"/>
      <c r="AN407" s="44"/>
      <c r="AO407" s="44"/>
      <c r="AP407" s="51"/>
    </row>
    <row r="408" spans="1:42" ht="21" customHeight="1" thickTop="1" thickBot="1" x14ac:dyDescent="0.35">
      <c r="A408" s="63"/>
      <c r="B408" s="65" t="s">
        <v>93</v>
      </c>
      <c r="C408" s="59" t="s">
        <v>8</v>
      </c>
      <c r="D408" s="46" t="s">
        <v>9</v>
      </c>
      <c r="E408" s="46" t="s">
        <v>10</v>
      </c>
      <c r="F408" s="46" t="s">
        <v>11</v>
      </c>
      <c r="G408" s="46" t="s">
        <v>12</v>
      </c>
      <c r="H408" s="46" t="s">
        <v>13</v>
      </c>
      <c r="I408" s="46" t="s">
        <v>14</v>
      </c>
      <c r="J408" s="60" t="s">
        <v>15</v>
      </c>
      <c r="K408" s="59" t="s">
        <v>8</v>
      </c>
      <c r="L408" s="46" t="s">
        <v>9</v>
      </c>
      <c r="M408" s="46" t="s">
        <v>10</v>
      </c>
      <c r="N408" s="46" t="s">
        <v>11</v>
      </c>
      <c r="O408" s="46" t="s">
        <v>12</v>
      </c>
      <c r="P408" s="46" t="s">
        <v>13</v>
      </c>
      <c r="Q408" s="46" t="s">
        <v>14</v>
      </c>
      <c r="R408" s="60" t="s">
        <v>15</v>
      </c>
      <c r="S408" s="59" t="s">
        <v>8</v>
      </c>
      <c r="T408" s="46" t="s">
        <v>9</v>
      </c>
      <c r="U408" s="46" t="s">
        <v>10</v>
      </c>
      <c r="V408" s="46" t="s">
        <v>11</v>
      </c>
      <c r="W408" s="46" t="s">
        <v>12</v>
      </c>
      <c r="X408" s="46" t="s">
        <v>13</v>
      </c>
      <c r="Y408" s="46" t="s">
        <v>14</v>
      </c>
      <c r="Z408" s="60" t="s">
        <v>15</v>
      </c>
      <c r="AA408" s="59" t="s">
        <v>8</v>
      </c>
      <c r="AB408" s="46" t="s">
        <v>9</v>
      </c>
      <c r="AC408" s="46" t="s">
        <v>10</v>
      </c>
      <c r="AD408" s="46" t="s">
        <v>11</v>
      </c>
      <c r="AE408" s="46" t="s">
        <v>12</v>
      </c>
      <c r="AF408" s="46" t="s">
        <v>13</v>
      </c>
      <c r="AG408" s="46" t="s">
        <v>14</v>
      </c>
      <c r="AH408" s="60" t="s">
        <v>15</v>
      </c>
      <c r="AI408" s="59" t="s">
        <v>8</v>
      </c>
      <c r="AJ408" s="46" t="s">
        <v>9</v>
      </c>
      <c r="AK408" s="46" t="s">
        <v>10</v>
      </c>
      <c r="AL408" s="46" t="s">
        <v>11</v>
      </c>
      <c r="AM408" s="46" t="s">
        <v>12</v>
      </c>
      <c r="AN408" s="46" t="s">
        <v>13</v>
      </c>
      <c r="AO408" s="46" t="s">
        <v>14</v>
      </c>
      <c r="AP408" s="60" t="s">
        <v>15</v>
      </c>
    </row>
    <row r="409" spans="1:42" ht="21" customHeight="1" thickTop="1" thickBot="1" x14ac:dyDescent="0.35">
      <c r="A409" s="63"/>
      <c r="B409" s="66"/>
      <c r="C409" s="52">
        <v>1</v>
      </c>
      <c r="D409" s="44">
        <v>263.51</v>
      </c>
      <c r="E409" s="44"/>
      <c r="F409" s="44"/>
      <c r="G409" s="44"/>
      <c r="H409" s="44"/>
      <c r="I409" s="44"/>
      <c r="J409" s="51"/>
      <c r="K409" s="52">
        <v>1</v>
      </c>
      <c r="L409" s="44">
        <v>266.64</v>
      </c>
      <c r="M409" s="44"/>
      <c r="N409" s="44"/>
      <c r="O409" s="44"/>
      <c r="P409" s="44"/>
      <c r="Q409" s="44"/>
      <c r="R409" s="51"/>
      <c r="S409" s="52">
        <v>1</v>
      </c>
      <c r="T409" s="44">
        <v>268.77</v>
      </c>
      <c r="U409" s="44"/>
      <c r="V409" s="44"/>
      <c r="W409" s="44"/>
      <c r="X409" s="44"/>
      <c r="Y409" s="44"/>
      <c r="Z409" s="51"/>
      <c r="AA409" s="52">
        <v>1</v>
      </c>
      <c r="AB409" s="44">
        <v>266.64</v>
      </c>
      <c r="AC409" s="44"/>
      <c r="AD409" s="44"/>
      <c r="AE409" s="44"/>
      <c r="AF409" s="44"/>
      <c r="AG409" s="44"/>
      <c r="AH409" s="51"/>
      <c r="AI409" s="52">
        <v>1</v>
      </c>
      <c r="AJ409" s="44">
        <v>265.55</v>
      </c>
      <c r="AK409" s="44"/>
      <c r="AL409" s="44"/>
      <c r="AM409" s="44"/>
      <c r="AN409" s="44"/>
      <c r="AO409" s="44"/>
      <c r="AP409" s="51"/>
    </row>
    <row r="410" spans="1:42" ht="21" customHeight="1" thickTop="1" thickBot="1" x14ac:dyDescent="0.35">
      <c r="A410" s="63"/>
      <c r="B410" s="66"/>
      <c r="C410" s="53">
        <v>2</v>
      </c>
      <c r="D410" s="45">
        <v>266.75</v>
      </c>
      <c r="E410" s="45"/>
      <c r="F410" s="45"/>
      <c r="G410" s="45"/>
      <c r="H410" s="45"/>
      <c r="I410" s="45"/>
      <c r="J410" s="51"/>
      <c r="K410" s="53">
        <v>2</v>
      </c>
      <c r="L410" s="45">
        <v>268.33999999999997</v>
      </c>
      <c r="M410" s="45"/>
      <c r="N410" s="45"/>
      <c r="O410" s="45"/>
      <c r="P410" s="45"/>
      <c r="Q410" s="45"/>
      <c r="R410" s="51"/>
      <c r="S410" s="53">
        <v>2</v>
      </c>
      <c r="T410" s="45">
        <v>265.45999999999998</v>
      </c>
      <c r="U410" s="45"/>
      <c r="V410" s="45"/>
      <c r="W410" s="45"/>
      <c r="X410" s="45"/>
      <c r="Y410" s="45"/>
      <c r="Z410" s="51"/>
      <c r="AA410" s="53">
        <v>2</v>
      </c>
      <c r="AB410" s="45">
        <v>266.63</v>
      </c>
      <c r="AC410" s="45"/>
      <c r="AD410" s="45"/>
      <c r="AE410" s="45"/>
      <c r="AF410" s="45"/>
      <c r="AG410" s="45"/>
      <c r="AH410" s="51"/>
      <c r="AI410" s="53">
        <v>2</v>
      </c>
      <c r="AJ410" s="45">
        <v>267.02</v>
      </c>
      <c r="AK410" s="45"/>
      <c r="AL410" s="45"/>
      <c r="AM410" s="45"/>
      <c r="AN410" s="45"/>
      <c r="AO410" s="45"/>
      <c r="AP410" s="51"/>
    </row>
    <row r="411" spans="1:42" ht="21" customHeight="1" thickTop="1" thickBot="1" x14ac:dyDescent="0.35">
      <c r="A411" s="63"/>
      <c r="B411" s="66"/>
      <c r="C411" s="53">
        <v>3</v>
      </c>
      <c r="D411" s="45">
        <v>266.55</v>
      </c>
      <c r="E411" s="45"/>
      <c r="F411" s="45"/>
      <c r="G411" s="44"/>
      <c r="H411" s="44"/>
      <c r="I411" s="44"/>
      <c r="J411" s="51"/>
      <c r="K411" s="53">
        <v>3</v>
      </c>
      <c r="L411" s="45">
        <v>266.25</v>
      </c>
      <c r="M411" s="45"/>
      <c r="N411" s="45"/>
      <c r="O411" s="44"/>
      <c r="P411" s="44"/>
      <c r="Q411" s="44"/>
      <c r="R411" s="51"/>
      <c r="S411" s="53">
        <v>3</v>
      </c>
      <c r="T411" s="45">
        <v>264.41000000000003</v>
      </c>
      <c r="U411" s="45"/>
      <c r="V411" s="45"/>
      <c r="W411" s="44"/>
      <c r="X411" s="44"/>
      <c r="Y411" s="44"/>
      <c r="Z411" s="51"/>
      <c r="AA411" s="53">
        <v>3</v>
      </c>
      <c r="AB411" s="45">
        <v>265.99</v>
      </c>
      <c r="AC411" s="45"/>
      <c r="AD411" s="45"/>
      <c r="AE411" s="44"/>
      <c r="AF411" s="44"/>
      <c r="AG411" s="44"/>
      <c r="AH411" s="51"/>
      <c r="AI411" s="53">
        <v>3</v>
      </c>
      <c r="AJ411" s="45">
        <v>266.77999999999997</v>
      </c>
      <c r="AK411" s="45"/>
      <c r="AL411" s="45"/>
      <c r="AM411" s="44"/>
      <c r="AN411" s="44"/>
      <c r="AO411" s="44"/>
      <c r="AP411" s="51"/>
    </row>
    <row r="412" spans="1:42" ht="21" customHeight="1" thickTop="1" thickBot="1" x14ac:dyDescent="0.35">
      <c r="A412" s="63"/>
      <c r="B412" s="66"/>
      <c r="C412" s="53">
        <v>4</v>
      </c>
      <c r="D412" s="45">
        <v>267.05999999999989</v>
      </c>
      <c r="E412" s="45"/>
      <c r="F412" s="45"/>
      <c r="G412" s="45"/>
      <c r="H412" s="45"/>
      <c r="I412" s="45"/>
      <c r="J412" s="51"/>
      <c r="K412" s="53">
        <v>4</v>
      </c>
      <c r="L412" s="45">
        <v>267.95999999999998</v>
      </c>
      <c r="M412" s="45"/>
      <c r="N412" s="45"/>
      <c r="O412" s="45"/>
      <c r="P412" s="45"/>
      <c r="Q412" s="45"/>
      <c r="R412" s="51"/>
      <c r="S412" s="53">
        <v>4</v>
      </c>
      <c r="T412" s="45">
        <v>265.66000000000003</v>
      </c>
      <c r="U412" s="45"/>
      <c r="V412" s="45"/>
      <c r="W412" s="45"/>
      <c r="X412" s="45"/>
      <c r="Y412" s="45"/>
      <c r="Z412" s="51"/>
      <c r="AA412" s="53">
        <v>4</v>
      </c>
      <c r="AB412" s="45">
        <v>267.98</v>
      </c>
      <c r="AC412" s="45"/>
      <c r="AD412" s="45"/>
      <c r="AE412" s="45"/>
      <c r="AF412" s="45"/>
      <c r="AG412" s="45"/>
      <c r="AH412" s="51"/>
      <c r="AI412" s="53">
        <v>4</v>
      </c>
      <c r="AJ412" s="45">
        <v>265.51</v>
      </c>
      <c r="AK412" s="45"/>
      <c r="AL412" s="45"/>
      <c r="AM412" s="45"/>
      <c r="AN412" s="45"/>
      <c r="AO412" s="45"/>
      <c r="AP412" s="51"/>
    </row>
    <row r="413" spans="1:42" ht="21" customHeight="1" thickTop="1" thickBot="1" x14ac:dyDescent="0.35">
      <c r="A413" s="63"/>
      <c r="B413" s="66"/>
      <c r="C413" s="53">
        <v>5</v>
      </c>
      <c r="D413" s="45">
        <v>265.89</v>
      </c>
      <c r="E413" s="45"/>
      <c r="F413" s="45"/>
      <c r="G413" s="45"/>
      <c r="H413" s="45"/>
      <c r="I413" s="45"/>
      <c r="J413" s="51"/>
      <c r="K413" s="53">
        <v>5</v>
      </c>
      <c r="L413" s="45">
        <v>267.10000000000002</v>
      </c>
      <c r="M413" s="45"/>
      <c r="N413" s="45"/>
      <c r="O413" s="45"/>
      <c r="P413" s="45"/>
      <c r="Q413" s="45"/>
      <c r="R413" s="51"/>
      <c r="S413" s="53">
        <v>5</v>
      </c>
      <c r="T413" s="45">
        <v>267.95999999999992</v>
      </c>
      <c r="U413" s="45"/>
      <c r="V413" s="45"/>
      <c r="W413" s="45"/>
      <c r="X413" s="45"/>
      <c r="Y413" s="45"/>
      <c r="Z413" s="51"/>
      <c r="AA413" s="53">
        <v>5</v>
      </c>
      <c r="AB413" s="45">
        <v>268.68999999999988</v>
      </c>
      <c r="AC413" s="45"/>
      <c r="AD413" s="45"/>
      <c r="AE413" s="45"/>
      <c r="AF413" s="45"/>
      <c r="AG413" s="45"/>
      <c r="AH413" s="51"/>
      <c r="AI413" s="53">
        <v>5</v>
      </c>
      <c r="AJ413" s="45">
        <v>267.02</v>
      </c>
      <c r="AK413" s="45"/>
      <c r="AL413" s="45"/>
      <c r="AM413" s="45"/>
      <c r="AN413" s="45"/>
      <c r="AO413" s="45"/>
      <c r="AP413" s="51"/>
    </row>
    <row r="414" spans="1:42" ht="21" customHeight="1" thickTop="1" thickBot="1" x14ac:dyDescent="0.35">
      <c r="A414" s="63"/>
      <c r="B414" s="66"/>
      <c r="C414" s="53">
        <v>6</v>
      </c>
      <c r="D414" s="45">
        <v>266.39</v>
      </c>
      <c r="E414" s="45"/>
      <c r="F414" s="45"/>
      <c r="G414" s="45"/>
      <c r="H414" s="45"/>
      <c r="I414" s="45"/>
      <c r="J414" s="51"/>
      <c r="K414" s="53">
        <v>6</v>
      </c>
      <c r="L414" s="45">
        <v>267</v>
      </c>
      <c r="M414" s="45"/>
      <c r="N414" s="45"/>
      <c r="O414" s="45"/>
      <c r="P414" s="45"/>
      <c r="Q414" s="45"/>
      <c r="R414" s="51"/>
      <c r="S414" s="53">
        <v>6</v>
      </c>
      <c r="T414" s="45">
        <v>266.08999999999997</v>
      </c>
      <c r="U414" s="45"/>
      <c r="V414" s="45"/>
      <c r="W414" s="45"/>
      <c r="X414" s="45"/>
      <c r="Y414" s="45"/>
      <c r="Z414" s="51"/>
      <c r="AA414" s="53">
        <v>6</v>
      </c>
      <c r="AB414" s="45">
        <v>266.89</v>
      </c>
      <c r="AC414" s="45"/>
      <c r="AD414" s="45"/>
      <c r="AE414" s="45"/>
      <c r="AF414" s="45"/>
      <c r="AG414" s="45"/>
      <c r="AH414" s="51"/>
      <c r="AI414" s="53">
        <v>6</v>
      </c>
      <c r="AJ414" s="45">
        <v>265.58</v>
      </c>
      <c r="AK414" s="45"/>
      <c r="AL414" s="45"/>
      <c r="AM414" s="45"/>
      <c r="AN414" s="45"/>
      <c r="AO414" s="45"/>
      <c r="AP414" s="51"/>
    </row>
    <row r="415" spans="1:42" ht="21" customHeight="1" thickTop="1" thickBot="1" x14ac:dyDescent="0.35">
      <c r="A415" s="63"/>
      <c r="B415" s="66"/>
      <c r="C415" s="53">
        <v>7</v>
      </c>
      <c r="D415" s="45">
        <v>264.14</v>
      </c>
      <c r="E415" s="45"/>
      <c r="F415" s="45"/>
      <c r="G415" s="45"/>
      <c r="H415" s="45"/>
      <c r="I415" s="45"/>
      <c r="J415" s="51"/>
      <c r="K415" s="53">
        <v>7</v>
      </c>
      <c r="L415" s="45">
        <v>267.24</v>
      </c>
      <c r="M415" s="45"/>
      <c r="N415" s="45"/>
      <c r="O415" s="45"/>
      <c r="P415" s="45"/>
      <c r="Q415" s="45"/>
      <c r="R415" s="51"/>
      <c r="S415" s="53">
        <v>7</v>
      </c>
      <c r="T415" s="45">
        <v>266.49</v>
      </c>
      <c r="U415" s="45"/>
      <c r="V415" s="45"/>
      <c r="W415" s="45"/>
      <c r="X415" s="45"/>
      <c r="Y415" s="45"/>
      <c r="Z415" s="51"/>
      <c r="AA415" s="53">
        <v>7</v>
      </c>
      <c r="AB415" s="45">
        <v>267.45999999999998</v>
      </c>
      <c r="AC415" s="45"/>
      <c r="AD415" s="45"/>
      <c r="AE415" s="45"/>
      <c r="AF415" s="45"/>
      <c r="AG415" s="45"/>
      <c r="AH415" s="51"/>
      <c r="AI415" s="53">
        <v>7</v>
      </c>
      <c r="AJ415" s="45">
        <v>267.02</v>
      </c>
      <c r="AK415" s="45"/>
      <c r="AL415" s="45"/>
      <c r="AM415" s="45"/>
      <c r="AN415" s="45"/>
      <c r="AO415" s="45"/>
      <c r="AP415" s="51"/>
    </row>
    <row r="416" spans="1:42" ht="21" customHeight="1" thickTop="1" thickBot="1" x14ac:dyDescent="0.35">
      <c r="A416" s="63"/>
      <c r="B416" s="66"/>
      <c r="C416" s="53">
        <v>8</v>
      </c>
      <c r="D416" s="45">
        <v>267.82</v>
      </c>
      <c r="E416" s="45"/>
      <c r="F416" s="45"/>
      <c r="G416" s="45"/>
      <c r="H416" s="45"/>
      <c r="I416" s="45"/>
      <c r="J416" s="51"/>
      <c r="K416" s="53">
        <v>8</v>
      </c>
      <c r="L416" s="45">
        <v>266.95</v>
      </c>
      <c r="M416" s="45"/>
      <c r="N416" s="45"/>
      <c r="O416" s="45"/>
      <c r="P416" s="45"/>
      <c r="Q416" s="45"/>
      <c r="R416" s="51"/>
      <c r="S416" s="53">
        <v>8</v>
      </c>
      <c r="T416" s="45">
        <v>264.29000000000002</v>
      </c>
      <c r="U416" s="45"/>
      <c r="V416" s="45"/>
      <c r="W416" s="45"/>
      <c r="X416" s="45"/>
      <c r="Y416" s="45"/>
      <c r="Z416" s="51"/>
      <c r="AA416" s="53">
        <v>8</v>
      </c>
      <c r="AB416" s="45">
        <v>267.24</v>
      </c>
      <c r="AC416" s="45"/>
      <c r="AD416" s="45"/>
      <c r="AE416" s="45"/>
      <c r="AF416" s="45"/>
      <c r="AG416" s="45"/>
      <c r="AH416" s="51"/>
      <c r="AI416" s="53">
        <v>8</v>
      </c>
      <c r="AJ416" s="45">
        <v>266.61</v>
      </c>
      <c r="AK416" s="45"/>
      <c r="AL416" s="45"/>
      <c r="AM416" s="45"/>
      <c r="AN416" s="45"/>
      <c r="AO416" s="45"/>
      <c r="AP416" s="51"/>
    </row>
    <row r="417" spans="1:42" ht="21" customHeight="1" thickTop="1" thickBot="1" x14ac:dyDescent="0.35">
      <c r="A417" s="63"/>
      <c r="B417" s="66"/>
      <c r="C417" s="53">
        <v>9</v>
      </c>
      <c r="D417" s="45">
        <v>263.51</v>
      </c>
      <c r="E417" s="45"/>
      <c r="F417" s="45"/>
      <c r="G417" s="45"/>
      <c r="H417" s="45"/>
      <c r="I417" s="45"/>
      <c r="J417" s="51"/>
      <c r="K417" s="53">
        <v>9</v>
      </c>
      <c r="L417" s="45">
        <v>267.5</v>
      </c>
      <c r="M417" s="45"/>
      <c r="N417" s="45"/>
      <c r="O417" s="45"/>
      <c r="P417" s="45"/>
      <c r="Q417" s="45"/>
      <c r="R417" s="51"/>
      <c r="S417" s="53">
        <v>9</v>
      </c>
      <c r="T417" s="45">
        <v>267.98</v>
      </c>
      <c r="U417" s="45"/>
      <c r="V417" s="45"/>
      <c r="W417" s="45"/>
      <c r="X417" s="45"/>
      <c r="Y417" s="45"/>
      <c r="Z417" s="51"/>
      <c r="AA417" s="53">
        <v>9</v>
      </c>
      <c r="AB417" s="45">
        <v>266.74</v>
      </c>
      <c r="AC417" s="45"/>
      <c r="AD417" s="45"/>
      <c r="AE417" s="45"/>
      <c r="AF417" s="45"/>
      <c r="AG417" s="45"/>
      <c r="AH417" s="51"/>
      <c r="AI417" s="53">
        <v>9</v>
      </c>
      <c r="AJ417" s="45">
        <v>265.02999999999997</v>
      </c>
      <c r="AK417" s="45"/>
      <c r="AL417" s="45"/>
      <c r="AM417" s="45"/>
      <c r="AN417" s="45"/>
      <c r="AO417" s="45"/>
      <c r="AP417" s="51"/>
    </row>
    <row r="418" spans="1:42" ht="21" customHeight="1" thickTop="1" thickBot="1" x14ac:dyDescent="0.35">
      <c r="A418" s="63"/>
      <c r="B418" s="66"/>
      <c r="C418" s="53">
        <v>10</v>
      </c>
      <c r="D418" s="45">
        <v>267.39999999999998</v>
      </c>
      <c r="E418" s="45"/>
      <c r="F418" s="45"/>
      <c r="G418" s="45"/>
      <c r="H418" s="45"/>
      <c r="I418" s="45"/>
      <c r="J418" s="51"/>
      <c r="K418" s="53">
        <v>10</v>
      </c>
      <c r="L418" s="45">
        <v>267.24</v>
      </c>
      <c r="M418" s="45"/>
      <c r="N418" s="45"/>
      <c r="O418" s="45"/>
      <c r="P418" s="45"/>
      <c r="Q418" s="45"/>
      <c r="R418" s="51"/>
      <c r="S418" s="53">
        <v>10</v>
      </c>
      <c r="T418" s="45">
        <v>264.95999999999998</v>
      </c>
      <c r="U418" s="45"/>
      <c r="V418" s="45"/>
      <c r="W418" s="45"/>
      <c r="X418" s="45"/>
      <c r="Y418" s="45"/>
      <c r="Z418" s="51"/>
      <c r="AA418" s="53">
        <v>10</v>
      </c>
      <c r="AB418" s="45">
        <v>267.24</v>
      </c>
      <c r="AC418" s="45"/>
      <c r="AD418" s="45"/>
      <c r="AE418" s="45"/>
      <c r="AF418" s="45"/>
      <c r="AG418" s="45"/>
      <c r="AH418" s="51"/>
      <c r="AI418" s="53">
        <v>10</v>
      </c>
      <c r="AJ418" s="45">
        <v>267.02</v>
      </c>
      <c r="AK418" s="45"/>
      <c r="AL418" s="45"/>
      <c r="AM418" s="45"/>
      <c r="AN418" s="45"/>
      <c r="AO418" s="45"/>
      <c r="AP418" s="51"/>
    </row>
    <row r="419" spans="1:42" ht="21" customHeight="1" thickTop="1" thickBot="1" x14ac:dyDescent="0.35">
      <c r="A419" s="63"/>
      <c r="B419" s="66"/>
      <c r="C419" s="53"/>
      <c r="D419" s="45"/>
      <c r="E419" s="45"/>
      <c r="F419" s="45"/>
      <c r="G419" s="45"/>
      <c r="H419" s="45"/>
      <c r="I419" s="45"/>
      <c r="J419" s="51"/>
      <c r="K419" s="53"/>
      <c r="L419" s="45"/>
      <c r="M419" s="45"/>
      <c r="N419" s="45"/>
      <c r="O419" s="45"/>
      <c r="P419" s="45"/>
      <c r="Q419" s="45"/>
      <c r="R419" s="51"/>
      <c r="S419" s="53"/>
      <c r="T419" s="45"/>
      <c r="U419" s="45"/>
      <c r="V419" s="45"/>
      <c r="W419" s="45"/>
      <c r="X419" s="45"/>
      <c r="Y419" s="45"/>
      <c r="Z419" s="51"/>
      <c r="AA419" s="53"/>
      <c r="AB419" s="45"/>
      <c r="AC419" s="45"/>
      <c r="AD419" s="45"/>
      <c r="AE419" s="45"/>
      <c r="AF419" s="45"/>
      <c r="AG419" s="45"/>
      <c r="AH419" s="51"/>
      <c r="AI419" s="53"/>
      <c r="AJ419" s="45"/>
      <c r="AK419" s="45"/>
      <c r="AL419" s="45"/>
      <c r="AM419" s="45"/>
      <c r="AN419" s="45"/>
      <c r="AO419" s="45"/>
      <c r="AP419" s="51"/>
    </row>
    <row r="420" spans="1:42" ht="21" customHeight="1" thickTop="1" thickBot="1" x14ac:dyDescent="0.35">
      <c r="A420" s="63"/>
      <c r="B420" s="66"/>
      <c r="C420" s="54" t="s">
        <v>16</v>
      </c>
      <c r="D420" s="49">
        <f>MIN(D409:D418)</f>
        <v>263.51</v>
      </c>
      <c r="E420" s="45"/>
      <c r="F420" s="55" t="s">
        <v>17</v>
      </c>
      <c r="G420" s="49" t="s">
        <v>18</v>
      </c>
      <c r="H420" s="49" t="s">
        <v>19</v>
      </c>
      <c r="I420" s="45"/>
      <c r="J420" s="51"/>
      <c r="K420" s="54" t="s">
        <v>16</v>
      </c>
      <c r="L420" s="49">
        <f>MIN(L409:L418)</f>
        <v>266.25</v>
      </c>
      <c r="M420" s="45"/>
      <c r="N420" s="55" t="s">
        <v>17</v>
      </c>
      <c r="O420" s="49" t="s">
        <v>18</v>
      </c>
      <c r="P420" s="49" t="s">
        <v>19</v>
      </c>
      <c r="Q420" s="45"/>
      <c r="R420" s="51"/>
      <c r="S420" s="54" t="s">
        <v>16</v>
      </c>
      <c r="T420" s="49">
        <f>MIN(T409:T418)</f>
        <v>264.29000000000002</v>
      </c>
      <c r="U420" s="45"/>
      <c r="V420" s="55" t="s">
        <v>17</v>
      </c>
      <c r="W420" s="49" t="s">
        <v>18</v>
      </c>
      <c r="X420" s="49" t="s">
        <v>19</v>
      </c>
      <c r="Y420" s="45"/>
      <c r="Z420" s="51"/>
      <c r="AA420" s="54" t="s">
        <v>16</v>
      </c>
      <c r="AB420" s="49">
        <f>MIN(AB409:AB418)</f>
        <v>265.99</v>
      </c>
      <c r="AC420" s="45"/>
      <c r="AD420" s="55" t="s">
        <v>17</v>
      </c>
      <c r="AE420" s="49" t="s">
        <v>18</v>
      </c>
      <c r="AF420" s="49" t="s">
        <v>19</v>
      </c>
      <c r="AG420" s="45"/>
      <c r="AH420" s="51"/>
      <c r="AI420" s="54" t="s">
        <v>16</v>
      </c>
      <c r="AJ420" s="49">
        <f>MIN(AJ409:AJ418)</f>
        <v>265.02999999999997</v>
      </c>
      <c r="AK420" s="45"/>
      <c r="AL420" s="55" t="s">
        <v>17</v>
      </c>
      <c r="AM420" s="49" t="s">
        <v>18</v>
      </c>
      <c r="AN420" s="49" t="s">
        <v>19</v>
      </c>
      <c r="AO420" s="45"/>
      <c r="AP420" s="51"/>
    </row>
    <row r="421" spans="1:42" ht="21" customHeight="1" thickTop="1" thickBot="1" x14ac:dyDescent="0.35">
      <c r="A421" s="63"/>
      <c r="B421" s="66"/>
      <c r="C421" s="54" t="s">
        <v>20</v>
      </c>
      <c r="D421" s="48">
        <f>AVERAGE(D409:D418)</f>
        <v>265.90199999999999</v>
      </c>
      <c r="E421" s="47"/>
      <c r="F421" s="48">
        <f>_xlfn.STDEV.S(D409:D418) / AVERAGE(D409:D418) * 100%</f>
        <v>6.0366747492493437E-3</v>
      </c>
      <c r="G421" s="48">
        <f t="array" ref="G421">MIN((D409:D418 - MIN(D409:D418,L409:L418,T409:T418,AB409:AB418,AJ409:AJ418))/MIN(D409:D418,L409:L418,T409:T418,AB409:AB418,AJ409:AJ418)*100%)</f>
        <v>0</v>
      </c>
      <c r="H421" s="48">
        <f t="array" ref="H421">AVERAGE((D409:D418 - MIN(D409:D418,L409:L418,T409:T418,AB409:AB418,AJ409:AJ418))/MIN(D409:D418,L409:L418,T409:T418,AB409:AB418,AJ409:AJ418)*100%)</f>
        <v>9.077454366058179E-3</v>
      </c>
      <c r="I421" s="45"/>
      <c r="J421" s="51"/>
      <c r="K421" s="54" t="s">
        <v>20</v>
      </c>
      <c r="L421" s="48">
        <f>AVERAGE(L409:L418)</f>
        <v>267.22200000000004</v>
      </c>
      <c r="M421" s="47"/>
      <c r="N421" s="48">
        <f>_xlfn.STDEV.S(L409:L418) / AVERAGE(L409:L418) * 100%</f>
        <v>2.2640128102920194E-3</v>
      </c>
      <c r="O421" s="48">
        <f t="array" ref="O421">MIN((L409:L418 - MIN(D409:D418,L409:L418,T409:T418,AB409:AB418,AJ409:AJ418))/MIN(D409:D418,L409:L418,T409:T418,AB409:AB418,AJ409:AJ418)*100%)</f>
        <v>1.0398087359113541E-2</v>
      </c>
      <c r="P421" s="48">
        <f t="array" ref="P421">AVERAGE((L409:L418 - MIN(D409:D418,L409:L418,T409:T418,AB409:AB418,AJ409:AJ418))/MIN(D409:D418,L409:L418,T409:T418,AB409:AB418,AJ409:AJ418)*100%)</f>
        <v>1.4086751925923138E-2</v>
      </c>
      <c r="Q421" s="44"/>
      <c r="R421" s="51"/>
      <c r="S421" s="54" t="s">
        <v>20</v>
      </c>
      <c r="T421" s="48">
        <f>AVERAGE(T409:T418)</f>
        <v>266.20699999999999</v>
      </c>
      <c r="U421" s="47"/>
      <c r="V421" s="48">
        <f>_xlfn.STDEV.S(T409:T418) / AVERAGE(T409:T418) * 100%</f>
        <v>5.899195876288843E-3</v>
      </c>
      <c r="W421" s="48">
        <f t="array" ref="W421">MIN((T409:T418 - MIN(D409:D418,L409:L418,T409:T418,AB409:AB418,AJ409:AJ418))/MIN(D409:D418,L409:L418,T409:T418,AB409:AB418,AJ409:AJ418)*100%)</f>
        <v>2.9600394671930081E-3</v>
      </c>
      <c r="X421" s="48">
        <f t="array" ref="X421">AVERAGE((T409:T418 - MIN(D409:D418,L409:L418,T409:T418,AB409:AB418,AJ409:AJ418))/MIN(D409:D418,L409:L418,T409:T418,AB409:AB418,AJ409:AJ418)*100%)</f>
        <v>1.0234905696178525E-2</v>
      </c>
      <c r="Y421" s="44"/>
      <c r="Z421" s="51"/>
      <c r="AA421" s="54" t="s">
        <v>20</v>
      </c>
      <c r="AB421" s="48">
        <f>AVERAGE(AB409:AB418)</f>
        <v>267.14999999999992</v>
      </c>
      <c r="AC421" s="47"/>
      <c r="AD421" s="48">
        <f>_xlfn.STDEV.S(AB409:AB418) / AVERAGE(AB409:AB418) * 100%</f>
        <v>2.8683333797774185E-3</v>
      </c>
      <c r="AE421" s="48">
        <f t="array" ref="AE421">MIN((AB409:AB418 - MIN(D409:D418,L409:L418,T409:T418,AB409:AB418,AJ409:AJ418))/MIN(D409:D418,L409:L418,T409:T418,AB409:AB418,AJ409:AJ418)*100%)</f>
        <v>9.4114075367159444E-3</v>
      </c>
      <c r="AF421" s="48">
        <f t="array" ref="AF421">AVERAGE((AB409:AB418 - MIN(D409:D418,L409:L418,T409:T418,AB409:AB418,AJ409:AJ418))/MIN(D409:D418,L409:L418,T409:T418,AB409:AB418,AJ409:AJ418)*100%)</f>
        <v>1.3813517513566839E-2</v>
      </c>
      <c r="AG421" s="44"/>
      <c r="AH421" s="51"/>
      <c r="AI421" s="54" t="s">
        <v>20</v>
      </c>
      <c r="AJ421" s="48">
        <f>AVERAGE(AJ409:AJ418)</f>
        <v>266.31399999999996</v>
      </c>
      <c r="AK421" s="47"/>
      <c r="AL421" s="48">
        <f>_xlfn.STDEV.S(AJ409:AJ418) / AVERAGE(AJ409:AJ418) * 100%</f>
        <v>2.9924877221298844E-3</v>
      </c>
      <c r="AM421" s="48">
        <f t="array" ref="AM421">MIN((AJ409:AJ418 - MIN(D409:D418,L409:L418,T409:T418,AB409:AB418,AJ409:AJ418))/MIN(D409:D418,L409:L418,T409:T418,AB409:AB418,AJ409:AJ418)*100%)</f>
        <v>5.7682820386322411E-3</v>
      </c>
      <c r="AN421" s="48">
        <f t="array" ref="AN421">AVERAGE((AJ409:AJ418 - MIN(D409:D418,L409:L418,T409:T418,AB409:AB418,AJ409:AJ418))/MIN(D409:D418,L409:L418,T409:T418,AB409:AB418,AJ409:AJ418)*100%)</f>
        <v>1.0640962392319065E-2</v>
      </c>
      <c r="AO421" s="44"/>
      <c r="AP421" s="51"/>
    </row>
    <row r="422" spans="1:42" ht="21" customHeight="1" thickTop="1" thickBot="1" x14ac:dyDescent="0.35">
      <c r="A422" s="63"/>
      <c r="B422" s="67"/>
      <c r="C422" s="53"/>
      <c r="D422" s="44"/>
      <c r="E422" s="44"/>
      <c r="F422" s="44"/>
      <c r="G422" s="44"/>
      <c r="H422" s="44"/>
      <c r="I422" s="44"/>
      <c r="J422" s="51"/>
      <c r="K422" s="53"/>
      <c r="L422" s="44"/>
      <c r="M422" s="44"/>
      <c r="N422" s="44"/>
      <c r="O422" s="44"/>
      <c r="P422" s="44"/>
      <c r="Q422" s="44"/>
      <c r="R422" s="51"/>
      <c r="S422" s="53"/>
      <c r="T422" s="44"/>
      <c r="U422" s="44"/>
      <c r="V422" s="44"/>
      <c r="W422" s="44"/>
      <c r="X422" s="44"/>
      <c r="Y422" s="44"/>
      <c r="Z422" s="51"/>
      <c r="AA422" s="53"/>
      <c r="AB422" s="44"/>
      <c r="AC422" s="44"/>
      <c r="AD422" s="44"/>
      <c r="AE422" s="44"/>
      <c r="AF422" s="44"/>
      <c r="AG422" s="44"/>
      <c r="AH422" s="51"/>
      <c r="AI422" s="53"/>
      <c r="AJ422" s="44"/>
      <c r="AK422" s="44"/>
      <c r="AL422" s="44"/>
      <c r="AM422" s="44"/>
      <c r="AN422" s="44"/>
      <c r="AO422" s="44"/>
      <c r="AP422" s="51"/>
    </row>
    <row r="423" spans="1:42" ht="21" customHeight="1" thickTop="1" thickBot="1" x14ac:dyDescent="0.35">
      <c r="A423" s="63"/>
      <c r="B423" s="65" t="s">
        <v>94</v>
      </c>
      <c r="C423" s="59" t="s">
        <v>8</v>
      </c>
      <c r="D423" s="46" t="s">
        <v>9</v>
      </c>
      <c r="E423" s="46" t="s">
        <v>10</v>
      </c>
      <c r="F423" s="46" t="s">
        <v>11</v>
      </c>
      <c r="G423" s="46" t="s">
        <v>12</v>
      </c>
      <c r="H423" s="46" t="s">
        <v>13</v>
      </c>
      <c r="I423" s="46" t="s">
        <v>14</v>
      </c>
      <c r="J423" s="60" t="s">
        <v>15</v>
      </c>
      <c r="K423" s="59" t="s">
        <v>8</v>
      </c>
      <c r="L423" s="46" t="s">
        <v>9</v>
      </c>
      <c r="M423" s="46" t="s">
        <v>10</v>
      </c>
      <c r="N423" s="46" t="s">
        <v>11</v>
      </c>
      <c r="O423" s="46" t="s">
        <v>12</v>
      </c>
      <c r="P423" s="46" t="s">
        <v>13</v>
      </c>
      <c r="Q423" s="46" t="s">
        <v>14</v>
      </c>
      <c r="R423" s="60" t="s">
        <v>15</v>
      </c>
      <c r="S423" s="59" t="s">
        <v>8</v>
      </c>
      <c r="T423" s="46" t="s">
        <v>9</v>
      </c>
      <c r="U423" s="46" t="s">
        <v>10</v>
      </c>
      <c r="V423" s="46" t="s">
        <v>11</v>
      </c>
      <c r="W423" s="46" t="s">
        <v>12</v>
      </c>
      <c r="X423" s="46" t="s">
        <v>13</v>
      </c>
      <c r="Y423" s="46" t="s">
        <v>14</v>
      </c>
      <c r="Z423" s="60" t="s">
        <v>15</v>
      </c>
      <c r="AA423" s="59" t="s">
        <v>8</v>
      </c>
      <c r="AB423" s="46" t="s">
        <v>9</v>
      </c>
      <c r="AC423" s="46" t="s">
        <v>10</v>
      </c>
      <c r="AD423" s="46" t="s">
        <v>11</v>
      </c>
      <c r="AE423" s="46" t="s">
        <v>12</v>
      </c>
      <c r="AF423" s="46" t="s">
        <v>13</v>
      </c>
      <c r="AG423" s="46" t="s">
        <v>14</v>
      </c>
      <c r="AH423" s="60" t="s">
        <v>15</v>
      </c>
      <c r="AI423" s="59" t="s">
        <v>8</v>
      </c>
      <c r="AJ423" s="46" t="s">
        <v>9</v>
      </c>
      <c r="AK423" s="46" t="s">
        <v>10</v>
      </c>
      <c r="AL423" s="46" t="s">
        <v>11</v>
      </c>
      <c r="AM423" s="46" t="s">
        <v>12</v>
      </c>
      <c r="AN423" s="46" t="s">
        <v>13</v>
      </c>
      <c r="AO423" s="46" t="s">
        <v>14</v>
      </c>
      <c r="AP423" s="60" t="s">
        <v>15</v>
      </c>
    </row>
    <row r="424" spans="1:42" ht="21" customHeight="1" thickTop="1" thickBot="1" x14ac:dyDescent="0.35">
      <c r="A424" s="63"/>
      <c r="B424" s="66"/>
      <c r="C424" s="52">
        <v>1</v>
      </c>
      <c r="D424" s="44">
        <v>272.02999999999997</v>
      </c>
      <c r="E424" s="44"/>
      <c r="F424" s="44"/>
      <c r="G424" s="44"/>
      <c r="H424" s="44"/>
      <c r="I424" s="44"/>
      <c r="J424" s="51"/>
      <c r="K424" s="52">
        <v>1</v>
      </c>
      <c r="L424" s="44">
        <v>272.22000000000003</v>
      </c>
      <c r="M424" s="44"/>
      <c r="N424" s="44"/>
      <c r="O424" s="44"/>
      <c r="P424" s="44"/>
      <c r="Q424" s="44"/>
      <c r="R424" s="51"/>
      <c r="S424" s="52">
        <v>1</v>
      </c>
      <c r="T424" s="44">
        <v>272.8</v>
      </c>
      <c r="U424" s="44"/>
      <c r="V424" s="44"/>
      <c r="W424" s="44"/>
      <c r="X424" s="44"/>
      <c r="Y424" s="44"/>
      <c r="Z424" s="51"/>
      <c r="AA424" s="52">
        <v>1</v>
      </c>
      <c r="AB424" s="44">
        <v>273.18</v>
      </c>
      <c r="AC424" s="44"/>
      <c r="AD424" s="44"/>
      <c r="AE424" s="44"/>
      <c r="AF424" s="44"/>
      <c r="AG424" s="44"/>
      <c r="AH424" s="51"/>
      <c r="AI424" s="52">
        <v>1</v>
      </c>
      <c r="AJ424" s="44">
        <v>271.58</v>
      </c>
      <c r="AK424" s="44"/>
      <c r="AL424" s="44"/>
      <c r="AM424" s="44"/>
      <c r="AN424" s="44"/>
      <c r="AO424" s="44"/>
      <c r="AP424" s="51"/>
    </row>
    <row r="425" spans="1:42" ht="21" customHeight="1" thickTop="1" thickBot="1" x14ac:dyDescent="0.35">
      <c r="A425" s="63"/>
      <c r="B425" s="66"/>
      <c r="C425" s="53">
        <v>2</v>
      </c>
      <c r="D425" s="45">
        <v>272.12</v>
      </c>
      <c r="E425" s="45"/>
      <c r="F425" s="45"/>
      <c r="G425" s="45"/>
      <c r="H425" s="45"/>
      <c r="I425" s="45"/>
      <c r="J425" s="51"/>
      <c r="K425" s="53">
        <v>2</v>
      </c>
      <c r="L425" s="45">
        <v>272.72000000000003</v>
      </c>
      <c r="M425" s="45"/>
      <c r="N425" s="45"/>
      <c r="O425" s="45"/>
      <c r="P425" s="45"/>
      <c r="Q425" s="45"/>
      <c r="R425" s="51"/>
      <c r="S425" s="53">
        <v>2</v>
      </c>
      <c r="T425" s="45">
        <v>273.64999999999998</v>
      </c>
      <c r="U425" s="45"/>
      <c r="V425" s="45"/>
      <c r="W425" s="45"/>
      <c r="X425" s="45"/>
      <c r="Y425" s="45"/>
      <c r="Z425" s="51"/>
      <c r="AA425" s="53">
        <v>2</v>
      </c>
      <c r="AB425" s="45">
        <v>271.87</v>
      </c>
      <c r="AC425" s="45"/>
      <c r="AD425" s="45"/>
      <c r="AE425" s="45"/>
      <c r="AF425" s="45"/>
      <c r="AG425" s="45"/>
      <c r="AH425" s="51"/>
      <c r="AI425" s="53">
        <v>2</v>
      </c>
      <c r="AJ425" s="45">
        <v>271.19</v>
      </c>
      <c r="AK425" s="45"/>
      <c r="AL425" s="45"/>
      <c r="AM425" s="45"/>
      <c r="AN425" s="45"/>
      <c r="AO425" s="45"/>
      <c r="AP425" s="51"/>
    </row>
    <row r="426" spans="1:42" ht="21" customHeight="1" thickTop="1" thickBot="1" x14ac:dyDescent="0.35">
      <c r="A426" s="63"/>
      <c r="B426" s="66"/>
      <c r="C426" s="53">
        <v>3</v>
      </c>
      <c r="D426" s="45">
        <v>272.10000000000002</v>
      </c>
      <c r="E426" s="45"/>
      <c r="F426" s="45"/>
      <c r="G426" s="44"/>
      <c r="H426" s="44"/>
      <c r="I426" s="44"/>
      <c r="J426" s="51"/>
      <c r="K426" s="53">
        <v>3</v>
      </c>
      <c r="L426" s="45">
        <v>272.3</v>
      </c>
      <c r="M426" s="45"/>
      <c r="N426" s="45"/>
      <c r="O426" s="44"/>
      <c r="P426" s="44"/>
      <c r="Q426" s="44"/>
      <c r="R426" s="51"/>
      <c r="S426" s="53">
        <v>3</v>
      </c>
      <c r="T426" s="45">
        <v>273.79000000000002</v>
      </c>
      <c r="U426" s="45"/>
      <c r="V426" s="45"/>
      <c r="W426" s="44"/>
      <c r="X426" s="44"/>
      <c r="Y426" s="44"/>
      <c r="Z426" s="51"/>
      <c r="AA426" s="53">
        <v>3</v>
      </c>
      <c r="AB426" s="45">
        <v>272.10000000000002</v>
      </c>
      <c r="AC426" s="45"/>
      <c r="AD426" s="45"/>
      <c r="AE426" s="44"/>
      <c r="AF426" s="44"/>
      <c r="AG426" s="44"/>
      <c r="AH426" s="51"/>
      <c r="AI426" s="53">
        <v>3</v>
      </c>
      <c r="AJ426" s="45">
        <v>271.19</v>
      </c>
      <c r="AK426" s="45"/>
      <c r="AL426" s="45"/>
      <c r="AM426" s="44"/>
      <c r="AN426" s="44"/>
      <c r="AO426" s="44"/>
      <c r="AP426" s="51"/>
    </row>
    <row r="427" spans="1:42" ht="21" customHeight="1" thickTop="1" thickBot="1" x14ac:dyDescent="0.35">
      <c r="A427" s="63"/>
      <c r="B427" s="66"/>
      <c r="C427" s="53">
        <v>4</v>
      </c>
      <c r="D427" s="45">
        <v>272.60000000000002</v>
      </c>
      <c r="E427" s="45"/>
      <c r="F427" s="45"/>
      <c r="G427" s="45"/>
      <c r="H427" s="45"/>
      <c r="I427" s="45"/>
      <c r="J427" s="51"/>
      <c r="K427" s="53">
        <v>4</v>
      </c>
      <c r="L427" s="45">
        <v>272.72000000000003</v>
      </c>
      <c r="M427" s="45"/>
      <c r="N427" s="45"/>
      <c r="O427" s="45"/>
      <c r="P427" s="45"/>
      <c r="Q427" s="45"/>
      <c r="R427" s="51"/>
      <c r="S427" s="53">
        <v>4</v>
      </c>
      <c r="T427" s="45">
        <v>273.26</v>
      </c>
      <c r="U427" s="45"/>
      <c r="V427" s="45"/>
      <c r="W427" s="45"/>
      <c r="X427" s="45"/>
      <c r="Y427" s="45"/>
      <c r="Z427" s="51"/>
      <c r="AA427" s="53">
        <v>4</v>
      </c>
      <c r="AB427" s="45">
        <v>272.48</v>
      </c>
      <c r="AC427" s="45"/>
      <c r="AD427" s="45"/>
      <c r="AE427" s="45"/>
      <c r="AF427" s="45"/>
      <c r="AG427" s="45"/>
      <c r="AH427" s="51"/>
      <c r="AI427" s="53">
        <v>4</v>
      </c>
      <c r="AJ427" s="45">
        <v>271.19</v>
      </c>
      <c r="AK427" s="45"/>
      <c r="AL427" s="45"/>
      <c r="AM427" s="45"/>
      <c r="AN427" s="45"/>
      <c r="AO427" s="45"/>
      <c r="AP427" s="51"/>
    </row>
    <row r="428" spans="1:42" ht="21" customHeight="1" thickTop="1" thickBot="1" x14ac:dyDescent="0.35">
      <c r="A428" s="63"/>
      <c r="B428" s="66"/>
      <c r="C428" s="53">
        <v>5</v>
      </c>
      <c r="D428" s="45">
        <v>272.06</v>
      </c>
      <c r="E428" s="45"/>
      <c r="F428" s="45"/>
      <c r="G428" s="45"/>
      <c r="H428" s="45"/>
      <c r="I428" s="45"/>
      <c r="J428" s="51"/>
      <c r="K428" s="53">
        <v>5</v>
      </c>
      <c r="L428" s="45">
        <v>272.92</v>
      </c>
      <c r="M428" s="45"/>
      <c r="N428" s="45"/>
      <c r="O428" s="45"/>
      <c r="P428" s="45"/>
      <c r="Q428" s="45"/>
      <c r="R428" s="51"/>
      <c r="S428" s="53">
        <v>5</v>
      </c>
      <c r="T428" s="45">
        <v>272.2</v>
      </c>
      <c r="U428" s="45"/>
      <c r="V428" s="45"/>
      <c r="W428" s="45"/>
      <c r="X428" s="45"/>
      <c r="Y428" s="45"/>
      <c r="Z428" s="51"/>
      <c r="AA428" s="53">
        <v>5</v>
      </c>
      <c r="AB428" s="45">
        <v>274.67</v>
      </c>
      <c r="AC428" s="45"/>
      <c r="AD428" s="45"/>
      <c r="AE428" s="45"/>
      <c r="AF428" s="45"/>
      <c r="AG428" s="45"/>
      <c r="AH428" s="51"/>
      <c r="AI428" s="53">
        <v>5</v>
      </c>
      <c r="AJ428" s="45">
        <v>271.19</v>
      </c>
      <c r="AK428" s="45"/>
      <c r="AL428" s="45"/>
      <c r="AM428" s="45"/>
      <c r="AN428" s="45"/>
      <c r="AO428" s="45"/>
      <c r="AP428" s="51"/>
    </row>
    <row r="429" spans="1:42" ht="21" customHeight="1" thickTop="1" thickBot="1" x14ac:dyDescent="0.35">
      <c r="A429" s="63"/>
      <c r="B429" s="66"/>
      <c r="C429" s="53">
        <v>6</v>
      </c>
      <c r="D429" s="45">
        <v>271.18999999999988</v>
      </c>
      <c r="E429" s="45"/>
      <c r="F429" s="45"/>
      <c r="G429" s="45"/>
      <c r="H429" s="45"/>
      <c r="I429" s="45"/>
      <c r="J429" s="51"/>
      <c r="K429" s="53">
        <v>6</v>
      </c>
      <c r="L429" s="45">
        <v>272.98</v>
      </c>
      <c r="M429" s="45"/>
      <c r="N429" s="45"/>
      <c r="O429" s="45"/>
      <c r="P429" s="45"/>
      <c r="Q429" s="45"/>
      <c r="R429" s="51"/>
      <c r="S429" s="53">
        <v>6</v>
      </c>
      <c r="T429" s="45">
        <v>275.7</v>
      </c>
      <c r="U429" s="45"/>
      <c r="V429" s="45"/>
      <c r="W429" s="45"/>
      <c r="X429" s="45"/>
      <c r="Y429" s="45"/>
      <c r="Z429" s="51"/>
      <c r="AA429" s="53">
        <v>6</v>
      </c>
      <c r="AB429" s="45">
        <v>271.57</v>
      </c>
      <c r="AC429" s="45"/>
      <c r="AD429" s="45"/>
      <c r="AE429" s="45"/>
      <c r="AF429" s="45"/>
      <c r="AG429" s="45"/>
      <c r="AH429" s="51"/>
      <c r="AI429" s="53">
        <v>6</v>
      </c>
      <c r="AJ429" s="45">
        <v>271.85000000000002</v>
      </c>
      <c r="AK429" s="45"/>
      <c r="AL429" s="45"/>
      <c r="AM429" s="45"/>
      <c r="AN429" s="45"/>
      <c r="AO429" s="45"/>
      <c r="AP429" s="51"/>
    </row>
    <row r="430" spans="1:42" ht="21" customHeight="1" thickTop="1" thickBot="1" x14ac:dyDescent="0.35">
      <c r="A430" s="63"/>
      <c r="B430" s="66"/>
      <c r="C430" s="53">
        <v>7</v>
      </c>
      <c r="D430" s="45">
        <v>272.79000000000002</v>
      </c>
      <c r="E430" s="45"/>
      <c r="F430" s="45"/>
      <c r="G430" s="45"/>
      <c r="H430" s="45"/>
      <c r="I430" s="45"/>
      <c r="J430" s="51"/>
      <c r="K430" s="53">
        <v>7</v>
      </c>
      <c r="L430" s="45">
        <v>272.8</v>
      </c>
      <c r="M430" s="45"/>
      <c r="N430" s="45"/>
      <c r="O430" s="45"/>
      <c r="P430" s="45"/>
      <c r="Q430" s="45"/>
      <c r="R430" s="51"/>
      <c r="S430" s="53">
        <v>7</v>
      </c>
      <c r="T430" s="45">
        <v>273.69</v>
      </c>
      <c r="U430" s="45"/>
      <c r="V430" s="45"/>
      <c r="W430" s="45"/>
      <c r="X430" s="45"/>
      <c r="Y430" s="45"/>
      <c r="Z430" s="51"/>
      <c r="AA430" s="53">
        <v>7</v>
      </c>
      <c r="AB430" s="45">
        <v>272.45999999999998</v>
      </c>
      <c r="AC430" s="45"/>
      <c r="AD430" s="45"/>
      <c r="AE430" s="45"/>
      <c r="AF430" s="45"/>
      <c r="AG430" s="45"/>
      <c r="AH430" s="51"/>
      <c r="AI430" s="53">
        <v>7</v>
      </c>
      <c r="AJ430" s="45">
        <v>271.19</v>
      </c>
      <c r="AK430" s="45"/>
      <c r="AL430" s="45"/>
      <c r="AM430" s="45"/>
      <c r="AN430" s="45"/>
      <c r="AO430" s="45"/>
      <c r="AP430" s="51"/>
    </row>
    <row r="431" spans="1:42" ht="21" customHeight="1" thickTop="1" thickBot="1" x14ac:dyDescent="0.35">
      <c r="A431" s="63"/>
      <c r="B431" s="66"/>
      <c r="C431" s="53">
        <v>8</v>
      </c>
      <c r="D431" s="45">
        <v>272.41000000000003</v>
      </c>
      <c r="E431" s="45"/>
      <c r="F431" s="45"/>
      <c r="G431" s="45"/>
      <c r="H431" s="45"/>
      <c r="I431" s="45"/>
      <c r="J431" s="51"/>
      <c r="K431" s="53">
        <v>8</v>
      </c>
      <c r="L431" s="45">
        <v>273.18</v>
      </c>
      <c r="M431" s="45"/>
      <c r="N431" s="45"/>
      <c r="O431" s="45"/>
      <c r="P431" s="45"/>
      <c r="Q431" s="45"/>
      <c r="R431" s="51"/>
      <c r="S431" s="53">
        <v>8</v>
      </c>
      <c r="T431" s="45">
        <v>271.83999999999997</v>
      </c>
      <c r="U431" s="45"/>
      <c r="V431" s="45"/>
      <c r="W431" s="45"/>
      <c r="X431" s="45"/>
      <c r="Y431" s="45"/>
      <c r="Z431" s="51"/>
      <c r="AA431" s="53">
        <v>8</v>
      </c>
      <c r="AB431" s="45">
        <v>271.76</v>
      </c>
      <c r="AC431" s="45"/>
      <c r="AD431" s="45"/>
      <c r="AE431" s="45"/>
      <c r="AF431" s="45"/>
      <c r="AG431" s="45"/>
      <c r="AH431" s="51"/>
      <c r="AI431" s="53">
        <v>8</v>
      </c>
      <c r="AJ431" s="45">
        <v>271.19</v>
      </c>
      <c r="AK431" s="45"/>
      <c r="AL431" s="45"/>
      <c r="AM431" s="45"/>
      <c r="AN431" s="45"/>
      <c r="AO431" s="45"/>
      <c r="AP431" s="51"/>
    </row>
    <row r="432" spans="1:42" ht="21" customHeight="1" thickTop="1" thickBot="1" x14ac:dyDescent="0.35">
      <c r="A432" s="63"/>
      <c r="B432" s="66"/>
      <c r="C432" s="53">
        <v>9</v>
      </c>
      <c r="D432" s="45">
        <v>272.45</v>
      </c>
      <c r="E432" s="45"/>
      <c r="F432" s="45"/>
      <c r="G432" s="45"/>
      <c r="H432" s="45"/>
      <c r="I432" s="45"/>
      <c r="J432" s="51"/>
      <c r="K432" s="53">
        <v>9</v>
      </c>
      <c r="L432" s="45">
        <v>271.95999999999998</v>
      </c>
      <c r="M432" s="45"/>
      <c r="N432" s="45"/>
      <c r="O432" s="45"/>
      <c r="P432" s="45"/>
      <c r="Q432" s="45"/>
      <c r="R432" s="51"/>
      <c r="S432" s="53">
        <v>9</v>
      </c>
      <c r="T432" s="45">
        <v>275.69</v>
      </c>
      <c r="U432" s="45"/>
      <c r="V432" s="45"/>
      <c r="W432" s="45"/>
      <c r="X432" s="45"/>
      <c r="Y432" s="45"/>
      <c r="Z432" s="51"/>
      <c r="AA432" s="53">
        <v>9</v>
      </c>
      <c r="AB432" s="45">
        <v>272.75</v>
      </c>
      <c r="AC432" s="45"/>
      <c r="AD432" s="45"/>
      <c r="AE432" s="45"/>
      <c r="AF432" s="45"/>
      <c r="AG432" s="45"/>
      <c r="AH432" s="51"/>
      <c r="AI432" s="53">
        <v>9</v>
      </c>
      <c r="AJ432" s="45">
        <v>271.19</v>
      </c>
      <c r="AK432" s="45"/>
      <c r="AL432" s="45"/>
      <c r="AM432" s="45"/>
      <c r="AN432" s="45"/>
      <c r="AO432" s="45"/>
      <c r="AP432" s="51"/>
    </row>
    <row r="433" spans="1:42" ht="21" customHeight="1" thickTop="1" thickBot="1" x14ac:dyDescent="0.35">
      <c r="A433" s="63"/>
      <c r="B433" s="66"/>
      <c r="C433" s="53">
        <v>10</v>
      </c>
      <c r="D433" s="45">
        <v>272.8</v>
      </c>
      <c r="E433" s="45"/>
      <c r="F433" s="45"/>
      <c r="G433" s="45"/>
      <c r="H433" s="45"/>
      <c r="I433" s="45"/>
      <c r="J433" s="51"/>
      <c r="K433" s="53">
        <v>10</v>
      </c>
      <c r="L433" s="45">
        <v>272.01</v>
      </c>
      <c r="M433" s="45"/>
      <c r="N433" s="45"/>
      <c r="O433" s="45"/>
      <c r="P433" s="45"/>
      <c r="Q433" s="45"/>
      <c r="R433" s="51"/>
      <c r="S433" s="53">
        <v>10</v>
      </c>
      <c r="T433" s="45">
        <v>276.33</v>
      </c>
      <c r="U433" s="45"/>
      <c r="V433" s="45"/>
      <c r="W433" s="45"/>
      <c r="X433" s="45"/>
      <c r="Y433" s="45"/>
      <c r="Z433" s="51"/>
      <c r="AA433" s="53">
        <v>10</v>
      </c>
      <c r="AB433" s="45">
        <v>271.79000000000002</v>
      </c>
      <c r="AC433" s="45"/>
      <c r="AD433" s="45"/>
      <c r="AE433" s="45"/>
      <c r="AF433" s="45"/>
      <c r="AG433" s="45"/>
      <c r="AH433" s="51"/>
      <c r="AI433" s="53">
        <v>10</v>
      </c>
      <c r="AJ433" s="45">
        <v>271.7</v>
      </c>
      <c r="AK433" s="45"/>
      <c r="AL433" s="45"/>
      <c r="AM433" s="45"/>
      <c r="AN433" s="45"/>
      <c r="AO433" s="45"/>
      <c r="AP433" s="51"/>
    </row>
    <row r="434" spans="1:42" ht="21" customHeight="1" thickTop="1" thickBot="1" x14ac:dyDescent="0.35">
      <c r="A434" s="63"/>
      <c r="B434" s="66"/>
      <c r="C434" s="53"/>
      <c r="D434" s="45"/>
      <c r="E434" s="45"/>
      <c r="F434" s="45"/>
      <c r="G434" s="45"/>
      <c r="H434" s="45"/>
      <c r="I434" s="45"/>
      <c r="J434" s="51"/>
      <c r="K434" s="53"/>
      <c r="L434" s="45"/>
      <c r="M434" s="45"/>
      <c r="N434" s="45"/>
      <c r="O434" s="45"/>
      <c r="P434" s="45"/>
      <c r="Q434" s="45"/>
      <c r="R434" s="51"/>
      <c r="S434" s="53"/>
      <c r="T434" s="45"/>
      <c r="U434" s="45"/>
      <c r="V434" s="45"/>
      <c r="W434" s="45"/>
      <c r="X434" s="45"/>
      <c r="Y434" s="45"/>
      <c r="Z434" s="51"/>
      <c r="AA434" s="53"/>
      <c r="AB434" s="45"/>
      <c r="AC434" s="45"/>
      <c r="AD434" s="45"/>
      <c r="AE434" s="45"/>
      <c r="AF434" s="45"/>
      <c r="AG434" s="45"/>
      <c r="AH434" s="51"/>
      <c r="AI434" s="53"/>
      <c r="AJ434" s="45"/>
      <c r="AK434" s="45"/>
      <c r="AL434" s="45"/>
      <c r="AM434" s="45"/>
      <c r="AN434" s="45"/>
      <c r="AO434" s="45"/>
      <c r="AP434" s="51"/>
    </row>
    <row r="435" spans="1:42" ht="21" customHeight="1" thickTop="1" thickBot="1" x14ac:dyDescent="0.35">
      <c r="A435" s="63"/>
      <c r="B435" s="66"/>
      <c r="C435" s="54" t="s">
        <v>16</v>
      </c>
      <c r="D435" s="49">
        <f>MIN(D424:D433)</f>
        <v>271.18999999999988</v>
      </c>
      <c r="E435" s="45"/>
      <c r="F435" s="55" t="s">
        <v>17</v>
      </c>
      <c r="G435" s="49" t="s">
        <v>18</v>
      </c>
      <c r="H435" s="49" t="s">
        <v>19</v>
      </c>
      <c r="I435" s="45"/>
      <c r="J435" s="51"/>
      <c r="K435" s="54" t="s">
        <v>16</v>
      </c>
      <c r="L435" s="49">
        <f>MIN(L424:L433)</f>
        <v>271.95999999999998</v>
      </c>
      <c r="M435" s="45"/>
      <c r="N435" s="55" t="s">
        <v>17</v>
      </c>
      <c r="O435" s="49" t="s">
        <v>18</v>
      </c>
      <c r="P435" s="49" t="s">
        <v>19</v>
      </c>
      <c r="Q435" s="45"/>
      <c r="R435" s="51"/>
      <c r="S435" s="54" t="s">
        <v>16</v>
      </c>
      <c r="T435" s="49">
        <f>MIN(T424:T433)</f>
        <v>271.83999999999997</v>
      </c>
      <c r="U435" s="45"/>
      <c r="V435" s="55" t="s">
        <v>17</v>
      </c>
      <c r="W435" s="49" t="s">
        <v>18</v>
      </c>
      <c r="X435" s="49" t="s">
        <v>19</v>
      </c>
      <c r="Y435" s="45"/>
      <c r="Z435" s="51"/>
      <c r="AA435" s="54" t="s">
        <v>16</v>
      </c>
      <c r="AB435" s="49">
        <f>MIN(AB424:AB433)</f>
        <v>271.57</v>
      </c>
      <c r="AC435" s="45"/>
      <c r="AD435" s="55" t="s">
        <v>17</v>
      </c>
      <c r="AE435" s="49" t="s">
        <v>18</v>
      </c>
      <c r="AF435" s="49" t="s">
        <v>19</v>
      </c>
      <c r="AG435" s="45"/>
      <c r="AH435" s="51"/>
      <c r="AI435" s="54" t="s">
        <v>16</v>
      </c>
      <c r="AJ435" s="49">
        <f>MIN(AJ424:AJ433)</f>
        <v>271.19</v>
      </c>
      <c r="AK435" s="45"/>
      <c r="AL435" s="55" t="s">
        <v>17</v>
      </c>
      <c r="AM435" s="49" t="s">
        <v>18</v>
      </c>
      <c r="AN435" s="49" t="s">
        <v>19</v>
      </c>
      <c r="AO435" s="45"/>
      <c r="AP435" s="51"/>
    </row>
    <row r="436" spans="1:42" ht="21" customHeight="1" thickTop="1" thickBot="1" x14ac:dyDescent="0.35">
      <c r="A436" s="63"/>
      <c r="B436" s="66"/>
      <c r="C436" s="54" t="s">
        <v>20</v>
      </c>
      <c r="D436" s="48">
        <f>AVERAGE(D424:D433)</f>
        <v>272.255</v>
      </c>
      <c r="E436" s="47"/>
      <c r="F436" s="48">
        <f>_xlfn.STDEV.S(D424:D433) / AVERAGE(D424:D433) * 100%</f>
        <v>1.7441830387450582E-3</v>
      </c>
      <c r="G436" s="48">
        <f t="array" ref="G436">MIN((D424:D433 - MIN(D424:D433,L424:L433,T424:T433,AB424:AB433,AJ424:AJ433))/MIN(D424:D433,L424:L433,T424:T433,AB424:AB433,AJ424:AJ433)*100%)</f>
        <v>0</v>
      </c>
      <c r="H436" s="48">
        <f t="array" ref="H436">AVERAGE((D424:D433 - MIN(D424:D433,L424:L433,T424:T433,AB424:AB433,AJ424:AJ433))/MIN(D424:D433,L424:L433,T424:T433,AB424:AB433,AJ424:AJ433)*100%)</f>
        <v>3.9271359563409856E-3</v>
      </c>
      <c r="I436" s="45"/>
      <c r="J436" s="51"/>
      <c r="K436" s="54" t="s">
        <v>20</v>
      </c>
      <c r="L436" s="48">
        <f>AVERAGE(L424:L433)</f>
        <v>272.58100000000002</v>
      </c>
      <c r="M436" s="47"/>
      <c r="N436" s="48">
        <f>_xlfn.STDEV.S(L424:L433) / AVERAGE(L424:L433) * 100%</f>
        <v>1.5662820055407445E-3</v>
      </c>
      <c r="O436" s="48">
        <f t="array" ref="O436">MIN((L424:L433 - MIN(D424:D433,L424:L433,T424:T433,AB424:AB433,AJ424:AJ433))/MIN(D424:D433,L424:L433,T424:T433,AB424:AB433,AJ424:AJ433)*100%)</f>
        <v>2.8393377336925988E-3</v>
      </c>
      <c r="P436" s="48">
        <f t="array" ref="P436">AVERAGE((L424:L433 - MIN(D424:D433,L424:L433,T424:T433,AB424:AB433,AJ424:AJ433))/MIN(D424:D433,L424:L433,T424:T433,AB424:AB433,AJ424:AJ433)*100%)</f>
        <v>5.1292451786575021E-3</v>
      </c>
      <c r="Q436" s="44"/>
      <c r="R436" s="51"/>
      <c r="S436" s="54" t="s">
        <v>20</v>
      </c>
      <c r="T436" s="48">
        <f>AVERAGE(T424:T433)</f>
        <v>273.89500000000004</v>
      </c>
      <c r="U436" s="47"/>
      <c r="V436" s="48">
        <f>_xlfn.STDEV.S(T424:T433) / AVERAGE(T424:T433) * 100%</f>
        <v>5.6062696461418714E-3</v>
      </c>
      <c r="W436" s="48">
        <f t="array" ref="W436">MIN((T424:T433 - MIN(D424:D433,L424:L433,T424:T433,AB424:AB433,AJ424:AJ433))/MIN(D424:D433,L424:L433,T424:T433,AB424:AB433,AJ424:AJ433)*100%)</f>
        <v>2.3968435414288549E-3</v>
      </c>
      <c r="X436" s="48">
        <f t="array" ref="X436">AVERAGE((T424:T433 - MIN(D424:D433,L424:L433,T424:T433,AB424:AB433,AJ424:AJ433))/MIN(D424:D433,L424:L433,T424:T433,AB424:AB433,AJ424:AJ433)*100%)</f>
        <v>9.9745565839452419E-3</v>
      </c>
      <c r="Y436" s="44"/>
      <c r="Z436" s="51"/>
      <c r="AA436" s="54" t="s">
        <v>20</v>
      </c>
      <c r="AB436" s="48">
        <f>AVERAGE(AB424:AB433)</f>
        <v>272.46300000000002</v>
      </c>
      <c r="AC436" s="47"/>
      <c r="AD436" s="48">
        <f>_xlfn.STDEV.S(AB424:AB433) / AVERAGE(AB424:AB433) * 100%</f>
        <v>3.3938507237453162E-3</v>
      </c>
      <c r="AE436" s="48">
        <f t="array" ref="AE436">MIN((AB424:AB433 - MIN(D424:D433,L424:L433,T424:T433,AB424:AB433,AJ424:AJ433))/MIN(D424:D433,L424:L433,T424:T433,AB424:AB433,AJ424:AJ433)*100%)</f>
        <v>1.4012316088355371E-3</v>
      </c>
      <c r="AF436" s="48">
        <f t="array" ref="AF436">AVERAGE((AB424:AB433 - MIN(D424:D433,L424:L433,T424:T433,AB424:AB433,AJ424:AJ433))/MIN(D424:D433,L424:L433,T424:T433,AB424:AB433,AJ424:AJ433)*100%)</f>
        <v>4.6941258895981481E-3</v>
      </c>
      <c r="AG436" s="44"/>
      <c r="AH436" s="51"/>
      <c r="AI436" s="54" t="s">
        <v>20</v>
      </c>
      <c r="AJ436" s="48">
        <f>AVERAGE(AJ424:AJ433)</f>
        <v>271.346</v>
      </c>
      <c r="AK436" s="47"/>
      <c r="AL436" s="48">
        <f>_xlfn.STDEV.S(AJ424:AJ433) / AVERAGE(AJ424:AJ433) * 100%</f>
        <v>9.5506277880276036E-4</v>
      </c>
      <c r="AM436" s="48">
        <f t="array" ref="AM436">MIN((AJ424:AJ433 - MIN(D424:D433,L424:L433,T424:T433,AB424:AB433,AJ424:AJ433))/MIN(D424:D433,L424:L433,T424:T433,AB424:AB433,AJ424:AJ433)*100%)</f>
        <v>4.1921471190536553E-16</v>
      </c>
      <c r="AN436" s="48">
        <f t="array" ref="AN436">AVERAGE((AJ424:AJ433 - MIN(D424:D433,L424:L433,T424:T433,AB424:AB433,AJ424:AJ433))/MIN(D424:D433,L424:L433,T424:T433,AB424:AB433,AJ424:AJ433)*100%)</f>
        <v>5.7524244994326484E-4</v>
      </c>
      <c r="AO436" s="44"/>
      <c r="AP436" s="51"/>
    </row>
    <row r="437" spans="1:42" ht="21" customHeight="1" thickTop="1" thickBot="1" x14ac:dyDescent="0.35">
      <c r="A437" s="63"/>
      <c r="B437" s="67"/>
      <c r="C437" s="53"/>
      <c r="D437" s="44"/>
      <c r="E437" s="44"/>
      <c r="F437" s="44"/>
      <c r="G437" s="44"/>
      <c r="H437" s="44"/>
      <c r="I437" s="44"/>
      <c r="J437" s="51"/>
      <c r="K437" s="53"/>
      <c r="L437" s="44"/>
      <c r="M437" s="44"/>
      <c r="N437" s="44"/>
      <c r="O437" s="44"/>
      <c r="P437" s="44"/>
      <c r="Q437" s="44"/>
      <c r="R437" s="51"/>
      <c r="S437" s="53"/>
      <c r="T437" s="44"/>
      <c r="U437" s="44"/>
      <c r="V437" s="44"/>
      <c r="W437" s="44"/>
      <c r="X437" s="44"/>
      <c r="Y437" s="44"/>
      <c r="Z437" s="51"/>
      <c r="AA437" s="53"/>
      <c r="AB437" s="44"/>
      <c r="AC437" s="44"/>
      <c r="AD437" s="44"/>
      <c r="AE437" s="44"/>
      <c r="AF437" s="44"/>
      <c r="AG437" s="44"/>
      <c r="AH437" s="51"/>
      <c r="AI437" s="53"/>
      <c r="AJ437" s="44"/>
      <c r="AK437" s="44"/>
      <c r="AL437" s="44"/>
      <c r="AM437" s="44"/>
      <c r="AN437" s="44"/>
      <c r="AO437" s="44"/>
      <c r="AP437" s="51"/>
    </row>
    <row r="438" spans="1:42" ht="21" customHeight="1" thickTop="1" thickBot="1" x14ac:dyDescent="0.35">
      <c r="A438" s="63"/>
      <c r="B438" s="65" t="s">
        <v>95</v>
      </c>
      <c r="C438" s="59" t="s">
        <v>8</v>
      </c>
      <c r="D438" s="46" t="s">
        <v>9</v>
      </c>
      <c r="E438" s="46" t="s">
        <v>10</v>
      </c>
      <c r="F438" s="46" t="s">
        <v>11</v>
      </c>
      <c r="G438" s="46" t="s">
        <v>12</v>
      </c>
      <c r="H438" s="46" t="s">
        <v>13</v>
      </c>
      <c r="I438" s="46" t="s">
        <v>14</v>
      </c>
      <c r="J438" s="60" t="s">
        <v>15</v>
      </c>
      <c r="K438" s="59" t="s">
        <v>8</v>
      </c>
      <c r="L438" s="46" t="s">
        <v>9</v>
      </c>
      <c r="M438" s="46" t="s">
        <v>10</v>
      </c>
      <c r="N438" s="46" t="s">
        <v>11</v>
      </c>
      <c r="O438" s="46" t="s">
        <v>12</v>
      </c>
      <c r="P438" s="46" t="s">
        <v>13</v>
      </c>
      <c r="Q438" s="46" t="s">
        <v>14</v>
      </c>
      <c r="R438" s="60" t="s">
        <v>15</v>
      </c>
      <c r="S438" s="59" t="s">
        <v>8</v>
      </c>
      <c r="T438" s="46" t="s">
        <v>9</v>
      </c>
      <c r="U438" s="46" t="s">
        <v>10</v>
      </c>
      <c r="V438" s="46" t="s">
        <v>11</v>
      </c>
      <c r="W438" s="46" t="s">
        <v>12</v>
      </c>
      <c r="X438" s="46" t="s">
        <v>13</v>
      </c>
      <c r="Y438" s="46" t="s">
        <v>14</v>
      </c>
      <c r="Z438" s="60" t="s">
        <v>15</v>
      </c>
      <c r="AA438" s="59" t="s">
        <v>8</v>
      </c>
      <c r="AB438" s="46" t="s">
        <v>9</v>
      </c>
      <c r="AC438" s="46" t="s">
        <v>10</v>
      </c>
      <c r="AD438" s="46" t="s">
        <v>11</v>
      </c>
      <c r="AE438" s="46" t="s">
        <v>12</v>
      </c>
      <c r="AF438" s="46" t="s">
        <v>13</v>
      </c>
      <c r="AG438" s="46" t="s">
        <v>14</v>
      </c>
      <c r="AH438" s="60" t="s">
        <v>15</v>
      </c>
      <c r="AI438" s="59" t="s">
        <v>8</v>
      </c>
      <c r="AJ438" s="46" t="s">
        <v>9</v>
      </c>
      <c r="AK438" s="46" t="s">
        <v>10</v>
      </c>
      <c r="AL438" s="46" t="s">
        <v>11</v>
      </c>
      <c r="AM438" s="46" t="s">
        <v>12</v>
      </c>
      <c r="AN438" s="46" t="s">
        <v>13</v>
      </c>
      <c r="AO438" s="46" t="s">
        <v>14</v>
      </c>
      <c r="AP438" s="60" t="s">
        <v>15</v>
      </c>
    </row>
    <row r="439" spans="1:42" ht="21" customHeight="1" thickTop="1" thickBot="1" x14ac:dyDescent="0.35">
      <c r="A439" s="63"/>
      <c r="B439" s="66"/>
      <c r="C439" s="52">
        <v>1</v>
      </c>
      <c r="D439" s="44">
        <v>293.77</v>
      </c>
      <c r="E439" s="44"/>
      <c r="F439" s="44"/>
      <c r="G439" s="44"/>
      <c r="H439" s="44"/>
      <c r="I439" s="44"/>
      <c r="J439" s="51"/>
      <c r="K439" s="52">
        <v>1</v>
      </c>
      <c r="L439" s="44">
        <v>294.07</v>
      </c>
      <c r="M439" s="44"/>
      <c r="N439" s="44"/>
      <c r="O439" s="44"/>
      <c r="P439" s="44"/>
      <c r="Q439" s="44"/>
      <c r="R439" s="51"/>
      <c r="S439" s="52">
        <v>1</v>
      </c>
      <c r="T439" s="44">
        <v>295.90999999999991</v>
      </c>
      <c r="U439" s="44"/>
      <c r="V439" s="44"/>
      <c r="W439" s="44"/>
      <c r="X439" s="44"/>
      <c r="Y439" s="44"/>
      <c r="Z439" s="51"/>
      <c r="AA439" s="52">
        <v>1</v>
      </c>
      <c r="AB439" s="44">
        <v>294.67</v>
      </c>
      <c r="AC439" s="44"/>
      <c r="AD439" s="44"/>
      <c r="AE439" s="44"/>
      <c r="AF439" s="44"/>
      <c r="AG439" s="44"/>
      <c r="AH439" s="51"/>
      <c r="AI439" s="52">
        <v>1</v>
      </c>
      <c r="AJ439" s="44">
        <v>292.9899999999999</v>
      </c>
      <c r="AK439" s="44"/>
      <c r="AL439" s="44"/>
      <c r="AM439" s="44"/>
      <c r="AN439" s="44"/>
      <c r="AO439" s="44"/>
      <c r="AP439" s="51"/>
    </row>
    <row r="440" spans="1:42" ht="21" customHeight="1" thickTop="1" thickBot="1" x14ac:dyDescent="0.35">
      <c r="A440" s="63"/>
      <c r="B440" s="66"/>
      <c r="C440" s="53">
        <v>2</v>
      </c>
      <c r="D440" s="45">
        <v>292.61999999999989</v>
      </c>
      <c r="E440" s="45"/>
      <c r="F440" s="45"/>
      <c r="G440" s="45"/>
      <c r="H440" s="45"/>
      <c r="I440" s="45"/>
      <c r="J440" s="51"/>
      <c r="K440" s="53">
        <v>2</v>
      </c>
      <c r="L440" s="45">
        <v>293.68999999999988</v>
      </c>
      <c r="M440" s="45"/>
      <c r="N440" s="45"/>
      <c r="O440" s="45"/>
      <c r="P440" s="45"/>
      <c r="Q440" s="45"/>
      <c r="R440" s="51"/>
      <c r="S440" s="53">
        <v>2</v>
      </c>
      <c r="T440" s="45">
        <v>293.68999999999988</v>
      </c>
      <c r="U440" s="45"/>
      <c r="V440" s="45"/>
      <c r="W440" s="45"/>
      <c r="X440" s="45"/>
      <c r="Y440" s="45"/>
      <c r="Z440" s="51"/>
      <c r="AA440" s="53">
        <v>2</v>
      </c>
      <c r="AB440" s="45">
        <v>292.99</v>
      </c>
      <c r="AC440" s="45"/>
      <c r="AD440" s="45"/>
      <c r="AE440" s="45"/>
      <c r="AF440" s="45"/>
      <c r="AG440" s="45"/>
      <c r="AH440" s="51"/>
      <c r="AI440" s="53">
        <v>2</v>
      </c>
      <c r="AJ440" s="45">
        <v>292.99</v>
      </c>
      <c r="AK440" s="45"/>
      <c r="AL440" s="45"/>
      <c r="AM440" s="45"/>
      <c r="AN440" s="45"/>
      <c r="AO440" s="45"/>
      <c r="AP440" s="51"/>
    </row>
    <row r="441" spans="1:42" ht="21" customHeight="1" thickTop="1" thickBot="1" x14ac:dyDescent="0.35">
      <c r="A441" s="63"/>
      <c r="B441" s="66"/>
      <c r="C441" s="53">
        <v>3</v>
      </c>
      <c r="D441" s="45">
        <v>293.55999999999989</v>
      </c>
      <c r="E441" s="45"/>
      <c r="F441" s="45"/>
      <c r="G441" s="44"/>
      <c r="H441" s="44"/>
      <c r="I441" s="44"/>
      <c r="J441" s="51"/>
      <c r="K441" s="53">
        <v>3</v>
      </c>
      <c r="L441" s="45">
        <v>293.61999999999989</v>
      </c>
      <c r="M441" s="45"/>
      <c r="N441" s="45"/>
      <c r="O441" s="44"/>
      <c r="P441" s="44"/>
      <c r="Q441" s="44"/>
      <c r="R441" s="51"/>
      <c r="S441" s="53">
        <v>3</v>
      </c>
      <c r="T441" s="45">
        <v>293.61999999999989</v>
      </c>
      <c r="U441" s="45"/>
      <c r="V441" s="45"/>
      <c r="W441" s="44"/>
      <c r="X441" s="44"/>
      <c r="Y441" s="44"/>
      <c r="Z441" s="51"/>
      <c r="AA441" s="53">
        <v>3</v>
      </c>
      <c r="AB441" s="45">
        <v>293.61999999999989</v>
      </c>
      <c r="AC441" s="45"/>
      <c r="AD441" s="45"/>
      <c r="AE441" s="44"/>
      <c r="AF441" s="44"/>
      <c r="AG441" s="44"/>
      <c r="AH441" s="51"/>
      <c r="AI441" s="53">
        <v>3</v>
      </c>
      <c r="AJ441" s="45">
        <v>292.99</v>
      </c>
      <c r="AK441" s="45"/>
      <c r="AL441" s="45"/>
      <c r="AM441" s="44"/>
      <c r="AN441" s="44"/>
      <c r="AO441" s="44"/>
      <c r="AP441" s="51"/>
    </row>
    <row r="442" spans="1:42" ht="21" customHeight="1" thickTop="1" thickBot="1" x14ac:dyDescent="0.35">
      <c r="A442" s="63"/>
      <c r="B442" s="66"/>
      <c r="C442" s="53">
        <v>4</v>
      </c>
      <c r="D442" s="45">
        <v>292.61999999999989</v>
      </c>
      <c r="E442" s="45"/>
      <c r="F442" s="45"/>
      <c r="G442" s="45"/>
      <c r="H442" s="45"/>
      <c r="I442" s="45"/>
      <c r="J442" s="51"/>
      <c r="K442" s="53">
        <v>4</v>
      </c>
      <c r="L442" s="45">
        <v>293.86</v>
      </c>
      <c r="M442" s="45"/>
      <c r="N442" s="45"/>
      <c r="O442" s="45"/>
      <c r="P442" s="45"/>
      <c r="Q442" s="45"/>
      <c r="R442" s="51"/>
      <c r="S442" s="53">
        <v>4</v>
      </c>
      <c r="T442" s="45">
        <v>293.61999999999989</v>
      </c>
      <c r="U442" s="45"/>
      <c r="V442" s="45"/>
      <c r="W442" s="45"/>
      <c r="X442" s="45"/>
      <c r="Y442" s="45"/>
      <c r="Z442" s="51"/>
      <c r="AA442" s="53">
        <v>4</v>
      </c>
      <c r="AB442" s="45">
        <v>294.29000000000002</v>
      </c>
      <c r="AC442" s="45"/>
      <c r="AD442" s="45"/>
      <c r="AE442" s="45"/>
      <c r="AF442" s="45"/>
      <c r="AG442" s="45"/>
      <c r="AH442" s="51"/>
      <c r="AI442" s="53">
        <v>4</v>
      </c>
      <c r="AJ442" s="45">
        <v>293.55999999999989</v>
      </c>
      <c r="AK442" s="45"/>
      <c r="AL442" s="45"/>
      <c r="AM442" s="45"/>
      <c r="AN442" s="45"/>
      <c r="AO442" s="45"/>
      <c r="AP442" s="51"/>
    </row>
    <row r="443" spans="1:42" ht="21" customHeight="1" thickTop="1" thickBot="1" x14ac:dyDescent="0.35">
      <c r="A443" s="63"/>
      <c r="B443" s="66"/>
      <c r="C443" s="53">
        <v>5</v>
      </c>
      <c r="D443" s="45">
        <v>292.55</v>
      </c>
      <c r="E443" s="45"/>
      <c r="F443" s="45"/>
      <c r="G443" s="45"/>
      <c r="H443" s="45"/>
      <c r="I443" s="45"/>
      <c r="J443" s="51"/>
      <c r="K443" s="53">
        <v>5</v>
      </c>
      <c r="L443" s="45">
        <v>293.77</v>
      </c>
      <c r="M443" s="45"/>
      <c r="N443" s="45"/>
      <c r="O443" s="45"/>
      <c r="P443" s="45"/>
      <c r="Q443" s="45"/>
      <c r="R443" s="51"/>
      <c r="S443" s="53">
        <v>5</v>
      </c>
      <c r="T443" s="45">
        <v>294.61999999999989</v>
      </c>
      <c r="U443" s="45"/>
      <c r="V443" s="45"/>
      <c r="W443" s="45"/>
      <c r="X443" s="45"/>
      <c r="Y443" s="45"/>
      <c r="Z443" s="51"/>
      <c r="AA443" s="53">
        <v>5</v>
      </c>
      <c r="AB443" s="45">
        <v>293.18999999999988</v>
      </c>
      <c r="AC443" s="45"/>
      <c r="AD443" s="45"/>
      <c r="AE443" s="45"/>
      <c r="AF443" s="45"/>
      <c r="AG443" s="45"/>
      <c r="AH443" s="51"/>
      <c r="AI443" s="53">
        <v>5</v>
      </c>
      <c r="AJ443" s="45">
        <v>292.99</v>
      </c>
      <c r="AK443" s="45"/>
      <c r="AL443" s="45"/>
      <c r="AM443" s="45"/>
      <c r="AN443" s="45"/>
      <c r="AO443" s="45"/>
      <c r="AP443" s="51"/>
    </row>
    <row r="444" spans="1:42" ht="21" customHeight="1" thickTop="1" thickBot="1" x14ac:dyDescent="0.35">
      <c r="A444" s="63"/>
      <c r="B444" s="66"/>
      <c r="C444" s="53">
        <v>6</v>
      </c>
      <c r="D444" s="45">
        <v>293.69</v>
      </c>
      <c r="E444" s="45"/>
      <c r="F444" s="45"/>
      <c r="G444" s="45"/>
      <c r="H444" s="45"/>
      <c r="I444" s="45"/>
      <c r="J444" s="51"/>
      <c r="K444" s="53">
        <v>6</v>
      </c>
      <c r="L444" s="45">
        <v>293.45999999999998</v>
      </c>
      <c r="M444" s="45"/>
      <c r="N444" s="45"/>
      <c r="O444" s="45"/>
      <c r="P444" s="45"/>
      <c r="Q444" s="45"/>
      <c r="R444" s="51"/>
      <c r="S444" s="53">
        <v>6</v>
      </c>
      <c r="T444" s="45">
        <v>294.05</v>
      </c>
      <c r="U444" s="45"/>
      <c r="V444" s="45"/>
      <c r="W444" s="45"/>
      <c r="X444" s="45"/>
      <c r="Y444" s="45"/>
      <c r="Z444" s="51"/>
      <c r="AA444" s="53">
        <v>6</v>
      </c>
      <c r="AB444" s="45">
        <v>293.7999999999999</v>
      </c>
      <c r="AC444" s="45"/>
      <c r="AD444" s="45"/>
      <c r="AE444" s="45"/>
      <c r="AF444" s="45"/>
      <c r="AG444" s="45"/>
      <c r="AH444" s="51"/>
      <c r="AI444" s="53">
        <v>6</v>
      </c>
      <c r="AJ444" s="45">
        <v>292.99</v>
      </c>
      <c r="AK444" s="45"/>
      <c r="AL444" s="45"/>
      <c r="AM444" s="45"/>
      <c r="AN444" s="45"/>
      <c r="AO444" s="45"/>
      <c r="AP444" s="51"/>
    </row>
    <row r="445" spans="1:42" ht="21" customHeight="1" thickTop="1" thickBot="1" x14ac:dyDescent="0.35">
      <c r="A445" s="63"/>
      <c r="B445" s="66"/>
      <c r="C445" s="53">
        <v>7</v>
      </c>
      <c r="D445" s="45">
        <v>293.01</v>
      </c>
      <c r="E445" s="45"/>
      <c r="F445" s="45"/>
      <c r="G445" s="45"/>
      <c r="H445" s="45"/>
      <c r="I445" s="45"/>
      <c r="J445" s="51"/>
      <c r="K445" s="53">
        <v>7</v>
      </c>
      <c r="L445" s="45">
        <v>295.22000000000003</v>
      </c>
      <c r="M445" s="45"/>
      <c r="N445" s="45"/>
      <c r="O445" s="45"/>
      <c r="P445" s="45"/>
      <c r="Q445" s="45"/>
      <c r="R445" s="51"/>
      <c r="S445" s="53">
        <v>7</v>
      </c>
      <c r="T445" s="45">
        <v>296.58999999999997</v>
      </c>
      <c r="U445" s="45"/>
      <c r="V445" s="45"/>
      <c r="W445" s="45"/>
      <c r="X445" s="45"/>
      <c r="Y445" s="45"/>
      <c r="Z445" s="51"/>
      <c r="AA445" s="53">
        <v>7</v>
      </c>
      <c r="AB445" s="45">
        <v>293.22000000000003</v>
      </c>
      <c r="AC445" s="45"/>
      <c r="AD445" s="45"/>
      <c r="AE445" s="45"/>
      <c r="AF445" s="45"/>
      <c r="AG445" s="45"/>
      <c r="AH445" s="51"/>
      <c r="AI445" s="53">
        <v>7</v>
      </c>
      <c r="AJ445" s="45">
        <v>293.02</v>
      </c>
      <c r="AK445" s="45"/>
      <c r="AL445" s="45"/>
      <c r="AM445" s="45"/>
      <c r="AN445" s="45"/>
      <c r="AO445" s="45"/>
      <c r="AP445" s="51"/>
    </row>
    <row r="446" spans="1:42" ht="21" customHeight="1" thickTop="1" thickBot="1" x14ac:dyDescent="0.35">
      <c r="A446" s="63"/>
      <c r="B446" s="66"/>
      <c r="C446" s="53">
        <v>8</v>
      </c>
      <c r="D446" s="45">
        <v>293.61999999999989</v>
      </c>
      <c r="E446" s="45"/>
      <c r="F446" s="45"/>
      <c r="G446" s="45"/>
      <c r="H446" s="45"/>
      <c r="I446" s="45"/>
      <c r="J446" s="51"/>
      <c r="K446" s="53">
        <v>8</v>
      </c>
      <c r="L446" s="45">
        <v>293.98</v>
      </c>
      <c r="M446" s="45"/>
      <c r="N446" s="45"/>
      <c r="O446" s="45"/>
      <c r="P446" s="45"/>
      <c r="Q446" s="45"/>
      <c r="R446" s="51"/>
      <c r="S446" s="53">
        <v>8</v>
      </c>
      <c r="T446" s="45">
        <v>294.8599999999999</v>
      </c>
      <c r="U446" s="45"/>
      <c r="V446" s="45"/>
      <c r="W446" s="45"/>
      <c r="X446" s="45"/>
      <c r="Y446" s="45"/>
      <c r="Z446" s="51"/>
      <c r="AA446" s="53">
        <v>8</v>
      </c>
      <c r="AB446" s="45">
        <v>293.86</v>
      </c>
      <c r="AC446" s="45"/>
      <c r="AD446" s="45"/>
      <c r="AE446" s="45"/>
      <c r="AF446" s="45"/>
      <c r="AG446" s="45"/>
      <c r="AH446" s="51"/>
      <c r="AI446" s="53">
        <v>8</v>
      </c>
      <c r="AJ446" s="45">
        <v>293.29000000000002</v>
      </c>
      <c r="AK446" s="45"/>
      <c r="AL446" s="45"/>
      <c r="AM446" s="45"/>
      <c r="AN446" s="45"/>
      <c r="AO446" s="45"/>
      <c r="AP446" s="51"/>
    </row>
    <row r="447" spans="1:42" ht="21" customHeight="1" thickTop="1" thickBot="1" x14ac:dyDescent="0.35">
      <c r="A447" s="63"/>
      <c r="B447" s="66"/>
      <c r="C447" s="53">
        <v>9</v>
      </c>
      <c r="D447" s="45">
        <v>293.85000000000002</v>
      </c>
      <c r="E447" s="45"/>
      <c r="F447" s="45"/>
      <c r="G447" s="45"/>
      <c r="H447" s="45"/>
      <c r="I447" s="45"/>
      <c r="J447" s="51"/>
      <c r="K447" s="53">
        <v>9</v>
      </c>
      <c r="L447" s="45">
        <v>294.68999999999988</v>
      </c>
      <c r="M447" s="45"/>
      <c r="N447" s="45"/>
      <c r="O447" s="45"/>
      <c r="P447" s="45"/>
      <c r="Q447" s="45"/>
      <c r="R447" s="51"/>
      <c r="S447" s="53">
        <v>9</v>
      </c>
      <c r="T447" s="45">
        <v>293.92999999999989</v>
      </c>
      <c r="U447" s="45"/>
      <c r="V447" s="45"/>
      <c r="W447" s="45"/>
      <c r="X447" s="45"/>
      <c r="Y447" s="45"/>
      <c r="Z447" s="51"/>
      <c r="AA447" s="53">
        <v>9</v>
      </c>
      <c r="AB447" s="45">
        <v>293.69999999999987</v>
      </c>
      <c r="AC447" s="45"/>
      <c r="AD447" s="45"/>
      <c r="AE447" s="45"/>
      <c r="AF447" s="45"/>
      <c r="AG447" s="45"/>
      <c r="AH447" s="51"/>
      <c r="AI447" s="53">
        <v>9</v>
      </c>
      <c r="AJ447" s="45">
        <v>293.20999999999998</v>
      </c>
      <c r="AK447" s="45"/>
      <c r="AL447" s="45"/>
      <c r="AM447" s="45"/>
      <c r="AN447" s="45"/>
      <c r="AO447" s="45"/>
      <c r="AP447" s="51"/>
    </row>
    <row r="448" spans="1:42" ht="21" customHeight="1" thickTop="1" thickBot="1" x14ac:dyDescent="0.35">
      <c r="A448" s="63"/>
      <c r="B448" s="66"/>
      <c r="C448" s="53">
        <v>10</v>
      </c>
      <c r="D448" s="45">
        <v>293.61999999999989</v>
      </c>
      <c r="E448" s="45"/>
      <c r="F448" s="45"/>
      <c r="G448" s="45"/>
      <c r="H448" s="45"/>
      <c r="I448" s="45"/>
      <c r="J448" s="51"/>
      <c r="K448" s="53">
        <v>10</v>
      </c>
      <c r="L448" s="45">
        <v>293.77</v>
      </c>
      <c r="M448" s="45"/>
      <c r="N448" s="45"/>
      <c r="O448" s="45"/>
      <c r="P448" s="45"/>
      <c r="Q448" s="45"/>
      <c r="R448" s="51"/>
      <c r="S448" s="53">
        <v>10</v>
      </c>
      <c r="T448" s="45">
        <v>294.37999999999988</v>
      </c>
      <c r="U448" s="45"/>
      <c r="V448" s="45"/>
      <c r="W448" s="45"/>
      <c r="X448" s="45"/>
      <c r="Y448" s="45"/>
      <c r="Z448" s="51"/>
      <c r="AA448" s="53">
        <v>10</v>
      </c>
      <c r="AB448" s="45">
        <v>294.87</v>
      </c>
      <c r="AC448" s="45"/>
      <c r="AD448" s="45"/>
      <c r="AE448" s="45"/>
      <c r="AF448" s="45"/>
      <c r="AG448" s="45"/>
      <c r="AH448" s="51"/>
      <c r="AI448" s="53">
        <v>10</v>
      </c>
      <c r="AJ448" s="45">
        <v>292.99</v>
      </c>
      <c r="AK448" s="45"/>
      <c r="AL448" s="45"/>
      <c r="AM448" s="45"/>
      <c r="AN448" s="45"/>
      <c r="AO448" s="45"/>
      <c r="AP448" s="51"/>
    </row>
    <row r="449" spans="1:42" ht="21" customHeight="1" thickTop="1" thickBot="1" x14ac:dyDescent="0.35">
      <c r="A449" s="63"/>
      <c r="B449" s="66"/>
      <c r="C449" s="53"/>
      <c r="D449" s="45"/>
      <c r="E449" s="45"/>
      <c r="F449" s="45"/>
      <c r="G449" s="45"/>
      <c r="H449" s="45"/>
      <c r="I449" s="45"/>
      <c r="J449" s="51"/>
      <c r="K449" s="53"/>
      <c r="L449" s="45"/>
      <c r="M449" s="45"/>
      <c r="N449" s="45"/>
      <c r="O449" s="45"/>
      <c r="P449" s="45"/>
      <c r="Q449" s="45"/>
      <c r="R449" s="51"/>
      <c r="S449" s="53"/>
      <c r="T449" s="45"/>
      <c r="U449" s="45"/>
      <c r="V449" s="45"/>
      <c r="W449" s="45"/>
      <c r="X449" s="45"/>
      <c r="Y449" s="45"/>
      <c r="Z449" s="51"/>
      <c r="AA449" s="53"/>
      <c r="AB449" s="45"/>
      <c r="AC449" s="45"/>
      <c r="AD449" s="45"/>
      <c r="AE449" s="45"/>
      <c r="AF449" s="45"/>
      <c r="AG449" s="45"/>
      <c r="AH449" s="51"/>
      <c r="AI449" s="53"/>
      <c r="AJ449" s="45"/>
      <c r="AK449" s="45"/>
      <c r="AL449" s="45"/>
      <c r="AM449" s="45"/>
      <c r="AN449" s="45"/>
      <c r="AO449" s="45"/>
      <c r="AP449" s="51"/>
    </row>
    <row r="450" spans="1:42" ht="21" customHeight="1" thickTop="1" thickBot="1" x14ac:dyDescent="0.35">
      <c r="A450" s="63"/>
      <c r="B450" s="66"/>
      <c r="C450" s="54" t="s">
        <v>16</v>
      </c>
      <c r="D450" s="49">
        <f>MIN(D439:D448)</f>
        <v>292.55</v>
      </c>
      <c r="E450" s="45"/>
      <c r="F450" s="55" t="s">
        <v>17</v>
      </c>
      <c r="G450" s="49" t="s">
        <v>18</v>
      </c>
      <c r="H450" s="49" t="s">
        <v>19</v>
      </c>
      <c r="I450" s="45"/>
      <c r="J450" s="51"/>
      <c r="K450" s="54" t="s">
        <v>16</v>
      </c>
      <c r="L450" s="49">
        <f>MIN(L439:L448)</f>
        <v>293.45999999999998</v>
      </c>
      <c r="M450" s="45"/>
      <c r="N450" s="55" t="s">
        <v>17</v>
      </c>
      <c r="O450" s="49" t="s">
        <v>18</v>
      </c>
      <c r="P450" s="49" t="s">
        <v>19</v>
      </c>
      <c r="Q450" s="45"/>
      <c r="R450" s="51"/>
      <c r="S450" s="54" t="s">
        <v>16</v>
      </c>
      <c r="T450" s="49">
        <f>MIN(T439:T448)</f>
        <v>293.61999999999989</v>
      </c>
      <c r="U450" s="45"/>
      <c r="V450" s="55" t="s">
        <v>17</v>
      </c>
      <c r="W450" s="49" t="s">
        <v>18</v>
      </c>
      <c r="X450" s="49" t="s">
        <v>19</v>
      </c>
      <c r="Y450" s="45"/>
      <c r="Z450" s="51"/>
      <c r="AA450" s="54" t="s">
        <v>16</v>
      </c>
      <c r="AB450" s="49">
        <f>MIN(AB439:AB448)</f>
        <v>292.99</v>
      </c>
      <c r="AC450" s="45"/>
      <c r="AD450" s="55" t="s">
        <v>17</v>
      </c>
      <c r="AE450" s="49" t="s">
        <v>18</v>
      </c>
      <c r="AF450" s="49" t="s">
        <v>19</v>
      </c>
      <c r="AG450" s="45"/>
      <c r="AH450" s="51"/>
      <c r="AI450" s="54" t="s">
        <v>16</v>
      </c>
      <c r="AJ450" s="49">
        <f>MIN(AJ439:AJ448)</f>
        <v>292.9899999999999</v>
      </c>
      <c r="AK450" s="45"/>
      <c r="AL450" s="55" t="s">
        <v>17</v>
      </c>
      <c r="AM450" s="49" t="s">
        <v>18</v>
      </c>
      <c r="AN450" s="49" t="s">
        <v>19</v>
      </c>
      <c r="AO450" s="45"/>
      <c r="AP450" s="51"/>
    </row>
    <row r="451" spans="1:42" ht="21" customHeight="1" thickTop="1" thickBot="1" x14ac:dyDescent="0.35">
      <c r="A451" s="63"/>
      <c r="B451" s="66"/>
      <c r="C451" s="54" t="s">
        <v>20</v>
      </c>
      <c r="D451" s="48">
        <f>AVERAGE(D439:D448)</f>
        <v>293.29099999999994</v>
      </c>
      <c r="E451" s="47"/>
      <c r="F451" s="48">
        <f>_xlfn.STDEV.S(D439:D448) / AVERAGE(D439:D448) * 100%</f>
        <v>1.8036411051092556E-3</v>
      </c>
      <c r="G451" s="48">
        <f t="array" ref="G451">MIN((D439:D448 - MIN(D439:D448,L439:L448,T439:T448,AB439:AB448,AJ439:AJ448))/MIN(D439:D448,L439:L448,T439:T448,AB439:AB448,AJ439:AJ448)*100%)</f>
        <v>0</v>
      </c>
      <c r="H451" s="48">
        <f t="array" ref="H451">AVERAGE((D439:D448 - MIN(D439:D448,L439:L448,T439:T448,AB439:AB448,AJ439:AJ448))/MIN(D439:D448,L439:L448,T439:T448,AB439:AB448,AJ439:AJ448)*100%)</f>
        <v>2.5329003589127817E-3</v>
      </c>
      <c r="I451" s="45"/>
      <c r="J451" s="51"/>
      <c r="K451" s="54" t="s">
        <v>20</v>
      </c>
      <c r="L451" s="48">
        <f>AVERAGE(L439:L448)</f>
        <v>294.01299999999998</v>
      </c>
      <c r="M451" s="47"/>
      <c r="N451" s="48">
        <f>_xlfn.STDEV.S(L439:L448) / AVERAGE(L439:L448) * 100%</f>
        <v>1.8370768341918981E-3</v>
      </c>
      <c r="O451" s="48">
        <f t="array" ref="O451">MIN((L439:L448 - MIN(D439:D448,L439:L448,T439:T448,AB439:AB448,AJ439:AJ448))/MIN(D439:D448,L439:L448,T439:T448,AB439:AB448,AJ439:AJ448)*100%)</f>
        <v>3.110579388138671E-3</v>
      </c>
      <c r="P451" s="48">
        <f t="array" ref="P451">AVERAGE((L439:L448 - MIN(D439:D448,L439:L448,T439:T448,AB439:AB448,AJ439:AJ448))/MIN(D439:D448,L439:L448,T439:T448,AB439:AB448,AJ439:AJ448)*100%)</f>
        <v>5.0008545547768051E-3</v>
      </c>
      <c r="Q451" s="44"/>
      <c r="R451" s="51"/>
      <c r="S451" s="54" t="s">
        <v>20</v>
      </c>
      <c r="T451" s="48">
        <f>AVERAGE(T439:T448)</f>
        <v>294.52699999999987</v>
      </c>
      <c r="U451" s="47"/>
      <c r="V451" s="48">
        <f>_xlfn.STDEV.S(T439:T448) / AVERAGE(T439:T448) * 100%</f>
        <v>3.4401743357394521E-3</v>
      </c>
      <c r="W451" s="48">
        <f t="array" ref="W451">MIN((T439:T448 - MIN(D439:D448,L439:L448,T439:T448,AB439:AB448,AJ439:AJ448))/MIN(D439:D448,L439:L448,T439:T448,AB439:AB448,AJ439:AJ448)*100%)</f>
        <v>3.6574944453935379E-3</v>
      </c>
      <c r="X451" s="48">
        <f t="array" ref="X451">AVERAGE((T439:T448 - MIN(D439:D448,L439:L448,T439:T448,AB439:AB448,AJ439:AJ448))/MIN(D439:D448,L439:L448,T439:T448,AB439:AB448,AJ439:AJ448)*100%)</f>
        <v>6.7578191762088582E-3</v>
      </c>
      <c r="Y451" s="44"/>
      <c r="Z451" s="51"/>
      <c r="AA451" s="54" t="s">
        <v>20</v>
      </c>
      <c r="AB451" s="48">
        <f>AVERAGE(AB439:AB448)</f>
        <v>293.82099999999997</v>
      </c>
      <c r="AC451" s="47"/>
      <c r="AD451" s="48">
        <f>_xlfn.STDEV.S(AB439:AB448) / AVERAGE(AB439:AB448) * 100%</f>
        <v>2.1369444191925175E-3</v>
      </c>
      <c r="AE451" s="48">
        <f t="array" ref="AE451">MIN((AB439:AB448 - MIN(D439:D448,L439:L448,T439:T448,AB439:AB448,AJ439:AJ448))/MIN(D439:D448,L439:L448,T439:T448,AB439:AB448,AJ439:AJ448)*100%)</f>
        <v>1.5040164074517099E-3</v>
      </c>
      <c r="AF451" s="48">
        <f t="array" ref="AF451">AVERAGE((AB439:AB448 - MIN(D439:D448,L439:L448,T439:T448,AB439:AB448,AJ439:AJ448))/MIN(D439:D448,L439:L448,T439:T448,AB439:AB448,AJ439:AJ448)*100%)</f>
        <v>4.3445564860705947E-3</v>
      </c>
      <c r="AG451" s="44"/>
      <c r="AH451" s="51"/>
      <c r="AI451" s="54" t="s">
        <v>20</v>
      </c>
      <c r="AJ451" s="48">
        <f>AVERAGE(AJ439:AJ448)</f>
        <v>293.10199999999998</v>
      </c>
      <c r="AK451" s="47"/>
      <c r="AL451" s="48">
        <f>_xlfn.STDEV.S(AJ439:AJ448) / AVERAGE(AJ439:AJ448) * 100%</f>
        <v>6.6192079550607213E-4</v>
      </c>
      <c r="AM451" s="48">
        <f t="array" ref="AM451">MIN((AJ439:AJ448 - MIN(D439:D448,L439:L448,T439:T448,AB439:AB448,AJ439:AJ448))/MIN(D439:D448,L439:L448,T439:T448,AB439:AB448,AJ439:AJ448)*100%)</f>
        <v>1.5040164074513211E-3</v>
      </c>
      <c r="AN451" s="48">
        <f t="array" ref="AN451">AVERAGE((AJ439:AJ448 - MIN(D439:D448,L439:L448,T439:T448,AB439:AB448,AJ439:AJ448))/MIN(D439:D448,L439:L448,T439:T448,AB439:AB448,AJ439:AJ448)*100%)</f>
        <v>1.8868569475302334E-3</v>
      </c>
      <c r="AO451" s="44"/>
      <c r="AP451" s="51"/>
    </row>
    <row r="452" spans="1:42" ht="21" customHeight="1" thickTop="1" thickBot="1" x14ac:dyDescent="0.35">
      <c r="A452" s="63"/>
      <c r="B452" s="67"/>
      <c r="C452" s="53"/>
      <c r="D452" s="44"/>
      <c r="E452" s="44"/>
      <c r="F452" s="44"/>
      <c r="G452" s="44"/>
      <c r="H452" s="44"/>
      <c r="I452" s="44"/>
      <c r="J452" s="51"/>
      <c r="K452" s="53"/>
      <c r="L452" s="44"/>
      <c r="M452" s="44"/>
      <c r="N452" s="44"/>
      <c r="O452" s="44"/>
      <c r="P452" s="44"/>
      <c r="Q452" s="44"/>
      <c r="R452" s="51"/>
      <c r="S452" s="53"/>
      <c r="T452" s="44"/>
      <c r="U452" s="44"/>
      <c r="V452" s="44"/>
      <c r="W452" s="44"/>
      <c r="X452" s="44"/>
      <c r="Y452" s="44"/>
      <c r="Z452" s="51"/>
      <c r="AA452" s="53"/>
      <c r="AB452" s="44"/>
      <c r="AC452" s="44"/>
      <c r="AD452" s="44"/>
      <c r="AE452" s="44"/>
      <c r="AF452" s="44"/>
      <c r="AG452" s="44"/>
      <c r="AH452" s="51"/>
      <c r="AI452" s="53"/>
      <c r="AJ452" s="44"/>
      <c r="AK452" s="44"/>
      <c r="AL452" s="44"/>
      <c r="AM452" s="44"/>
      <c r="AN452" s="44"/>
      <c r="AO452" s="44"/>
      <c r="AP452" s="51"/>
    </row>
    <row r="453" spans="1:42" ht="21" customHeight="1" thickTop="1" thickBot="1" x14ac:dyDescent="0.35">
      <c r="A453" s="63"/>
      <c r="B453" s="65" t="s">
        <v>96</v>
      </c>
      <c r="C453" s="59" t="s">
        <v>8</v>
      </c>
      <c r="D453" s="46" t="s">
        <v>9</v>
      </c>
      <c r="E453" s="46" t="s">
        <v>10</v>
      </c>
      <c r="F453" s="46" t="s">
        <v>11</v>
      </c>
      <c r="G453" s="46" t="s">
        <v>12</v>
      </c>
      <c r="H453" s="46" t="s">
        <v>13</v>
      </c>
      <c r="I453" s="46" t="s">
        <v>14</v>
      </c>
      <c r="J453" s="60" t="s">
        <v>15</v>
      </c>
      <c r="K453" s="59" t="s">
        <v>8</v>
      </c>
      <c r="L453" s="46" t="s">
        <v>9</v>
      </c>
      <c r="M453" s="46" t="s">
        <v>10</v>
      </c>
      <c r="N453" s="46" t="s">
        <v>11</v>
      </c>
      <c r="O453" s="46" t="s">
        <v>12</v>
      </c>
      <c r="P453" s="46" t="s">
        <v>13</v>
      </c>
      <c r="Q453" s="46" t="s">
        <v>14</v>
      </c>
      <c r="R453" s="60" t="s">
        <v>15</v>
      </c>
      <c r="S453" s="59" t="s">
        <v>8</v>
      </c>
      <c r="T453" s="46" t="s">
        <v>9</v>
      </c>
      <c r="U453" s="46" t="s">
        <v>10</v>
      </c>
      <c r="V453" s="46" t="s">
        <v>11</v>
      </c>
      <c r="W453" s="46" t="s">
        <v>12</v>
      </c>
      <c r="X453" s="46" t="s">
        <v>13</v>
      </c>
      <c r="Y453" s="46" t="s">
        <v>14</v>
      </c>
      <c r="Z453" s="60" t="s">
        <v>15</v>
      </c>
      <c r="AA453" s="59" t="s">
        <v>8</v>
      </c>
      <c r="AB453" s="46" t="s">
        <v>9</v>
      </c>
      <c r="AC453" s="46" t="s">
        <v>10</v>
      </c>
      <c r="AD453" s="46" t="s">
        <v>11</v>
      </c>
      <c r="AE453" s="46" t="s">
        <v>12</v>
      </c>
      <c r="AF453" s="46" t="s">
        <v>13</v>
      </c>
      <c r="AG453" s="46" t="s">
        <v>14</v>
      </c>
      <c r="AH453" s="60" t="s">
        <v>15</v>
      </c>
      <c r="AI453" s="59" t="s">
        <v>8</v>
      </c>
      <c r="AJ453" s="46" t="s">
        <v>9</v>
      </c>
      <c r="AK453" s="46" t="s">
        <v>10</v>
      </c>
      <c r="AL453" s="46" t="s">
        <v>11</v>
      </c>
      <c r="AM453" s="46" t="s">
        <v>12</v>
      </c>
      <c r="AN453" s="46" t="s">
        <v>13</v>
      </c>
      <c r="AO453" s="46" t="s">
        <v>14</v>
      </c>
      <c r="AP453" s="60" t="s">
        <v>15</v>
      </c>
    </row>
    <row r="454" spans="1:42" ht="21" customHeight="1" thickTop="1" thickBot="1" x14ac:dyDescent="0.35">
      <c r="A454" s="63"/>
      <c r="B454" s="66"/>
      <c r="C454" s="52">
        <v>1</v>
      </c>
      <c r="D454" s="44">
        <v>300.14999999999998</v>
      </c>
      <c r="E454" s="44"/>
      <c r="F454" s="44"/>
      <c r="G454" s="44"/>
      <c r="H454" s="44"/>
      <c r="I454" s="44"/>
      <c r="J454" s="51"/>
      <c r="K454" s="52">
        <v>1</v>
      </c>
      <c r="L454" s="44">
        <v>301.58999999999997</v>
      </c>
      <c r="M454" s="44"/>
      <c r="N454" s="44"/>
      <c r="O454" s="44"/>
      <c r="P454" s="44"/>
      <c r="Q454" s="44"/>
      <c r="R454" s="51"/>
      <c r="S454" s="52">
        <v>1</v>
      </c>
      <c r="T454" s="44">
        <v>300.27999999999992</v>
      </c>
      <c r="U454" s="44"/>
      <c r="V454" s="44"/>
      <c r="W454" s="44"/>
      <c r="X454" s="44"/>
      <c r="Y454" s="44"/>
      <c r="Z454" s="51"/>
      <c r="AA454" s="52">
        <v>1</v>
      </c>
      <c r="AB454" s="44">
        <v>300.31</v>
      </c>
      <c r="AC454" s="44"/>
      <c r="AD454" s="44"/>
      <c r="AE454" s="44"/>
      <c r="AF454" s="44"/>
      <c r="AG454" s="44"/>
      <c r="AH454" s="51"/>
      <c r="AI454" s="52">
        <v>1</v>
      </c>
      <c r="AJ454" s="44">
        <v>300.5</v>
      </c>
      <c r="AK454" s="44"/>
      <c r="AL454" s="44"/>
      <c r="AM454" s="44"/>
      <c r="AN454" s="44"/>
      <c r="AO454" s="44"/>
      <c r="AP454" s="51"/>
    </row>
    <row r="455" spans="1:42" ht="21" customHeight="1" thickTop="1" thickBot="1" x14ac:dyDescent="0.35">
      <c r="A455" s="63"/>
      <c r="B455" s="66"/>
      <c r="C455" s="53">
        <v>2</v>
      </c>
      <c r="D455" s="45">
        <v>300.77999999999997</v>
      </c>
      <c r="E455" s="45"/>
      <c r="F455" s="45"/>
      <c r="G455" s="45"/>
      <c r="H455" s="45"/>
      <c r="I455" s="45"/>
      <c r="J455" s="51"/>
      <c r="K455" s="53">
        <v>2</v>
      </c>
      <c r="L455" s="45">
        <v>301.48</v>
      </c>
      <c r="M455" s="45"/>
      <c r="N455" s="45"/>
      <c r="O455" s="45"/>
      <c r="P455" s="45"/>
      <c r="Q455" s="45"/>
      <c r="R455" s="51"/>
      <c r="S455" s="53">
        <v>2</v>
      </c>
      <c r="T455" s="45">
        <v>301.79000000000002</v>
      </c>
      <c r="U455" s="45"/>
      <c r="V455" s="45"/>
      <c r="W455" s="45"/>
      <c r="X455" s="45"/>
      <c r="Y455" s="45"/>
      <c r="Z455" s="51"/>
      <c r="AA455" s="53">
        <v>2</v>
      </c>
      <c r="AB455" s="45">
        <v>300.05999999999989</v>
      </c>
      <c r="AC455" s="45"/>
      <c r="AD455" s="45"/>
      <c r="AE455" s="45"/>
      <c r="AF455" s="45"/>
      <c r="AG455" s="45"/>
      <c r="AH455" s="51"/>
      <c r="AI455" s="53">
        <v>2</v>
      </c>
      <c r="AJ455" s="45">
        <v>300.89999999999998</v>
      </c>
      <c r="AK455" s="45"/>
      <c r="AL455" s="45"/>
      <c r="AM455" s="45"/>
      <c r="AN455" s="45"/>
      <c r="AO455" s="45"/>
      <c r="AP455" s="51"/>
    </row>
    <row r="456" spans="1:42" ht="21" customHeight="1" thickTop="1" thickBot="1" x14ac:dyDescent="0.35">
      <c r="A456" s="63"/>
      <c r="B456" s="66"/>
      <c r="C456" s="53">
        <v>3</v>
      </c>
      <c r="D456" s="45">
        <v>301.02999999999997</v>
      </c>
      <c r="E456" s="45"/>
      <c r="F456" s="45"/>
      <c r="G456" s="44"/>
      <c r="H456" s="44"/>
      <c r="I456" s="44"/>
      <c r="J456" s="51"/>
      <c r="K456" s="53">
        <v>3</v>
      </c>
      <c r="L456" s="45">
        <v>301.58999999999997</v>
      </c>
      <c r="M456" s="45"/>
      <c r="N456" s="45"/>
      <c r="O456" s="44"/>
      <c r="P456" s="44"/>
      <c r="Q456" s="44"/>
      <c r="R456" s="51"/>
      <c r="S456" s="53">
        <v>3</v>
      </c>
      <c r="T456" s="45">
        <v>302.39</v>
      </c>
      <c r="U456" s="45"/>
      <c r="V456" s="45"/>
      <c r="W456" s="44"/>
      <c r="X456" s="44"/>
      <c r="Y456" s="44"/>
      <c r="Z456" s="51"/>
      <c r="AA456" s="53">
        <v>3</v>
      </c>
      <c r="AB456" s="45">
        <v>300.33999999999997</v>
      </c>
      <c r="AC456" s="45"/>
      <c r="AD456" s="45"/>
      <c r="AE456" s="44"/>
      <c r="AF456" s="44"/>
      <c r="AG456" s="44"/>
      <c r="AH456" s="51"/>
      <c r="AI456" s="53">
        <v>3</v>
      </c>
      <c r="AJ456" s="45">
        <v>300.16000000000003</v>
      </c>
      <c r="AK456" s="45"/>
      <c r="AL456" s="45"/>
      <c r="AM456" s="44"/>
      <c r="AN456" s="44"/>
      <c r="AO456" s="44"/>
      <c r="AP456" s="51"/>
    </row>
    <row r="457" spans="1:42" ht="21" customHeight="1" thickTop="1" thickBot="1" x14ac:dyDescent="0.35">
      <c r="A457" s="63"/>
      <c r="B457" s="66"/>
      <c r="C457" s="53">
        <v>4</v>
      </c>
      <c r="D457" s="45">
        <v>299.99</v>
      </c>
      <c r="E457" s="45"/>
      <c r="F457" s="45"/>
      <c r="G457" s="45"/>
      <c r="H457" s="45"/>
      <c r="I457" s="45"/>
      <c r="J457" s="51"/>
      <c r="K457" s="53">
        <v>4</v>
      </c>
      <c r="L457" s="45">
        <v>301.29000000000002</v>
      </c>
      <c r="M457" s="45"/>
      <c r="N457" s="45"/>
      <c r="O457" s="45"/>
      <c r="P457" s="45"/>
      <c r="Q457" s="45"/>
      <c r="R457" s="51"/>
      <c r="S457" s="53">
        <v>4</v>
      </c>
      <c r="T457" s="45">
        <v>302.23</v>
      </c>
      <c r="U457" s="45"/>
      <c r="V457" s="45"/>
      <c r="W457" s="45"/>
      <c r="X457" s="45"/>
      <c r="Y457" s="45"/>
      <c r="Z457" s="51"/>
      <c r="AA457" s="53">
        <v>4</v>
      </c>
      <c r="AB457" s="45">
        <v>300.87</v>
      </c>
      <c r="AC457" s="45"/>
      <c r="AD457" s="45"/>
      <c r="AE457" s="45"/>
      <c r="AF457" s="45"/>
      <c r="AG457" s="45"/>
      <c r="AH457" s="51"/>
      <c r="AI457" s="53">
        <v>4</v>
      </c>
      <c r="AJ457" s="45">
        <v>299.75</v>
      </c>
      <c r="AK457" s="45"/>
      <c r="AL457" s="45"/>
      <c r="AM457" s="45"/>
      <c r="AN457" s="45"/>
      <c r="AO457" s="45"/>
      <c r="AP457" s="51"/>
    </row>
    <row r="458" spans="1:42" ht="21" customHeight="1" thickTop="1" thickBot="1" x14ac:dyDescent="0.35">
      <c r="A458" s="63"/>
      <c r="B458" s="66"/>
      <c r="C458" s="53">
        <v>5</v>
      </c>
      <c r="D458" s="45">
        <v>300.45999999999998</v>
      </c>
      <c r="E458" s="45"/>
      <c r="F458" s="45"/>
      <c r="G458" s="45"/>
      <c r="H458" s="45"/>
      <c r="I458" s="45"/>
      <c r="J458" s="51"/>
      <c r="K458" s="53">
        <v>5</v>
      </c>
      <c r="L458" s="45">
        <v>301.64999999999998</v>
      </c>
      <c r="M458" s="45"/>
      <c r="N458" s="45"/>
      <c r="O458" s="45"/>
      <c r="P458" s="45"/>
      <c r="Q458" s="45"/>
      <c r="R458" s="51"/>
      <c r="S458" s="53">
        <v>5</v>
      </c>
      <c r="T458" s="45">
        <v>302.86999999999989</v>
      </c>
      <c r="U458" s="45"/>
      <c r="V458" s="45"/>
      <c r="W458" s="45"/>
      <c r="X458" s="45"/>
      <c r="Y458" s="45"/>
      <c r="Z458" s="51"/>
      <c r="AA458" s="53">
        <v>5</v>
      </c>
      <c r="AB458" s="45">
        <v>301.27999999999997</v>
      </c>
      <c r="AC458" s="45"/>
      <c r="AD458" s="45"/>
      <c r="AE458" s="45"/>
      <c r="AF458" s="45"/>
      <c r="AG458" s="45"/>
      <c r="AH458" s="51"/>
      <c r="AI458" s="53">
        <v>5</v>
      </c>
      <c r="AJ458" s="45">
        <v>300</v>
      </c>
      <c r="AK458" s="45"/>
      <c r="AL458" s="45"/>
      <c r="AM458" s="45"/>
      <c r="AN458" s="45"/>
      <c r="AO458" s="45"/>
      <c r="AP458" s="51"/>
    </row>
    <row r="459" spans="1:42" ht="21" customHeight="1" thickTop="1" thickBot="1" x14ac:dyDescent="0.35">
      <c r="A459" s="63"/>
      <c r="B459" s="66"/>
      <c r="C459" s="53">
        <v>6</v>
      </c>
      <c r="D459" s="45">
        <v>301.39999999999998</v>
      </c>
      <c r="E459" s="45"/>
      <c r="F459" s="45"/>
      <c r="G459" s="45"/>
      <c r="H459" s="45"/>
      <c r="I459" s="45"/>
      <c r="J459" s="51"/>
      <c r="K459" s="53">
        <v>6</v>
      </c>
      <c r="L459" s="45">
        <v>301.52999999999997</v>
      </c>
      <c r="M459" s="45"/>
      <c r="N459" s="45"/>
      <c r="O459" s="45"/>
      <c r="P459" s="45"/>
      <c r="Q459" s="45"/>
      <c r="R459" s="51"/>
      <c r="S459" s="53">
        <v>6</v>
      </c>
      <c r="T459" s="45">
        <v>303.02</v>
      </c>
      <c r="U459" s="45"/>
      <c r="V459" s="45"/>
      <c r="W459" s="45"/>
      <c r="X459" s="45"/>
      <c r="Y459" s="45"/>
      <c r="Z459" s="51"/>
      <c r="AA459" s="53">
        <v>6</v>
      </c>
      <c r="AB459" s="45">
        <v>301.62</v>
      </c>
      <c r="AC459" s="45"/>
      <c r="AD459" s="45"/>
      <c r="AE459" s="45"/>
      <c r="AF459" s="45"/>
      <c r="AG459" s="45"/>
      <c r="AH459" s="51"/>
      <c r="AI459" s="53">
        <v>6</v>
      </c>
      <c r="AJ459" s="45">
        <v>300.5</v>
      </c>
      <c r="AK459" s="45"/>
      <c r="AL459" s="45"/>
      <c r="AM459" s="45"/>
      <c r="AN459" s="45"/>
      <c r="AO459" s="45"/>
      <c r="AP459" s="51"/>
    </row>
    <row r="460" spans="1:42" ht="21" customHeight="1" thickTop="1" thickBot="1" x14ac:dyDescent="0.35">
      <c r="A460" s="63"/>
      <c r="B460" s="66"/>
      <c r="C460" s="53">
        <v>7</v>
      </c>
      <c r="D460" s="45">
        <v>300.49999999999989</v>
      </c>
      <c r="E460" s="45"/>
      <c r="F460" s="45"/>
      <c r="G460" s="45"/>
      <c r="H460" s="45"/>
      <c r="I460" s="45"/>
      <c r="J460" s="51"/>
      <c r="K460" s="53">
        <v>7</v>
      </c>
      <c r="L460" s="45">
        <v>301.14999999999998</v>
      </c>
      <c r="M460" s="45"/>
      <c r="N460" s="45"/>
      <c r="O460" s="45"/>
      <c r="P460" s="45"/>
      <c r="Q460" s="45"/>
      <c r="R460" s="51"/>
      <c r="S460" s="53">
        <v>7</v>
      </c>
      <c r="T460" s="45">
        <v>303.18999999999988</v>
      </c>
      <c r="U460" s="45"/>
      <c r="V460" s="45"/>
      <c r="W460" s="45"/>
      <c r="X460" s="45"/>
      <c r="Y460" s="45"/>
      <c r="Z460" s="51"/>
      <c r="AA460" s="53">
        <v>7</v>
      </c>
      <c r="AB460" s="45">
        <v>301.55</v>
      </c>
      <c r="AC460" s="45"/>
      <c r="AD460" s="45"/>
      <c r="AE460" s="45"/>
      <c r="AF460" s="45"/>
      <c r="AG460" s="45"/>
      <c r="AH460" s="51"/>
      <c r="AI460" s="53">
        <v>7</v>
      </c>
      <c r="AJ460" s="45">
        <v>300.29000000000002</v>
      </c>
      <c r="AK460" s="45"/>
      <c r="AL460" s="45"/>
      <c r="AM460" s="45"/>
      <c r="AN460" s="45"/>
      <c r="AO460" s="45"/>
      <c r="AP460" s="51"/>
    </row>
    <row r="461" spans="1:42" ht="21" customHeight="1" thickTop="1" thickBot="1" x14ac:dyDescent="0.35">
      <c r="A461" s="63"/>
      <c r="B461" s="66"/>
      <c r="C461" s="53">
        <v>8</v>
      </c>
      <c r="D461" s="45">
        <v>300.64</v>
      </c>
      <c r="E461" s="45"/>
      <c r="F461" s="45"/>
      <c r="G461" s="45"/>
      <c r="H461" s="45"/>
      <c r="I461" s="45"/>
      <c r="J461" s="51"/>
      <c r="K461" s="53">
        <v>8</v>
      </c>
      <c r="L461" s="45">
        <v>300.87</v>
      </c>
      <c r="M461" s="45"/>
      <c r="N461" s="45"/>
      <c r="O461" s="45"/>
      <c r="P461" s="45"/>
      <c r="Q461" s="45"/>
      <c r="R461" s="51"/>
      <c r="S461" s="53">
        <v>8</v>
      </c>
      <c r="T461" s="45">
        <v>301.55</v>
      </c>
      <c r="U461" s="45"/>
      <c r="V461" s="45"/>
      <c r="W461" s="45"/>
      <c r="X461" s="45"/>
      <c r="Y461" s="45"/>
      <c r="Z461" s="51"/>
      <c r="AA461" s="53">
        <v>8</v>
      </c>
      <c r="AB461" s="45">
        <v>300.38</v>
      </c>
      <c r="AC461" s="45"/>
      <c r="AD461" s="45"/>
      <c r="AE461" s="45"/>
      <c r="AF461" s="45"/>
      <c r="AG461" s="45"/>
      <c r="AH461" s="51"/>
      <c r="AI461" s="53">
        <v>8</v>
      </c>
      <c r="AJ461" s="45">
        <v>301.3</v>
      </c>
      <c r="AK461" s="45"/>
      <c r="AL461" s="45"/>
      <c r="AM461" s="45"/>
      <c r="AN461" s="45"/>
      <c r="AO461" s="45"/>
      <c r="AP461" s="51"/>
    </row>
    <row r="462" spans="1:42" ht="21" customHeight="1" thickTop="1" thickBot="1" x14ac:dyDescent="0.35">
      <c r="A462" s="63"/>
      <c r="B462" s="66"/>
      <c r="C462" s="53">
        <v>9</v>
      </c>
      <c r="D462" s="45">
        <v>301.48</v>
      </c>
      <c r="E462" s="45"/>
      <c r="F462" s="45"/>
      <c r="G462" s="45"/>
      <c r="H462" s="45"/>
      <c r="I462" s="45"/>
      <c r="J462" s="51"/>
      <c r="K462" s="53">
        <v>9</v>
      </c>
      <c r="L462" s="45">
        <v>301.08999999999997</v>
      </c>
      <c r="M462" s="45"/>
      <c r="N462" s="45"/>
      <c r="O462" s="45"/>
      <c r="P462" s="45"/>
      <c r="Q462" s="45"/>
      <c r="R462" s="51"/>
      <c r="S462" s="53">
        <v>9</v>
      </c>
      <c r="T462" s="45">
        <v>302.00999999999988</v>
      </c>
      <c r="U462" s="45"/>
      <c r="V462" s="45"/>
      <c r="W462" s="45"/>
      <c r="X462" s="45"/>
      <c r="Y462" s="45"/>
      <c r="Z462" s="51"/>
      <c r="AA462" s="53">
        <v>9</v>
      </c>
      <c r="AB462" s="45">
        <v>299.91000000000003</v>
      </c>
      <c r="AC462" s="45"/>
      <c r="AD462" s="45"/>
      <c r="AE462" s="45"/>
      <c r="AF462" s="45"/>
      <c r="AG462" s="45"/>
      <c r="AH462" s="51"/>
      <c r="AI462" s="53">
        <v>9</v>
      </c>
      <c r="AJ462" s="45">
        <v>299.82</v>
      </c>
      <c r="AK462" s="45"/>
      <c r="AL462" s="45"/>
      <c r="AM462" s="45"/>
      <c r="AN462" s="45"/>
      <c r="AO462" s="45"/>
      <c r="AP462" s="51"/>
    </row>
    <row r="463" spans="1:42" ht="21" customHeight="1" thickTop="1" thickBot="1" x14ac:dyDescent="0.35">
      <c r="A463" s="63"/>
      <c r="B463" s="66"/>
      <c r="C463" s="53">
        <v>10</v>
      </c>
      <c r="D463" s="45">
        <v>300.83999999999997</v>
      </c>
      <c r="E463" s="45"/>
      <c r="F463" s="45"/>
      <c r="G463" s="45"/>
      <c r="H463" s="45"/>
      <c r="I463" s="45"/>
      <c r="J463" s="51"/>
      <c r="K463" s="53">
        <v>10</v>
      </c>
      <c r="L463" s="45">
        <v>300.89</v>
      </c>
      <c r="M463" s="45"/>
      <c r="N463" s="45"/>
      <c r="O463" s="45"/>
      <c r="P463" s="45"/>
      <c r="Q463" s="45"/>
      <c r="R463" s="51"/>
      <c r="S463" s="53">
        <v>10</v>
      </c>
      <c r="T463" s="45">
        <v>301.62</v>
      </c>
      <c r="U463" s="45"/>
      <c r="V463" s="45"/>
      <c r="W463" s="45"/>
      <c r="X463" s="45"/>
      <c r="Y463" s="45"/>
      <c r="Z463" s="51"/>
      <c r="AA463" s="53">
        <v>10</v>
      </c>
      <c r="AB463" s="45">
        <v>300.94999999999987</v>
      </c>
      <c r="AC463" s="45"/>
      <c r="AD463" s="45"/>
      <c r="AE463" s="45"/>
      <c r="AF463" s="45"/>
      <c r="AG463" s="45"/>
      <c r="AH463" s="51"/>
      <c r="AI463" s="53">
        <v>10</v>
      </c>
      <c r="AJ463" s="45">
        <v>301.30999999999989</v>
      </c>
      <c r="AK463" s="45"/>
      <c r="AL463" s="45"/>
      <c r="AM463" s="45"/>
      <c r="AN463" s="45"/>
      <c r="AO463" s="45"/>
      <c r="AP463" s="51"/>
    </row>
    <row r="464" spans="1:42" ht="21" customHeight="1" thickTop="1" thickBot="1" x14ac:dyDescent="0.35">
      <c r="A464" s="63"/>
      <c r="B464" s="66"/>
      <c r="C464" s="53"/>
      <c r="D464" s="45"/>
      <c r="E464" s="45"/>
      <c r="F464" s="45"/>
      <c r="G464" s="45"/>
      <c r="H464" s="45"/>
      <c r="I464" s="45"/>
      <c r="J464" s="51"/>
      <c r="K464" s="53"/>
      <c r="L464" s="45"/>
      <c r="M464" s="45"/>
      <c r="N464" s="45"/>
      <c r="O464" s="45"/>
      <c r="P464" s="45"/>
      <c r="Q464" s="45"/>
      <c r="R464" s="51"/>
      <c r="S464" s="53"/>
      <c r="T464" s="45"/>
      <c r="U464" s="45"/>
      <c r="V464" s="45"/>
      <c r="W464" s="45"/>
      <c r="X464" s="45"/>
      <c r="Y464" s="45"/>
      <c r="Z464" s="51"/>
      <c r="AA464" s="53"/>
      <c r="AB464" s="45"/>
      <c r="AC464" s="45"/>
      <c r="AD464" s="45"/>
      <c r="AE464" s="45"/>
      <c r="AF464" s="45"/>
      <c r="AG464" s="45"/>
      <c r="AH464" s="51"/>
      <c r="AI464" s="53"/>
      <c r="AJ464" s="45"/>
      <c r="AK464" s="45"/>
      <c r="AL464" s="45"/>
      <c r="AM464" s="45"/>
      <c r="AN464" s="45"/>
      <c r="AO464" s="45"/>
      <c r="AP464" s="51"/>
    </row>
    <row r="465" spans="1:42" ht="21" customHeight="1" thickTop="1" thickBot="1" x14ac:dyDescent="0.35">
      <c r="A465" s="63"/>
      <c r="B465" s="66"/>
      <c r="C465" s="54" t="s">
        <v>16</v>
      </c>
      <c r="D465" s="49">
        <f>MIN(D454:D463)</f>
        <v>299.99</v>
      </c>
      <c r="E465" s="45"/>
      <c r="F465" s="55" t="s">
        <v>17</v>
      </c>
      <c r="G465" s="49" t="s">
        <v>18</v>
      </c>
      <c r="H465" s="49" t="s">
        <v>19</v>
      </c>
      <c r="I465" s="45"/>
      <c r="J465" s="51"/>
      <c r="K465" s="54" t="s">
        <v>16</v>
      </c>
      <c r="L465" s="49">
        <f>MIN(L454:L463)</f>
        <v>300.87</v>
      </c>
      <c r="M465" s="45"/>
      <c r="N465" s="55" t="s">
        <v>17</v>
      </c>
      <c r="O465" s="49" t="s">
        <v>18</v>
      </c>
      <c r="P465" s="49" t="s">
        <v>19</v>
      </c>
      <c r="Q465" s="45"/>
      <c r="R465" s="51"/>
      <c r="S465" s="54" t="s">
        <v>16</v>
      </c>
      <c r="T465" s="49">
        <f>MIN(T454:T463)</f>
        <v>300.27999999999992</v>
      </c>
      <c r="U465" s="45"/>
      <c r="V465" s="55" t="s">
        <v>17</v>
      </c>
      <c r="W465" s="49" t="s">
        <v>18</v>
      </c>
      <c r="X465" s="49" t="s">
        <v>19</v>
      </c>
      <c r="Y465" s="45"/>
      <c r="Z465" s="51"/>
      <c r="AA465" s="54" t="s">
        <v>16</v>
      </c>
      <c r="AB465" s="49">
        <f>MIN(AB454:AB463)</f>
        <v>299.91000000000003</v>
      </c>
      <c r="AC465" s="45"/>
      <c r="AD465" s="55" t="s">
        <v>17</v>
      </c>
      <c r="AE465" s="49" t="s">
        <v>18</v>
      </c>
      <c r="AF465" s="49" t="s">
        <v>19</v>
      </c>
      <c r="AG465" s="45"/>
      <c r="AH465" s="51"/>
      <c r="AI465" s="54" t="s">
        <v>16</v>
      </c>
      <c r="AJ465" s="49">
        <f>MIN(AJ454:AJ463)</f>
        <v>299.75</v>
      </c>
      <c r="AK465" s="45"/>
      <c r="AL465" s="55" t="s">
        <v>17</v>
      </c>
      <c r="AM465" s="49" t="s">
        <v>18</v>
      </c>
      <c r="AN465" s="49" t="s">
        <v>19</v>
      </c>
      <c r="AO465" s="45"/>
      <c r="AP465" s="51"/>
    </row>
    <row r="466" spans="1:42" ht="21" customHeight="1" thickTop="1" thickBot="1" x14ac:dyDescent="0.35">
      <c r="A466" s="63"/>
      <c r="B466" s="66"/>
      <c r="C466" s="54" t="s">
        <v>20</v>
      </c>
      <c r="D466" s="48">
        <f>AVERAGE(D454:D463)</f>
        <v>300.72699999999998</v>
      </c>
      <c r="E466" s="47"/>
      <c r="F466" s="48">
        <f>_xlfn.STDEV.S(D454:D463) / AVERAGE(D454:D463) * 100%</f>
        <v>1.6191392339732014E-3</v>
      </c>
      <c r="G466" s="48">
        <f t="array" ref="G466">MIN((D454:D463 - MIN(D454:D463,L454:L463,T454:T463,AB454:AB463,AJ454:AJ463))/MIN(D454:D463,L454:L463,T454:T463,AB454:AB463,AJ454:AJ463)*100%)</f>
        <v>8.0066722268560164E-4</v>
      </c>
      <c r="H466" s="48">
        <f t="array" ref="H466">AVERAGE((D454:D463 - MIN(D454:D463,L454:L463,T454:T463,AB454:AB463,AJ454:AJ463))/MIN(D454:D463,L454:L463,T454:T463,AB454:AB463,AJ454:AJ463)*100%)</f>
        <v>3.2593828190157644E-3</v>
      </c>
      <c r="I466" s="45"/>
      <c r="J466" s="51"/>
      <c r="K466" s="54" t="s">
        <v>20</v>
      </c>
      <c r="L466" s="48">
        <f>AVERAGE(L454:L463)</f>
        <v>301.31299999999999</v>
      </c>
      <c r="M466" s="47"/>
      <c r="N466" s="48">
        <f>_xlfn.STDEV.S(L454:L463) / AVERAGE(L454:L463) * 100%</f>
        <v>9.8576606124072355E-4</v>
      </c>
      <c r="O466" s="48">
        <f t="array" ref="O466">MIN((L454:L463 - MIN(D454:D463,L454:L463,T454:T463,AB454:AB463,AJ454:AJ463))/MIN(D454:D463,L454:L463,T454:T463,AB454:AB463,AJ454:AJ463)*100%)</f>
        <v>3.7364470391993481E-3</v>
      </c>
      <c r="P466" s="48">
        <f t="array" ref="P466">AVERAGE((L454:L463 - MIN(D454:D463,L454:L463,T454:T463,AB454:AB463,AJ454:AJ463))/MIN(D454:D463,L454:L463,T454:T463,AB454:AB463,AJ454:AJ463)*100%)</f>
        <v>5.2143452877397431E-3</v>
      </c>
      <c r="Q466" s="44"/>
      <c r="R466" s="51"/>
      <c r="S466" s="54" t="s">
        <v>20</v>
      </c>
      <c r="T466" s="48">
        <f>AVERAGE(T454:T463)</f>
        <v>302.09499999999997</v>
      </c>
      <c r="U466" s="47"/>
      <c r="V466" s="48">
        <f>_xlfn.STDEV.S(T454:T463) / AVERAGE(T454:T463) * 100%</f>
        <v>2.8513270500166235E-3</v>
      </c>
      <c r="W466" s="48">
        <f t="array" ref="W466">MIN((T454:T463 - MIN(D454:D463,L454:L463,T454:T463,AB454:AB463,AJ454:AJ463))/MIN(D454:D463,L454:L463,T454:T463,AB454:AB463,AJ454:AJ463)*100%)</f>
        <v>1.7681401167636893E-3</v>
      </c>
      <c r="X466" s="48">
        <f t="array" ref="X466">AVERAGE((T454:T463 - MIN(D454:D463,L454:L463,T454:T463,AB454:AB463,AJ454:AJ463))/MIN(D454:D463,L454:L463,T454:T463,AB454:AB463,AJ454:AJ463)*100%)</f>
        <v>7.8231859883234663E-3</v>
      </c>
      <c r="Y466" s="44"/>
      <c r="Z466" s="51"/>
      <c r="AA466" s="54" t="s">
        <v>20</v>
      </c>
      <c r="AB466" s="48">
        <f>AVERAGE(AB454:AB463)</f>
        <v>300.72699999999998</v>
      </c>
      <c r="AC466" s="47"/>
      <c r="AD466" s="48">
        <f>_xlfn.STDEV.S(AB454:AB463) / AVERAGE(AB454:AB463) * 100%</f>
        <v>2.0460006825950101E-3</v>
      </c>
      <c r="AE466" s="48">
        <f t="array" ref="AE466">MIN((AB454:AB463 - MIN(D454:D463,L454:L463,T454:T463,AB454:AB463,AJ454:AJ463))/MIN(D454:D463,L454:L463,T454:T463,AB454:AB463,AJ454:AJ463)*100%)</f>
        <v>5.3377814845713097E-4</v>
      </c>
      <c r="AF466" s="48">
        <f t="array" ref="AF466">AVERAGE((AB454:AB463 - MIN(D454:D463,L454:L463,T454:T463,AB454:AB463,AJ454:AJ463))/MIN(D454:D463,L454:L463,T454:T463,AB454:AB463,AJ454:AJ463)*100%)</f>
        <v>3.2593828190157644E-3</v>
      </c>
      <c r="AG466" s="44"/>
      <c r="AH466" s="51"/>
      <c r="AI466" s="54" t="s">
        <v>20</v>
      </c>
      <c r="AJ466" s="48">
        <f>AVERAGE(AJ454:AJ463)</f>
        <v>300.45300000000003</v>
      </c>
      <c r="AK466" s="47"/>
      <c r="AL466" s="48">
        <f>_xlfn.STDEV.S(AJ454:AJ463) / AVERAGE(AJ454:AJ463) * 100%</f>
        <v>1.879048347435897E-3</v>
      </c>
      <c r="AM466" s="48">
        <f t="array" ref="AM466">MIN((AJ454:AJ463 - MIN(D454:D463,L454:L463,T454:T463,AB454:AB463,AJ454:AJ463))/MIN(D454:D463,L454:L463,T454:T463,AB454:AB463,AJ454:AJ463)*100%)</f>
        <v>0</v>
      </c>
      <c r="AN466" s="48">
        <f t="array" ref="AN466">AVERAGE((AJ454:AJ463 - MIN(D454:D463,L454:L463,T454:T463,AB454:AB463,AJ454:AJ463))/MIN(D454:D463,L454:L463,T454:T463,AB454:AB463,AJ454:AJ463)*100%)</f>
        <v>2.3452877397831242E-3</v>
      </c>
      <c r="AO466" s="44"/>
      <c r="AP466" s="51"/>
    </row>
    <row r="467" spans="1:42" ht="21" customHeight="1" thickTop="1" thickBot="1" x14ac:dyDescent="0.35">
      <c r="A467" s="63"/>
      <c r="B467" s="67"/>
      <c r="C467" s="53"/>
      <c r="D467" s="44"/>
      <c r="E467" s="44"/>
      <c r="F467" s="44"/>
      <c r="G467" s="44"/>
      <c r="H467" s="44"/>
      <c r="I467" s="44"/>
      <c r="J467" s="51"/>
      <c r="K467" s="53"/>
      <c r="L467" s="44"/>
      <c r="M467" s="44"/>
      <c r="N467" s="44"/>
      <c r="O467" s="44"/>
      <c r="P467" s="44"/>
      <c r="Q467" s="44"/>
      <c r="R467" s="51"/>
      <c r="S467" s="53"/>
      <c r="T467" s="44"/>
      <c r="U467" s="44"/>
      <c r="V467" s="44"/>
      <c r="W467" s="44"/>
      <c r="X467" s="44"/>
      <c r="Y467" s="44"/>
      <c r="Z467" s="51"/>
      <c r="AA467" s="53"/>
      <c r="AB467" s="44"/>
      <c r="AC467" s="44"/>
      <c r="AD467" s="44"/>
      <c r="AE467" s="44"/>
      <c r="AF467" s="44"/>
      <c r="AG467" s="44"/>
      <c r="AH467" s="51"/>
      <c r="AI467" s="53"/>
      <c r="AJ467" s="44"/>
      <c r="AK467" s="44"/>
      <c r="AL467" s="44"/>
      <c r="AM467" s="44"/>
      <c r="AN467" s="44"/>
      <c r="AO467" s="44"/>
      <c r="AP467" s="51"/>
    </row>
    <row r="468" spans="1:42" ht="21" customHeight="1" thickTop="1" thickBot="1" x14ac:dyDescent="0.35">
      <c r="A468" s="63"/>
      <c r="B468" s="65" t="s">
        <v>97</v>
      </c>
      <c r="C468" s="59" t="s">
        <v>8</v>
      </c>
      <c r="D468" s="46" t="s">
        <v>9</v>
      </c>
      <c r="E468" s="46" t="s">
        <v>10</v>
      </c>
      <c r="F468" s="46" t="s">
        <v>11</v>
      </c>
      <c r="G468" s="46" t="s">
        <v>12</v>
      </c>
      <c r="H468" s="46" t="s">
        <v>13</v>
      </c>
      <c r="I468" s="46" t="s">
        <v>14</v>
      </c>
      <c r="J468" s="60" t="s">
        <v>15</v>
      </c>
      <c r="K468" s="59" t="s">
        <v>8</v>
      </c>
      <c r="L468" s="46" t="s">
        <v>9</v>
      </c>
      <c r="M468" s="46" t="s">
        <v>10</v>
      </c>
      <c r="N468" s="46" t="s">
        <v>11</v>
      </c>
      <c r="O468" s="46" t="s">
        <v>12</v>
      </c>
      <c r="P468" s="46" t="s">
        <v>13</v>
      </c>
      <c r="Q468" s="46" t="s">
        <v>14</v>
      </c>
      <c r="R468" s="60" t="s">
        <v>15</v>
      </c>
      <c r="S468" s="59" t="s">
        <v>8</v>
      </c>
      <c r="T468" s="46" t="s">
        <v>9</v>
      </c>
      <c r="U468" s="46" t="s">
        <v>10</v>
      </c>
      <c r="V468" s="46" t="s">
        <v>11</v>
      </c>
      <c r="W468" s="46" t="s">
        <v>12</v>
      </c>
      <c r="X468" s="46" t="s">
        <v>13</v>
      </c>
      <c r="Y468" s="46" t="s">
        <v>14</v>
      </c>
      <c r="Z468" s="60" t="s">
        <v>15</v>
      </c>
      <c r="AA468" s="59" t="s">
        <v>8</v>
      </c>
      <c r="AB468" s="46" t="s">
        <v>9</v>
      </c>
      <c r="AC468" s="46" t="s">
        <v>10</v>
      </c>
      <c r="AD468" s="46" t="s">
        <v>11</v>
      </c>
      <c r="AE468" s="46" t="s">
        <v>12</v>
      </c>
      <c r="AF468" s="46" t="s">
        <v>13</v>
      </c>
      <c r="AG468" s="46" t="s">
        <v>14</v>
      </c>
      <c r="AH468" s="60" t="s">
        <v>15</v>
      </c>
      <c r="AI468" s="59" t="s">
        <v>8</v>
      </c>
      <c r="AJ468" s="46" t="s">
        <v>9</v>
      </c>
      <c r="AK468" s="46" t="s">
        <v>10</v>
      </c>
      <c r="AL468" s="46" t="s">
        <v>11</v>
      </c>
      <c r="AM468" s="46" t="s">
        <v>12</v>
      </c>
      <c r="AN468" s="46" t="s">
        <v>13</v>
      </c>
      <c r="AO468" s="46" t="s">
        <v>14</v>
      </c>
      <c r="AP468" s="60" t="s">
        <v>15</v>
      </c>
    </row>
    <row r="469" spans="1:42" ht="21" customHeight="1" thickTop="1" thickBot="1" x14ac:dyDescent="0.35">
      <c r="A469" s="63"/>
      <c r="B469" s="66"/>
      <c r="C469" s="52">
        <v>1</v>
      </c>
      <c r="D469" s="44">
        <v>330.36999999999989</v>
      </c>
      <c r="E469" s="44"/>
      <c r="F469" s="44"/>
      <c r="G469" s="44"/>
      <c r="H469" s="44"/>
      <c r="I469" s="44"/>
      <c r="J469" s="51"/>
      <c r="K469" s="52">
        <v>1</v>
      </c>
      <c r="L469" s="44">
        <v>331.15</v>
      </c>
      <c r="M469" s="44"/>
      <c r="N469" s="44"/>
      <c r="O469" s="44"/>
      <c r="P469" s="44"/>
      <c r="Q469" s="44"/>
      <c r="R469" s="51"/>
      <c r="S469" s="52">
        <v>1</v>
      </c>
      <c r="T469" s="44">
        <v>333.86999999999989</v>
      </c>
      <c r="U469" s="44"/>
      <c r="V469" s="44"/>
      <c r="W469" s="44"/>
      <c r="X469" s="44"/>
      <c r="Y469" s="44"/>
      <c r="Z469" s="51"/>
      <c r="AA469" s="52">
        <v>1</v>
      </c>
      <c r="AB469" s="44">
        <v>330.75999999999988</v>
      </c>
      <c r="AC469" s="44"/>
      <c r="AD469" s="44"/>
      <c r="AE469" s="44"/>
      <c r="AF469" s="44"/>
      <c r="AG469" s="44"/>
      <c r="AH469" s="51"/>
      <c r="AI469" s="52">
        <v>1</v>
      </c>
      <c r="AJ469" s="44">
        <v>332.76999999999992</v>
      </c>
      <c r="AK469" s="44"/>
      <c r="AL469" s="44"/>
      <c r="AM469" s="44"/>
      <c r="AN469" s="44"/>
      <c r="AO469" s="44"/>
      <c r="AP469" s="51"/>
    </row>
    <row r="470" spans="1:42" ht="21" customHeight="1" thickTop="1" thickBot="1" x14ac:dyDescent="0.35">
      <c r="A470" s="63"/>
      <c r="B470" s="66"/>
      <c r="C470" s="53">
        <v>2</v>
      </c>
      <c r="D470" s="45">
        <v>330.91</v>
      </c>
      <c r="E470" s="45"/>
      <c r="F470" s="45"/>
      <c r="G470" s="45"/>
      <c r="H470" s="45"/>
      <c r="I470" s="45"/>
      <c r="J470" s="51"/>
      <c r="K470" s="53">
        <v>2</v>
      </c>
      <c r="L470" s="45">
        <v>331.12999999999988</v>
      </c>
      <c r="M470" s="45"/>
      <c r="N470" s="45"/>
      <c r="O470" s="45"/>
      <c r="P470" s="45"/>
      <c r="Q470" s="45"/>
      <c r="R470" s="51"/>
      <c r="S470" s="53">
        <v>2</v>
      </c>
      <c r="T470" s="45">
        <v>332.24999999999989</v>
      </c>
      <c r="U470" s="45"/>
      <c r="V470" s="45"/>
      <c r="W470" s="45"/>
      <c r="X470" s="45"/>
      <c r="Y470" s="45"/>
      <c r="Z470" s="51"/>
      <c r="AA470" s="53">
        <v>2</v>
      </c>
      <c r="AB470" s="45">
        <v>331.95999999999992</v>
      </c>
      <c r="AC470" s="45"/>
      <c r="AD470" s="45"/>
      <c r="AE470" s="45"/>
      <c r="AF470" s="45"/>
      <c r="AG470" s="45"/>
      <c r="AH470" s="51"/>
      <c r="AI470" s="53">
        <v>2</v>
      </c>
      <c r="AJ470" s="45">
        <v>332.89</v>
      </c>
      <c r="AK470" s="45"/>
      <c r="AL470" s="45"/>
      <c r="AM470" s="45"/>
      <c r="AN470" s="45"/>
      <c r="AO470" s="45"/>
      <c r="AP470" s="51"/>
    </row>
    <row r="471" spans="1:42" ht="21" customHeight="1" thickTop="1" thickBot="1" x14ac:dyDescent="0.35">
      <c r="A471" s="63"/>
      <c r="B471" s="66"/>
      <c r="C471" s="53">
        <v>3</v>
      </c>
      <c r="D471" s="45">
        <v>331.42999999999989</v>
      </c>
      <c r="E471" s="45"/>
      <c r="F471" s="45"/>
      <c r="G471" s="44"/>
      <c r="H471" s="44"/>
      <c r="I471" s="44"/>
      <c r="J471" s="51"/>
      <c r="K471" s="53">
        <v>3</v>
      </c>
      <c r="L471" s="45">
        <v>331.38999999999987</v>
      </c>
      <c r="M471" s="45"/>
      <c r="N471" s="45"/>
      <c r="O471" s="44"/>
      <c r="P471" s="44"/>
      <c r="Q471" s="44"/>
      <c r="R471" s="51"/>
      <c r="S471" s="53">
        <v>3</v>
      </c>
      <c r="T471" s="45">
        <v>332.99999999999989</v>
      </c>
      <c r="U471" s="45"/>
      <c r="V471" s="45"/>
      <c r="W471" s="44"/>
      <c r="X471" s="44"/>
      <c r="Y471" s="44"/>
      <c r="Z471" s="51"/>
      <c r="AA471" s="53">
        <v>3</v>
      </c>
      <c r="AB471" s="45">
        <v>331.01999999999992</v>
      </c>
      <c r="AC471" s="45"/>
      <c r="AD471" s="45"/>
      <c r="AE471" s="44"/>
      <c r="AF471" s="44"/>
      <c r="AG471" s="44"/>
      <c r="AH471" s="51"/>
      <c r="AI471" s="53">
        <v>3</v>
      </c>
      <c r="AJ471" s="45">
        <v>332.75999999999988</v>
      </c>
      <c r="AK471" s="45"/>
      <c r="AL471" s="45"/>
      <c r="AM471" s="44"/>
      <c r="AN471" s="44"/>
      <c r="AO471" s="44"/>
      <c r="AP471" s="51"/>
    </row>
    <row r="472" spans="1:42" ht="21" customHeight="1" thickTop="1" thickBot="1" x14ac:dyDescent="0.35">
      <c r="A472" s="63"/>
      <c r="B472" s="66"/>
      <c r="C472" s="53">
        <v>4</v>
      </c>
      <c r="D472" s="45">
        <v>331.82999999999993</v>
      </c>
      <c r="E472" s="45"/>
      <c r="F472" s="45"/>
      <c r="G472" s="45"/>
      <c r="H472" s="45"/>
      <c r="I472" s="45"/>
      <c r="J472" s="51"/>
      <c r="K472" s="53">
        <v>4</v>
      </c>
      <c r="L472" s="45">
        <v>331.42999999999989</v>
      </c>
      <c r="M472" s="45"/>
      <c r="N472" s="45"/>
      <c r="O472" s="45"/>
      <c r="P472" s="45"/>
      <c r="Q472" s="45"/>
      <c r="R472" s="51"/>
      <c r="S472" s="53">
        <v>4</v>
      </c>
      <c r="T472" s="45">
        <v>332.74999999999989</v>
      </c>
      <c r="U472" s="45"/>
      <c r="V472" s="45"/>
      <c r="W472" s="45"/>
      <c r="X472" s="45"/>
      <c r="Y472" s="45"/>
      <c r="Z472" s="51"/>
      <c r="AA472" s="53">
        <v>4</v>
      </c>
      <c r="AB472" s="45">
        <v>332.01999999999992</v>
      </c>
      <c r="AC472" s="45"/>
      <c r="AD472" s="45"/>
      <c r="AE472" s="45"/>
      <c r="AF472" s="45"/>
      <c r="AG472" s="45"/>
      <c r="AH472" s="51"/>
      <c r="AI472" s="53">
        <v>4</v>
      </c>
      <c r="AJ472" s="45">
        <v>332.88999999999987</v>
      </c>
      <c r="AK472" s="45"/>
      <c r="AL472" s="45"/>
      <c r="AM472" s="45"/>
      <c r="AN472" s="45"/>
      <c r="AO472" s="45"/>
      <c r="AP472" s="51"/>
    </row>
    <row r="473" spans="1:42" ht="21" customHeight="1" thickTop="1" thickBot="1" x14ac:dyDescent="0.35">
      <c r="A473" s="63"/>
      <c r="B473" s="66"/>
      <c r="C473" s="53">
        <v>5</v>
      </c>
      <c r="D473" s="45">
        <v>330.12999999999988</v>
      </c>
      <c r="E473" s="45"/>
      <c r="F473" s="45"/>
      <c r="G473" s="45"/>
      <c r="H473" s="45"/>
      <c r="I473" s="45"/>
      <c r="J473" s="51"/>
      <c r="K473" s="53">
        <v>5</v>
      </c>
      <c r="L473" s="45">
        <v>331.83999999999992</v>
      </c>
      <c r="M473" s="45"/>
      <c r="N473" s="45"/>
      <c r="O473" s="45"/>
      <c r="P473" s="45"/>
      <c r="Q473" s="45"/>
      <c r="R473" s="51"/>
      <c r="S473" s="53">
        <v>5</v>
      </c>
      <c r="T473" s="45">
        <v>332.77999999999992</v>
      </c>
      <c r="U473" s="45"/>
      <c r="V473" s="45"/>
      <c r="W473" s="45"/>
      <c r="X473" s="45"/>
      <c r="Y473" s="45"/>
      <c r="Z473" s="51"/>
      <c r="AA473" s="53">
        <v>5</v>
      </c>
      <c r="AB473" s="45">
        <v>331.28</v>
      </c>
      <c r="AC473" s="45"/>
      <c r="AD473" s="45"/>
      <c r="AE473" s="45"/>
      <c r="AF473" s="45"/>
      <c r="AG473" s="45"/>
      <c r="AH473" s="51"/>
      <c r="AI473" s="53">
        <v>5</v>
      </c>
      <c r="AJ473" s="45">
        <v>333.41</v>
      </c>
      <c r="AK473" s="45"/>
      <c r="AL473" s="45"/>
      <c r="AM473" s="45"/>
      <c r="AN473" s="45"/>
      <c r="AO473" s="45"/>
      <c r="AP473" s="51"/>
    </row>
    <row r="474" spans="1:42" ht="21" customHeight="1" thickTop="1" thickBot="1" x14ac:dyDescent="0.35">
      <c r="A474" s="63"/>
      <c r="B474" s="66"/>
      <c r="C474" s="53">
        <v>6</v>
      </c>
      <c r="D474" s="45">
        <v>331.6699999999999</v>
      </c>
      <c r="E474" s="45"/>
      <c r="F474" s="45"/>
      <c r="G474" s="45"/>
      <c r="H474" s="45"/>
      <c r="I474" s="45"/>
      <c r="J474" s="51"/>
      <c r="K474" s="53">
        <v>6</v>
      </c>
      <c r="L474" s="45">
        <v>331.63999999999987</v>
      </c>
      <c r="M474" s="45"/>
      <c r="N474" s="45"/>
      <c r="O474" s="45"/>
      <c r="P474" s="45"/>
      <c r="Q474" s="45"/>
      <c r="R474" s="51"/>
      <c r="S474" s="53">
        <v>6</v>
      </c>
      <c r="T474" s="45">
        <v>333.43999999999988</v>
      </c>
      <c r="U474" s="45"/>
      <c r="V474" s="45"/>
      <c r="W474" s="45"/>
      <c r="X474" s="45"/>
      <c r="Y474" s="45"/>
      <c r="Z474" s="51"/>
      <c r="AA474" s="53">
        <v>6</v>
      </c>
      <c r="AB474" s="45">
        <v>332.31999999999988</v>
      </c>
      <c r="AC474" s="45"/>
      <c r="AD474" s="45"/>
      <c r="AE474" s="45"/>
      <c r="AF474" s="45"/>
      <c r="AG474" s="45"/>
      <c r="AH474" s="51"/>
      <c r="AI474" s="53">
        <v>6</v>
      </c>
      <c r="AJ474" s="45">
        <v>332.39</v>
      </c>
      <c r="AK474" s="45"/>
      <c r="AL474" s="45"/>
      <c r="AM474" s="45"/>
      <c r="AN474" s="45"/>
      <c r="AO474" s="45"/>
      <c r="AP474" s="51"/>
    </row>
    <row r="475" spans="1:42" ht="21" customHeight="1" thickTop="1" thickBot="1" x14ac:dyDescent="0.35">
      <c r="A475" s="63"/>
      <c r="B475" s="66"/>
      <c r="C475" s="53">
        <v>7</v>
      </c>
      <c r="D475" s="45">
        <v>331.05999999999989</v>
      </c>
      <c r="E475" s="45"/>
      <c r="F475" s="45"/>
      <c r="G475" s="45"/>
      <c r="H475" s="45"/>
      <c r="I475" s="45"/>
      <c r="J475" s="51"/>
      <c r="K475" s="53">
        <v>7</v>
      </c>
      <c r="L475" s="45">
        <v>330.95999999999992</v>
      </c>
      <c r="M475" s="45"/>
      <c r="N475" s="45"/>
      <c r="O475" s="45"/>
      <c r="P475" s="45"/>
      <c r="Q475" s="45"/>
      <c r="R475" s="51"/>
      <c r="S475" s="53">
        <v>7</v>
      </c>
      <c r="T475" s="45">
        <v>333.42999999999989</v>
      </c>
      <c r="U475" s="45"/>
      <c r="V475" s="45"/>
      <c r="W475" s="45"/>
      <c r="X475" s="45"/>
      <c r="Y475" s="45"/>
      <c r="Z475" s="51"/>
      <c r="AA475" s="53">
        <v>7</v>
      </c>
      <c r="AB475" s="45">
        <v>330.89999999999992</v>
      </c>
      <c r="AC475" s="45"/>
      <c r="AD475" s="45"/>
      <c r="AE475" s="45"/>
      <c r="AF475" s="45"/>
      <c r="AG475" s="45"/>
      <c r="AH475" s="51"/>
      <c r="AI475" s="53">
        <v>7</v>
      </c>
      <c r="AJ475" s="45">
        <v>333.44999999999987</v>
      </c>
      <c r="AK475" s="45"/>
      <c r="AL475" s="45"/>
      <c r="AM475" s="45"/>
      <c r="AN475" s="45"/>
      <c r="AO475" s="45"/>
      <c r="AP475" s="51"/>
    </row>
    <row r="476" spans="1:42" ht="21" customHeight="1" thickTop="1" thickBot="1" x14ac:dyDescent="0.35">
      <c r="A476" s="63"/>
      <c r="B476" s="66"/>
      <c r="C476" s="53">
        <v>8</v>
      </c>
      <c r="D476" s="45">
        <v>329.99</v>
      </c>
      <c r="E476" s="45"/>
      <c r="F476" s="45"/>
      <c r="G476" s="45"/>
      <c r="H476" s="45"/>
      <c r="I476" s="45"/>
      <c r="J476" s="51"/>
      <c r="K476" s="53">
        <v>8</v>
      </c>
      <c r="L476" s="45">
        <v>331.92999999999989</v>
      </c>
      <c r="M476" s="45"/>
      <c r="N476" s="45"/>
      <c r="O476" s="45"/>
      <c r="P476" s="45"/>
      <c r="Q476" s="45"/>
      <c r="R476" s="51"/>
      <c r="S476" s="53">
        <v>8</v>
      </c>
      <c r="T476" s="45">
        <v>333.06999999999988</v>
      </c>
      <c r="U476" s="45"/>
      <c r="V476" s="45"/>
      <c r="W476" s="45"/>
      <c r="X476" s="45"/>
      <c r="Y476" s="45"/>
      <c r="Z476" s="51"/>
      <c r="AA476" s="53">
        <v>8</v>
      </c>
      <c r="AB476" s="45">
        <v>331.61</v>
      </c>
      <c r="AC476" s="45"/>
      <c r="AD476" s="45"/>
      <c r="AE476" s="45"/>
      <c r="AF476" s="45"/>
      <c r="AG476" s="45"/>
      <c r="AH476" s="51"/>
      <c r="AI476" s="53">
        <v>8</v>
      </c>
      <c r="AJ476" s="45">
        <v>332.75999999999988</v>
      </c>
      <c r="AK476" s="45"/>
      <c r="AL476" s="45"/>
      <c r="AM476" s="45"/>
      <c r="AN476" s="45"/>
      <c r="AO476" s="45"/>
      <c r="AP476" s="51"/>
    </row>
    <row r="477" spans="1:42" ht="21" customHeight="1" thickTop="1" thickBot="1" x14ac:dyDescent="0.35">
      <c r="A477" s="63"/>
      <c r="B477" s="66"/>
      <c r="C477" s="53">
        <v>9</v>
      </c>
      <c r="D477" s="45">
        <v>331.14999999999992</v>
      </c>
      <c r="E477" s="45"/>
      <c r="F477" s="45"/>
      <c r="G477" s="45"/>
      <c r="H477" s="45"/>
      <c r="I477" s="45"/>
      <c r="J477" s="51"/>
      <c r="K477" s="53">
        <v>9</v>
      </c>
      <c r="L477" s="45">
        <v>331.13999999999987</v>
      </c>
      <c r="M477" s="45"/>
      <c r="N477" s="45"/>
      <c r="O477" s="45"/>
      <c r="P477" s="45"/>
      <c r="Q477" s="45"/>
      <c r="R477" s="51"/>
      <c r="S477" s="53">
        <v>9</v>
      </c>
      <c r="T477" s="45">
        <v>332.46999999999991</v>
      </c>
      <c r="U477" s="45"/>
      <c r="V477" s="45"/>
      <c r="W477" s="45"/>
      <c r="X477" s="45"/>
      <c r="Y477" s="45"/>
      <c r="Z477" s="51"/>
      <c r="AA477" s="53">
        <v>9</v>
      </c>
      <c r="AB477" s="45">
        <v>330.7399999999999</v>
      </c>
      <c r="AC477" s="45"/>
      <c r="AD477" s="45"/>
      <c r="AE477" s="45"/>
      <c r="AF477" s="45"/>
      <c r="AG477" s="45"/>
      <c r="AH477" s="51"/>
      <c r="AI477" s="53">
        <v>9</v>
      </c>
      <c r="AJ477" s="45">
        <v>332.85</v>
      </c>
      <c r="AK477" s="45"/>
      <c r="AL477" s="45"/>
      <c r="AM477" s="45"/>
      <c r="AN477" s="45"/>
      <c r="AO477" s="45"/>
      <c r="AP477" s="51"/>
    </row>
    <row r="478" spans="1:42" ht="21" customHeight="1" thickTop="1" thickBot="1" x14ac:dyDescent="0.35">
      <c r="A478" s="63"/>
      <c r="B478" s="66"/>
      <c r="C478" s="53">
        <v>10</v>
      </c>
      <c r="D478" s="45">
        <v>330.1699999999999</v>
      </c>
      <c r="E478" s="45"/>
      <c r="F478" s="45"/>
      <c r="G478" s="45"/>
      <c r="H478" s="45"/>
      <c r="I478" s="45"/>
      <c r="J478" s="51"/>
      <c r="K478" s="53">
        <v>10</v>
      </c>
      <c r="L478" s="45">
        <v>331.38999999999987</v>
      </c>
      <c r="M478" s="45"/>
      <c r="N478" s="45"/>
      <c r="O478" s="45"/>
      <c r="P478" s="45"/>
      <c r="Q478" s="45"/>
      <c r="R478" s="51"/>
      <c r="S478" s="53">
        <v>10</v>
      </c>
      <c r="T478" s="45">
        <v>331.20999999999992</v>
      </c>
      <c r="U478" s="45"/>
      <c r="V478" s="45"/>
      <c r="W478" s="45"/>
      <c r="X478" s="45"/>
      <c r="Y478" s="45"/>
      <c r="Z478" s="51"/>
      <c r="AA478" s="53">
        <v>10</v>
      </c>
      <c r="AB478" s="45">
        <v>331.92</v>
      </c>
      <c r="AC478" s="45"/>
      <c r="AD478" s="45"/>
      <c r="AE478" s="45"/>
      <c r="AF478" s="45"/>
      <c r="AG478" s="45"/>
      <c r="AH478" s="51"/>
      <c r="AI478" s="53">
        <v>10</v>
      </c>
      <c r="AJ478" s="45">
        <v>333.36999999999989</v>
      </c>
      <c r="AK478" s="45"/>
      <c r="AL478" s="45"/>
      <c r="AM478" s="45"/>
      <c r="AN478" s="45"/>
      <c r="AO478" s="45"/>
      <c r="AP478" s="51"/>
    </row>
    <row r="479" spans="1:42" ht="21" customHeight="1" thickTop="1" thickBot="1" x14ac:dyDescent="0.35">
      <c r="A479" s="63"/>
      <c r="B479" s="66"/>
      <c r="C479" s="53"/>
      <c r="D479" s="45"/>
      <c r="E479" s="45"/>
      <c r="F479" s="45"/>
      <c r="G479" s="45"/>
      <c r="H479" s="45"/>
      <c r="I479" s="45"/>
      <c r="J479" s="51"/>
      <c r="K479" s="53"/>
      <c r="L479" s="45"/>
      <c r="M479" s="45"/>
      <c r="N479" s="45"/>
      <c r="O479" s="45"/>
      <c r="P479" s="45"/>
      <c r="Q479" s="45"/>
      <c r="R479" s="51"/>
      <c r="S479" s="53"/>
      <c r="T479" s="45"/>
      <c r="U479" s="45"/>
      <c r="V479" s="45"/>
      <c r="W479" s="45"/>
      <c r="X479" s="45"/>
      <c r="Y479" s="45"/>
      <c r="Z479" s="51"/>
      <c r="AA479" s="53"/>
      <c r="AB479" s="45"/>
      <c r="AC479" s="45"/>
      <c r="AD479" s="45"/>
      <c r="AE479" s="45"/>
      <c r="AF479" s="45"/>
      <c r="AG479" s="45"/>
      <c r="AH479" s="51"/>
      <c r="AI479" s="53"/>
      <c r="AJ479" s="45"/>
      <c r="AK479" s="45"/>
      <c r="AL479" s="45"/>
      <c r="AM479" s="45"/>
      <c r="AN479" s="45"/>
      <c r="AO479" s="45"/>
      <c r="AP479" s="51"/>
    </row>
    <row r="480" spans="1:42" ht="21" customHeight="1" thickTop="1" thickBot="1" x14ac:dyDescent="0.35">
      <c r="A480" s="63"/>
      <c r="B480" s="66"/>
      <c r="C480" s="54" t="s">
        <v>16</v>
      </c>
      <c r="D480" s="49">
        <f>MIN(D469:D478)</f>
        <v>329.99</v>
      </c>
      <c r="E480" s="45"/>
      <c r="F480" s="55" t="s">
        <v>17</v>
      </c>
      <c r="G480" s="49" t="s">
        <v>18</v>
      </c>
      <c r="H480" s="49" t="s">
        <v>19</v>
      </c>
      <c r="I480" s="45"/>
      <c r="J480" s="51"/>
      <c r="K480" s="54" t="s">
        <v>16</v>
      </c>
      <c r="L480" s="49">
        <f>MIN(L469:L478)</f>
        <v>330.95999999999992</v>
      </c>
      <c r="M480" s="45"/>
      <c r="N480" s="55" t="s">
        <v>17</v>
      </c>
      <c r="O480" s="49" t="s">
        <v>18</v>
      </c>
      <c r="P480" s="49" t="s">
        <v>19</v>
      </c>
      <c r="Q480" s="45"/>
      <c r="R480" s="51"/>
      <c r="S480" s="54" t="s">
        <v>16</v>
      </c>
      <c r="T480" s="49">
        <f>MIN(T469:T478)</f>
        <v>331.20999999999992</v>
      </c>
      <c r="U480" s="45"/>
      <c r="V480" s="55" t="s">
        <v>17</v>
      </c>
      <c r="W480" s="49" t="s">
        <v>18</v>
      </c>
      <c r="X480" s="49" t="s">
        <v>19</v>
      </c>
      <c r="Y480" s="45"/>
      <c r="Z480" s="51"/>
      <c r="AA480" s="54" t="s">
        <v>16</v>
      </c>
      <c r="AB480" s="49">
        <f>MIN(AB469:AB478)</f>
        <v>330.7399999999999</v>
      </c>
      <c r="AC480" s="45"/>
      <c r="AD480" s="55" t="s">
        <v>17</v>
      </c>
      <c r="AE480" s="49" t="s">
        <v>18</v>
      </c>
      <c r="AF480" s="49" t="s">
        <v>19</v>
      </c>
      <c r="AG480" s="45"/>
      <c r="AH480" s="51"/>
      <c r="AI480" s="54" t="s">
        <v>16</v>
      </c>
      <c r="AJ480" s="49">
        <f>MIN(AJ469:AJ478)</f>
        <v>332.39</v>
      </c>
      <c r="AK480" s="45"/>
      <c r="AL480" s="55" t="s">
        <v>17</v>
      </c>
      <c r="AM480" s="49" t="s">
        <v>18</v>
      </c>
      <c r="AN480" s="49" t="s">
        <v>19</v>
      </c>
      <c r="AO480" s="45"/>
      <c r="AP480" s="51"/>
    </row>
    <row r="481" spans="1:42" ht="21" customHeight="1" thickTop="1" thickBot="1" x14ac:dyDescent="0.35">
      <c r="A481" s="63"/>
      <c r="B481" s="66"/>
      <c r="C481" s="54" t="s">
        <v>20</v>
      </c>
      <c r="D481" s="48">
        <f>AVERAGE(D469:D478)</f>
        <v>330.87099999999998</v>
      </c>
      <c r="E481" s="47"/>
      <c r="F481" s="48">
        <f>_xlfn.STDEV.S(D469:D478) / AVERAGE(D469:D478) * 100%</f>
        <v>2.028261186267638E-3</v>
      </c>
      <c r="G481" s="48">
        <f t="array" ref="G481">MIN((D469:D478 - MIN(D469:D478,L469:L478,T469:T478,AB469:AB478,AJ469:AJ478))/MIN(D469:D478,L469:L478,T469:T478,AB469:AB478,AJ469:AJ478)*100%)</f>
        <v>0</v>
      </c>
      <c r="H481" s="48">
        <f t="array" ref="H481">AVERAGE((D469:D478 - MIN(D469:D478,L469:L478,T469:T478,AB469:AB478,AJ469:AJ478))/MIN(D469:D478,L469:L478,T469:T478,AB469:AB478,AJ469:AJ478)*100%)</f>
        <v>2.6697778720564712E-3</v>
      </c>
      <c r="I481" s="45"/>
      <c r="J481" s="51"/>
      <c r="K481" s="54" t="s">
        <v>20</v>
      </c>
      <c r="L481" s="48">
        <f>AVERAGE(L469:L478)</f>
        <v>331.39999999999992</v>
      </c>
      <c r="M481" s="47"/>
      <c r="N481" s="48">
        <f>_xlfn.STDEV.S(L469:L478) / AVERAGE(L469:L478) * 100%</f>
        <v>9.6988671832045281E-4</v>
      </c>
      <c r="O481" s="48">
        <f t="array" ref="O481">MIN((L469:L478 - MIN(D469:D478,L469:L478,T469:T478,AB469:AB478,AJ469:AJ478))/MIN(D469:D478,L469:L478,T469:T478,AB469:AB478,AJ469:AJ478)*100%)</f>
        <v>2.9394830146365451E-3</v>
      </c>
      <c r="P481" s="48">
        <f t="array" ref="P481">AVERAGE((L469:L478 - MIN(D469:D478,L469:L478,T469:T478,AB469:AB478,AJ469:AJ478))/MIN(D469:D478,L469:L478,T469:T478,AB469:AB478,AJ469:AJ478)*100%)</f>
        <v>4.2728567532346077E-3</v>
      </c>
      <c r="Q481" s="44"/>
      <c r="R481" s="51"/>
      <c r="S481" s="54" t="s">
        <v>20</v>
      </c>
      <c r="T481" s="48">
        <f>AVERAGE(T469:T478)</f>
        <v>332.82699999999988</v>
      </c>
      <c r="U481" s="47"/>
      <c r="V481" s="48">
        <f>_xlfn.STDEV.S(T469:T478) / AVERAGE(T469:T478) * 100%</f>
        <v>2.2393375994104879E-3</v>
      </c>
      <c r="W481" s="48">
        <f t="array" ref="W481">MIN((T469:T478 - MIN(D469:D478,L469:L478,T469:T478,AB469:AB478,AJ469:AJ478))/MIN(D469:D478,L469:L478,T469:T478,AB469:AB478,AJ469:AJ478)*100%)</f>
        <v>3.6970817297491245E-3</v>
      </c>
      <c r="X481" s="48">
        <f t="array" ref="X481">AVERAGE((T469:T478 - MIN(D469:D478,L469:L478,T469:T478,AB469:AB478,AJ469:AJ478))/MIN(D469:D478,L469:L478,T469:T478,AB469:AB478,AJ469:AJ478)*100%)</f>
        <v>8.5972302190972065E-3</v>
      </c>
      <c r="Y481" s="44"/>
      <c r="Z481" s="51"/>
      <c r="AA481" s="54" t="s">
        <v>20</v>
      </c>
      <c r="AB481" s="48">
        <f>AVERAGE(AB469:AB478)</f>
        <v>331.45299999999997</v>
      </c>
      <c r="AC481" s="47"/>
      <c r="AD481" s="48">
        <f>_xlfn.STDEV.S(AB469:AB478) / AVERAGE(AB469:AB478) * 100%</f>
        <v>1.7663265669669941E-3</v>
      </c>
      <c r="AE481" s="48">
        <f t="array" ref="AE481">MIN((AB469:AB478 - MIN(D469:D478,L469:L478,T469:T478,AB469:AB478,AJ469:AJ478))/MIN(D469:D478,L469:L478,T469:T478,AB469:AB478,AJ469:AJ478)*100%)</f>
        <v>2.2727961453373928E-3</v>
      </c>
      <c r="AF481" s="48">
        <f t="array" ref="AF481">AVERAGE((AB469:AB478 - MIN(D469:D478,L469:L478,T469:T478,AB469:AB478,AJ469:AJ478))/MIN(D469:D478,L469:L478,T469:T478,AB469:AB478,AJ469:AJ478)*100%)</f>
        <v>4.4334676808385877E-3</v>
      </c>
      <c r="AG481" s="44"/>
      <c r="AH481" s="51"/>
      <c r="AI481" s="54" t="s">
        <v>20</v>
      </c>
      <c r="AJ481" s="48">
        <f>AVERAGE(AJ469:AJ478)</f>
        <v>332.95399999999989</v>
      </c>
      <c r="AK481" s="47"/>
      <c r="AL481" s="48">
        <f>_xlfn.STDEV.S(AJ469:AJ478) / AVERAGE(AJ469:AJ478) * 100%</f>
        <v>1.0371532530223453E-3</v>
      </c>
      <c r="AM481" s="48">
        <f t="array" ref="AM481">MIN((AJ469:AJ478 - MIN(D469:D478,L469:L478,T469:T478,AB469:AB478,AJ469:AJ478))/MIN(D469:D478,L469:L478,T469:T478,AB469:AB478,AJ469:AJ478)*100%)</f>
        <v>7.2729476650806911E-3</v>
      </c>
      <c r="AN481" s="48">
        <f t="array" ref="AN481">AVERAGE((AJ469:AJ478 - MIN(D469:D478,L469:L478,T469:T478,AB469:AB478,AJ469:AJ478))/MIN(D469:D478,L469:L478,T469:T478,AB469:AB478,AJ469:AJ478)*100%)</f>
        <v>8.9820903663745105E-3</v>
      </c>
      <c r="AO481" s="44"/>
      <c r="AP481" s="51"/>
    </row>
    <row r="482" spans="1:42" ht="21" customHeight="1" thickTop="1" thickBot="1" x14ac:dyDescent="0.35">
      <c r="A482" s="64"/>
      <c r="B482" s="67"/>
      <c r="C482" s="53"/>
      <c r="D482" s="44"/>
      <c r="E482" s="44"/>
      <c r="F482" s="44"/>
      <c r="G482" s="44"/>
      <c r="H482" s="44"/>
      <c r="I482" s="44"/>
      <c r="J482" s="51"/>
      <c r="K482" s="53"/>
      <c r="L482" s="44"/>
      <c r="M482" s="44"/>
      <c r="N482" s="44"/>
      <c r="O482" s="44"/>
      <c r="P482" s="44"/>
      <c r="Q482" s="44"/>
      <c r="R482" s="51"/>
      <c r="S482" s="53"/>
      <c r="T482" s="44"/>
      <c r="U482" s="44"/>
      <c r="V482" s="44"/>
      <c r="W482" s="44"/>
      <c r="X482" s="44"/>
      <c r="Y482" s="44"/>
      <c r="Z482" s="51"/>
      <c r="AA482" s="53"/>
      <c r="AB482" s="44"/>
      <c r="AC482" s="44"/>
      <c r="AD482" s="44"/>
      <c r="AE482" s="44"/>
      <c r="AF482" s="44"/>
      <c r="AG482" s="44"/>
      <c r="AH482" s="51"/>
      <c r="AI482" s="53"/>
      <c r="AJ482" s="44"/>
      <c r="AK482" s="44"/>
      <c r="AL482" s="44"/>
      <c r="AM482" s="44"/>
      <c r="AN482" s="44"/>
      <c r="AO482" s="44"/>
      <c r="AP482" s="51"/>
    </row>
    <row r="483" spans="1:42" ht="21" customHeight="1" thickTop="1" thickBot="1" x14ac:dyDescent="0.35">
      <c r="A483" s="62">
        <v>5</v>
      </c>
      <c r="B483" s="65" t="s">
        <v>98</v>
      </c>
      <c r="C483" s="59" t="s">
        <v>8</v>
      </c>
      <c r="D483" s="46" t="s">
        <v>9</v>
      </c>
      <c r="E483" s="46" t="s">
        <v>10</v>
      </c>
      <c r="F483" s="46" t="s">
        <v>11</v>
      </c>
      <c r="G483" s="46" t="s">
        <v>12</v>
      </c>
      <c r="H483" s="46" t="s">
        <v>13</v>
      </c>
      <c r="I483" s="46" t="s">
        <v>14</v>
      </c>
      <c r="J483" s="60" t="s">
        <v>15</v>
      </c>
      <c r="K483" s="59" t="s">
        <v>8</v>
      </c>
      <c r="L483" s="46" t="s">
        <v>9</v>
      </c>
      <c r="M483" s="46" t="s">
        <v>10</v>
      </c>
      <c r="N483" s="46" t="s">
        <v>11</v>
      </c>
      <c r="O483" s="46" t="s">
        <v>12</v>
      </c>
      <c r="P483" s="46" t="s">
        <v>13</v>
      </c>
      <c r="Q483" s="46" t="s">
        <v>14</v>
      </c>
      <c r="R483" s="60" t="s">
        <v>15</v>
      </c>
      <c r="S483" s="59" t="s">
        <v>8</v>
      </c>
      <c r="T483" s="46" t="s">
        <v>9</v>
      </c>
      <c r="U483" s="46" t="s">
        <v>10</v>
      </c>
      <c r="V483" s="46" t="s">
        <v>11</v>
      </c>
      <c r="W483" s="46" t="s">
        <v>12</v>
      </c>
      <c r="X483" s="46" t="s">
        <v>13</v>
      </c>
      <c r="Y483" s="46" t="s">
        <v>14</v>
      </c>
      <c r="Z483" s="60" t="s">
        <v>15</v>
      </c>
      <c r="AA483" s="59" t="s">
        <v>8</v>
      </c>
      <c r="AB483" s="46" t="s">
        <v>9</v>
      </c>
      <c r="AC483" s="46" t="s">
        <v>10</v>
      </c>
      <c r="AD483" s="46" t="s">
        <v>11</v>
      </c>
      <c r="AE483" s="46" t="s">
        <v>12</v>
      </c>
      <c r="AF483" s="46" t="s">
        <v>13</v>
      </c>
      <c r="AG483" s="46" t="s">
        <v>14</v>
      </c>
      <c r="AH483" s="60" t="s">
        <v>15</v>
      </c>
      <c r="AI483" s="59" t="s">
        <v>8</v>
      </c>
      <c r="AJ483" s="46" t="s">
        <v>9</v>
      </c>
      <c r="AK483" s="46" t="s">
        <v>10</v>
      </c>
      <c r="AL483" s="46" t="s">
        <v>11</v>
      </c>
      <c r="AM483" s="46" t="s">
        <v>12</v>
      </c>
      <c r="AN483" s="46" t="s">
        <v>13</v>
      </c>
      <c r="AO483" s="46" t="s">
        <v>14</v>
      </c>
      <c r="AP483" s="60" t="s">
        <v>15</v>
      </c>
    </row>
    <row r="484" spans="1:42" ht="21" customHeight="1" thickTop="1" thickBot="1" x14ac:dyDescent="0.35">
      <c r="A484" s="63"/>
      <c r="B484" s="66"/>
      <c r="C484" s="52">
        <v>1</v>
      </c>
      <c r="D484" s="44">
        <v>220.04</v>
      </c>
      <c r="E484" s="44"/>
      <c r="F484" s="44"/>
      <c r="G484" s="44"/>
      <c r="H484" s="44"/>
      <c r="I484" s="44"/>
      <c r="J484" s="51"/>
      <c r="K484" s="52">
        <v>1</v>
      </c>
      <c r="L484" s="44">
        <v>221.17</v>
      </c>
      <c r="M484" s="44"/>
      <c r="N484" s="44"/>
      <c r="O484" s="44"/>
      <c r="P484" s="44"/>
      <c r="Q484" s="44"/>
      <c r="R484" s="51"/>
      <c r="S484" s="52">
        <v>1</v>
      </c>
      <c r="T484" s="44">
        <v>223.93</v>
      </c>
      <c r="U484" s="44"/>
      <c r="V484" s="44"/>
      <c r="W484" s="44"/>
      <c r="X484" s="44"/>
      <c r="Y484" s="44"/>
      <c r="Z484" s="51"/>
      <c r="AA484" s="52">
        <v>1</v>
      </c>
      <c r="AB484" s="44">
        <v>220.57</v>
      </c>
      <c r="AC484" s="44"/>
      <c r="AD484" s="44"/>
      <c r="AE484" s="44"/>
      <c r="AF484" s="44"/>
      <c r="AG484" s="44"/>
      <c r="AH484" s="51"/>
      <c r="AI484" s="52">
        <v>1</v>
      </c>
      <c r="AJ484" s="44">
        <v>222.36</v>
      </c>
      <c r="AK484" s="44"/>
      <c r="AL484" s="44"/>
      <c r="AM484" s="44"/>
      <c r="AN484" s="44"/>
      <c r="AO484" s="44"/>
      <c r="AP484" s="51"/>
    </row>
    <row r="485" spans="1:42" ht="21" customHeight="1" thickTop="1" thickBot="1" x14ac:dyDescent="0.35">
      <c r="A485" s="63"/>
      <c r="B485" s="66"/>
      <c r="C485" s="53">
        <v>2</v>
      </c>
      <c r="D485" s="45">
        <v>220.54</v>
      </c>
      <c r="E485" s="45"/>
      <c r="F485" s="45"/>
      <c r="G485" s="45"/>
      <c r="H485" s="45"/>
      <c r="I485" s="45"/>
      <c r="J485" s="51"/>
      <c r="K485" s="53">
        <v>2</v>
      </c>
      <c r="L485" s="45">
        <v>221.07</v>
      </c>
      <c r="M485" s="45"/>
      <c r="N485" s="45"/>
      <c r="O485" s="45"/>
      <c r="P485" s="45"/>
      <c r="Q485" s="45"/>
      <c r="R485" s="51"/>
      <c r="S485" s="53">
        <v>2</v>
      </c>
      <c r="T485" s="45">
        <v>224.55</v>
      </c>
      <c r="U485" s="45"/>
      <c r="V485" s="45"/>
      <c r="W485" s="45"/>
      <c r="X485" s="45"/>
      <c r="Y485" s="45"/>
      <c r="Z485" s="51"/>
      <c r="AA485" s="53">
        <v>2</v>
      </c>
      <c r="AB485" s="45">
        <v>222.32</v>
      </c>
      <c r="AC485" s="45"/>
      <c r="AD485" s="45"/>
      <c r="AE485" s="45"/>
      <c r="AF485" s="45"/>
      <c r="AG485" s="45"/>
      <c r="AH485" s="51"/>
      <c r="AI485" s="53">
        <v>2</v>
      </c>
      <c r="AJ485" s="45">
        <v>222.68</v>
      </c>
      <c r="AK485" s="45"/>
      <c r="AL485" s="45"/>
      <c r="AM485" s="45"/>
      <c r="AN485" s="45"/>
      <c r="AO485" s="45"/>
      <c r="AP485" s="51"/>
    </row>
    <row r="486" spans="1:42" ht="21" customHeight="1" thickTop="1" thickBot="1" x14ac:dyDescent="0.35">
      <c r="A486" s="63"/>
      <c r="B486" s="66"/>
      <c r="C486" s="53">
        <v>3</v>
      </c>
      <c r="D486" s="45">
        <v>221.48</v>
      </c>
      <c r="E486" s="45"/>
      <c r="F486" s="45"/>
      <c r="G486" s="44"/>
      <c r="H486" s="44"/>
      <c r="I486" s="44"/>
      <c r="J486" s="51"/>
      <c r="K486" s="53">
        <v>3</v>
      </c>
      <c r="L486" s="45">
        <v>222.81</v>
      </c>
      <c r="M486" s="45"/>
      <c r="N486" s="45"/>
      <c r="O486" s="44"/>
      <c r="P486" s="44"/>
      <c r="Q486" s="44"/>
      <c r="R486" s="51"/>
      <c r="S486" s="53">
        <v>3</v>
      </c>
      <c r="T486" s="45">
        <v>224.49</v>
      </c>
      <c r="U486" s="45"/>
      <c r="V486" s="45"/>
      <c r="W486" s="44"/>
      <c r="X486" s="44"/>
      <c r="Y486" s="44"/>
      <c r="Z486" s="51"/>
      <c r="AA486" s="53">
        <v>3</v>
      </c>
      <c r="AB486" s="45">
        <v>220.8</v>
      </c>
      <c r="AC486" s="45"/>
      <c r="AD486" s="45"/>
      <c r="AE486" s="44"/>
      <c r="AF486" s="44"/>
      <c r="AG486" s="44"/>
      <c r="AH486" s="51"/>
      <c r="AI486" s="53">
        <v>3</v>
      </c>
      <c r="AJ486" s="45">
        <v>221.55</v>
      </c>
      <c r="AK486" s="45"/>
      <c r="AL486" s="45"/>
      <c r="AM486" s="44"/>
      <c r="AN486" s="44"/>
      <c r="AO486" s="44"/>
      <c r="AP486" s="51"/>
    </row>
    <row r="487" spans="1:42" ht="21" customHeight="1" thickTop="1" thickBot="1" x14ac:dyDescent="0.35">
      <c r="A487" s="63"/>
      <c r="B487" s="66"/>
      <c r="C487" s="53">
        <v>4</v>
      </c>
      <c r="D487" s="45">
        <v>221.83</v>
      </c>
      <c r="E487" s="45"/>
      <c r="F487" s="45"/>
      <c r="G487" s="45"/>
      <c r="H487" s="45"/>
      <c r="I487" s="45"/>
      <c r="J487" s="51"/>
      <c r="K487" s="53">
        <v>4</v>
      </c>
      <c r="L487" s="45">
        <v>221.35</v>
      </c>
      <c r="M487" s="45"/>
      <c r="N487" s="45"/>
      <c r="O487" s="45"/>
      <c r="P487" s="45"/>
      <c r="Q487" s="45"/>
      <c r="R487" s="51"/>
      <c r="S487" s="53">
        <v>4</v>
      </c>
      <c r="T487" s="45">
        <v>223.96</v>
      </c>
      <c r="U487" s="45"/>
      <c r="V487" s="45"/>
      <c r="W487" s="45"/>
      <c r="X487" s="45"/>
      <c r="Y487" s="45"/>
      <c r="Z487" s="51"/>
      <c r="AA487" s="53">
        <v>4</v>
      </c>
      <c r="AB487" s="45">
        <v>222.9</v>
      </c>
      <c r="AC487" s="45"/>
      <c r="AD487" s="45"/>
      <c r="AE487" s="45"/>
      <c r="AF487" s="45"/>
      <c r="AG487" s="45"/>
      <c r="AH487" s="51"/>
      <c r="AI487" s="53">
        <v>4</v>
      </c>
      <c r="AJ487" s="45">
        <v>222.55</v>
      </c>
      <c r="AK487" s="45"/>
      <c r="AL487" s="45"/>
      <c r="AM487" s="45"/>
      <c r="AN487" s="45"/>
      <c r="AO487" s="45"/>
      <c r="AP487" s="51"/>
    </row>
    <row r="488" spans="1:42" ht="21" customHeight="1" thickTop="1" thickBot="1" x14ac:dyDescent="0.35">
      <c r="A488" s="63"/>
      <c r="B488" s="66"/>
      <c r="C488" s="53">
        <v>5</v>
      </c>
      <c r="D488" s="45">
        <v>222.63</v>
      </c>
      <c r="E488" s="45"/>
      <c r="F488" s="45"/>
      <c r="G488" s="45"/>
      <c r="H488" s="45"/>
      <c r="I488" s="45"/>
      <c r="J488" s="51"/>
      <c r="K488" s="53">
        <v>5</v>
      </c>
      <c r="L488" s="45">
        <v>220.11</v>
      </c>
      <c r="M488" s="45"/>
      <c r="N488" s="45"/>
      <c r="O488" s="45"/>
      <c r="P488" s="45"/>
      <c r="Q488" s="45"/>
      <c r="R488" s="51"/>
      <c r="S488" s="53">
        <v>5</v>
      </c>
      <c r="T488" s="45">
        <v>222.63</v>
      </c>
      <c r="U488" s="45"/>
      <c r="V488" s="45"/>
      <c r="W488" s="45"/>
      <c r="X488" s="45"/>
      <c r="Y488" s="45"/>
      <c r="Z488" s="51"/>
      <c r="AA488" s="53">
        <v>5</v>
      </c>
      <c r="AB488" s="45">
        <v>220.77</v>
      </c>
      <c r="AC488" s="45"/>
      <c r="AD488" s="45"/>
      <c r="AE488" s="45"/>
      <c r="AF488" s="45"/>
      <c r="AG488" s="45"/>
      <c r="AH488" s="51"/>
      <c r="AI488" s="53">
        <v>5</v>
      </c>
      <c r="AJ488" s="45">
        <v>221.26</v>
      </c>
      <c r="AK488" s="45"/>
      <c r="AL488" s="45"/>
      <c r="AM488" s="45"/>
      <c r="AN488" s="45"/>
      <c r="AO488" s="45"/>
      <c r="AP488" s="51"/>
    </row>
    <row r="489" spans="1:42" ht="21" customHeight="1" thickTop="1" thickBot="1" x14ac:dyDescent="0.35">
      <c r="A489" s="63"/>
      <c r="B489" s="66"/>
      <c r="C489" s="53">
        <v>6</v>
      </c>
      <c r="D489" s="45">
        <v>222.62</v>
      </c>
      <c r="E489" s="45"/>
      <c r="F489" s="45"/>
      <c r="G489" s="45"/>
      <c r="H489" s="45"/>
      <c r="I489" s="45"/>
      <c r="J489" s="51"/>
      <c r="K489" s="53">
        <v>6</v>
      </c>
      <c r="L489" s="45">
        <v>222.32</v>
      </c>
      <c r="M489" s="45"/>
      <c r="N489" s="45"/>
      <c r="O489" s="45"/>
      <c r="P489" s="45"/>
      <c r="Q489" s="45"/>
      <c r="R489" s="51"/>
      <c r="S489" s="53">
        <v>6</v>
      </c>
      <c r="T489" s="45">
        <v>222.07</v>
      </c>
      <c r="U489" s="45"/>
      <c r="V489" s="45"/>
      <c r="W489" s="45"/>
      <c r="X489" s="45"/>
      <c r="Y489" s="45"/>
      <c r="Z489" s="51"/>
      <c r="AA489" s="53">
        <v>6</v>
      </c>
      <c r="AB489" s="45">
        <v>220.57</v>
      </c>
      <c r="AC489" s="45"/>
      <c r="AD489" s="45"/>
      <c r="AE489" s="45"/>
      <c r="AF489" s="45"/>
      <c r="AG489" s="45"/>
      <c r="AH489" s="51"/>
      <c r="AI489" s="53">
        <v>6</v>
      </c>
      <c r="AJ489" s="45">
        <v>222.37</v>
      </c>
      <c r="AK489" s="45"/>
      <c r="AL489" s="45"/>
      <c r="AM489" s="45"/>
      <c r="AN489" s="45"/>
      <c r="AO489" s="45"/>
      <c r="AP489" s="51"/>
    </row>
    <row r="490" spans="1:42" ht="21" customHeight="1" thickTop="1" thickBot="1" x14ac:dyDescent="0.35">
      <c r="A490" s="63"/>
      <c r="B490" s="66"/>
      <c r="C490" s="53">
        <v>7</v>
      </c>
      <c r="D490" s="45">
        <v>222.27</v>
      </c>
      <c r="E490" s="45"/>
      <c r="F490" s="45"/>
      <c r="G490" s="45"/>
      <c r="H490" s="45"/>
      <c r="I490" s="45"/>
      <c r="J490" s="51"/>
      <c r="K490" s="53">
        <v>7</v>
      </c>
      <c r="L490" s="45">
        <v>220.34</v>
      </c>
      <c r="M490" s="45"/>
      <c r="N490" s="45"/>
      <c r="O490" s="45"/>
      <c r="P490" s="45"/>
      <c r="Q490" s="45"/>
      <c r="R490" s="51"/>
      <c r="S490" s="53">
        <v>7</v>
      </c>
      <c r="T490" s="45">
        <v>223.33</v>
      </c>
      <c r="U490" s="45"/>
      <c r="V490" s="45"/>
      <c r="W490" s="45"/>
      <c r="X490" s="45"/>
      <c r="Y490" s="45"/>
      <c r="Z490" s="51"/>
      <c r="AA490" s="53">
        <v>7</v>
      </c>
      <c r="AB490" s="45">
        <v>222.63</v>
      </c>
      <c r="AC490" s="45"/>
      <c r="AD490" s="45"/>
      <c r="AE490" s="45"/>
      <c r="AF490" s="45"/>
      <c r="AG490" s="45"/>
      <c r="AH490" s="51"/>
      <c r="AI490" s="53">
        <v>7</v>
      </c>
      <c r="AJ490" s="45">
        <v>221.65</v>
      </c>
      <c r="AK490" s="45"/>
      <c r="AL490" s="45"/>
      <c r="AM490" s="45"/>
      <c r="AN490" s="45"/>
      <c r="AO490" s="45"/>
      <c r="AP490" s="51"/>
    </row>
    <row r="491" spans="1:42" ht="21" customHeight="1" thickTop="1" thickBot="1" x14ac:dyDescent="0.35">
      <c r="A491" s="63"/>
      <c r="B491" s="66"/>
      <c r="C491" s="53">
        <v>8</v>
      </c>
      <c r="D491" s="45">
        <v>221.77</v>
      </c>
      <c r="E491" s="45"/>
      <c r="F491" s="45"/>
      <c r="G491" s="45"/>
      <c r="H491" s="45"/>
      <c r="I491" s="45"/>
      <c r="J491" s="51"/>
      <c r="K491" s="53">
        <v>8</v>
      </c>
      <c r="L491" s="45">
        <v>222.81</v>
      </c>
      <c r="M491" s="45"/>
      <c r="N491" s="45"/>
      <c r="O491" s="45"/>
      <c r="P491" s="45"/>
      <c r="Q491" s="45"/>
      <c r="R491" s="51"/>
      <c r="S491" s="53">
        <v>8</v>
      </c>
      <c r="T491" s="45">
        <v>223.21</v>
      </c>
      <c r="U491" s="45"/>
      <c r="V491" s="45"/>
      <c r="W491" s="45"/>
      <c r="X491" s="45"/>
      <c r="Y491" s="45"/>
      <c r="Z491" s="51"/>
      <c r="AA491" s="53">
        <v>8</v>
      </c>
      <c r="AB491" s="45">
        <v>222.48</v>
      </c>
      <c r="AC491" s="45"/>
      <c r="AD491" s="45"/>
      <c r="AE491" s="45"/>
      <c r="AF491" s="45"/>
      <c r="AG491" s="45"/>
      <c r="AH491" s="51"/>
      <c r="AI491" s="53">
        <v>8</v>
      </c>
      <c r="AJ491" s="45">
        <v>221.27</v>
      </c>
      <c r="AK491" s="45"/>
      <c r="AL491" s="45"/>
      <c r="AM491" s="45"/>
      <c r="AN491" s="45"/>
      <c r="AO491" s="45"/>
      <c r="AP491" s="51"/>
    </row>
    <row r="492" spans="1:42" ht="21" customHeight="1" thickTop="1" thickBot="1" x14ac:dyDescent="0.35">
      <c r="A492" s="63"/>
      <c r="B492" s="66"/>
      <c r="C492" s="53">
        <v>9</v>
      </c>
      <c r="D492" s="45">
        <v>221.6</v>
      </c>
      <c r="E492" s="45"/>
      <c r="F492" s="45"/>
      <c r="G492" s="45"/>
      <c r="H492" s="45"/>
      <c r="I492" s="45"/>
      <c r="J492" s="51"/>
      <c r="K492" s="53">
        <v>9</v>
      </c>
      <c r="L492" s="45">
        <v>220.04</v>
      </c>
      <c r="M492" s="45"/>
      <c r="N492" s="45"/>
      <c r="O492" s="45"/>
      <c r="P492" s="45"/>
      <c r="Q492" s="45"/>
      <c r="R492" s="51"/>
      <c r="S492" s="53">
        <v>9</v>
      </c>
      <c r="T492" s="45">
        <v>222.36</v>
      </c>
      <c r="U492" s="45"/>
      <c r="V492" s="45"/>
      <c r="W492" s="45"/>
      <c r="X492" s="45"/>
      <c r="Y492" s="45"/>
      <c r="Z492" s="51"/>
      <c r="AA492" s="53">
        <v>9</v>
      </c>
      <c r="AB492" s="45">
        <v>221.48</v>
      </c>
      <c r="AC492" s="45"/>
      <c r="AD492" s="45"/>
      <c r="AE492" s="45"/>
      <c r="AF492" s="45"/>
      <c r="AG492" s="45"/>
      <c r="AH492" s="51"/>
      <c r="AI492" s="53">
        <v>9</v>
      </c>
      <c r="AJ492" s="45">
        <v>222.32</v>
      </c>
      <c r="AK492" s="45"/>
      <c r="AL492" s="45"/>
      <c r="AM492" s="45"/>
      <c r="AN492" s="45"/>
      <c r="AO492" s="45"/>
      <c r="AP492" s="51"/>
    </row>
    <row r="493" spans="1:42" ht="21" customHeight="1" thickTop="1" thickBot="1" x14ac:dyDescent="0.35">
      <c r="A493" s="63"/>
      <c r="B493" s="66"/>
      <c r="C493" s="53">
        <v>10</v>
      </c>
      <c r="D493" s="45">
        <v>221.86</v>
      </c>
      <c r="E493" s="45"/>
      <c r="F493" s="45"/>
      <c r="G493" s="45"/>
      <c r="H493" s="45"/>
      <c r="I493" s="45"/>
      <c r="J493" s="51"/>
      <c r="K493" s="53">
        <v>10</v>
      </c>
      <c r="L493" s="45">
        <v>221.74</v>
      </c>
      <c r="M493" s="45"/>
      <c r="N493" s="45"/>
      <c r="O493" s="45"/>
      <c r="P493" s="45"/>
      <c r="Q493" s="45"/>
      <c r="R493" s="51"/>
      <c r="S493" s="53">
        <v>10</v>
      </c>
      <c r="T493" s="45">
        <v>224.49</v>
      </c>
      <c r="U493" s="45"/>
      <c r="V493" s="45"/>
      <c r="W493" s="45"/>
      <c r="X493" s="45"/>
      <c r="Y493" s="45"/>
      <c r="Z493" s="51"/>
      <c r="AA493" s="53">
        <v>10</v>
      </c>
      <c r="AB493" s="45">
        <v>223.76</v>
      </c>
      <c r="AC493" s="45"/>
      <c r="AD493" s="45"/>
      <c r="AE493" s="45"/>
      <c r="AF493" s="45"/>
      <c r="AG493" s="45"/>
      <c r="AH493" s="51"/>
      <c r="AI493" s="53">
        <v>10</v>
      </c>
      <c r="AJ493" s="45">
        <v>220.57</v>
      </c>
      <c r="AK493" s="45"/>
      <c r="AL493" s="45"/>
      <c r="AM493" s="45"/>
      <c r="AN493" s="45"/>
      <c r="AO493" s="45"/>
      <c r="AP493" s="51"/>
    </row>
    <row r="494" spans="1:42" ht="21" customHeight="1" thickTop="1" thickBot="1" x14ac:dyDescent="0.35">
      <c r="A494" s="63"/>
      <c r="B494" s="66"/>
      <c r="C494" s="53"/>
      <c r="D494" s="45"/>
      <c r="E494" s="45"/>
      <c r="F494" s="45"/>
      <c r="G494" s="45"/>
      <c r="H494" s="45"/>
      <c r="I494" s="45"/>
      <c r="J494" s="51"/>
      <c r="K494" s="53"/>
      <c r="L494" s="45"/>
      <c r="M494" s="45"/>
      <c r="N494" s="45"/>
      <c r="O494" s="45"/>
      <c r="P494" s="45"/>
      <c r="Q494" s="45"/>
      <c r="R494" s="51"/>
      <c r="S494" s="53"/>
      <c r="T494" s="45"/>
      <c r="U494" s="45"/>
      <c r="V494" s="45"/>
      <c r="W494" s="45"/>
      <c r="X494" s="45"/>
      <c r="Y494" s="45"/>
      <c r="Z494" s="51"/>
      <c r="AA494" s="53"/>
      <c r="AB494" s="45"/>
      <c r="AC494" s="45"/>
      <c r="AD494" s="45"/>
      <c r="AE494" s="45"/>
      <c r="AF494" s="45"/>
      <c r="AG494" s="45"/>
      <c r="AH494" s="51"/>
      <c r="AI494" s="53"/>
      <c r="AJ494" s="45"/>
      <c r="AK494" s="45"/>
      <c r="AL494" s="45"/>
      <c r="AM494" s="45"/>
      <c r="AN494" s="45"/>
      <c r="AO494" s="45"/>
      <c r="AP494" s="51"/>
    </row>
    <row r="495" spans="1:42" ht="21" customHeight="1" thickTop="1" thickBot="1" x14ac:dyDescent="0.35">
      <c r="A495" s="63"/>
      <c r="B495" s="66"/>
      <c r="C495" s="54" t="s">
        <v>16</v>
      </c>
      <c r="D495" s="49">
        <f>MIN(D484:D493)</f>
        <v>220.04</v>
      </c>
      <c r="E495" s="45"/>
      <c r="F495" s="55" t="s">
        <v>17</v>
      </c>
      <c r="G495" s="49" t="s">
        <v>18</v>
      </c>
      <c r="H495" s="49" t="s">
        <v>19</v>
      </c>
      <c r="I495" s="45"/>
      <c r="J495" s="51"/>
      <c r="K495" s="54" t="s">
        <v>16</v>
      </c>
      <c r="L495" s="49">
        <f>MIN(L484:L493)</f>
        <v>220.04</v>
      </c>
      <c r="M495" s="45"/>
      <c r="N495" s="55" t="s">
        <v>17</v>
      </c>
      <c r="O495" s="49" t="s">
        <v>18</v>
      </c>
      <c r="P495" s="49" t="s">
        <v>19</v>
      </c>
      <c r="Q495" s="45"/>
      <c r="R495" s="51"/>
      <c r="S495" s="54" t="s">
        <v>16</v>
      </c>
      <c r="T495" s="49">
        <f>MIN(T484:T493)</f>
        <v>222.07</v>
      </c>
      <c r="U495" s="45"/>
      <c r="V495" s="55" t="s">
        <v>17</v>
      </c>
      <c r="W495" s="49" t="s">
        <v>18</v>
      </c>
      <c r="X495" s="49" t="s">
        <v>19</v>
      </c>
      <c r="Y495" s="45"/>
      <c r="Z495" s="51"/>
      <c r="AA495" s="54" t="s">
        <v>16</v>
      </c>
      <c r="AB495" s="49">
        <f>MIN(AB484:AB493)</f>
        <v>220.57</v>
      </c>
      <c r="AC495" s="45"/>
      <c r="AD495" s="55" t="s">
        <v>17</v>
      </c>
      <c r="AE495" s="49" t="s">
        <v>18</v>
      </c>
      <c r="AF495" s="49" t="s">
        <v>19</v>
      </c>
      <c r="AG495" s="45"/>
      <c r="AH495" s="51"/>
      <c r="AI495" s="54" t="s">
        <v>16</v>
      </c>
      <c r="AJ495" s="49">
        <f>MIN(AJ484:AJ493)</f>
        <v>220.57</v>
      </c>
      <c r="AK495" s="45"/>
      <c r="AL495" s="55" t="s">
        <v>17</v>
      </c>
      <c r="AM495" s="49" t="s">
        <v>18</v>
      </c>
      <c r="AN495" s="49" t="s">
        <v>19</v>
      </c>
      <c r="AO495" s="45"/>
      <c r="AP495" s="51"/>
    </row>
    <row r="496" spans="1:42" ht="21" customHeight="1" thickTop="1" thickBot="1" x14ac:dyDescent="0.35">
      <c r="A496" s="63"/>
      <c r="B496" s="66"/>
      <c r="C496" s="54" t="s">
        <v>20</v>
      </c>
      <c r="D496" s="48">
        <f>AVERAGE(D484:D493)</f>
        <v>221.66399999999999</v>
      </c>
      <c r="E496" s="47"/>
      <c r="F496" s="48">
        <f>_xlfn.STDEV.S(D484:D493) / AVERAGE(D484:D493) * 100%</f>
        <v>3.753496089263559E-3</v>
      </c>
      <c r="G496" s="48">
        <f t="array" ref="G496">MIN((D484:D493 - MIN(D484:D493,L484:L493,T484:T493,AB484:AB493,AJ484:AJ493))/MIN(D484:D493,L484:L493,T484:T493,AB484:AB493,AJ484:AJ493)*100%)</f>
        <v>0</v>
      </c>
      <c r="H496" s="48">
        <f t="array" ref="H496">AVERAGE((D484:D493 - MIN(D484:D493,L484:L493,T484:T493,AB484:AB493,AJ484:AJ493))/MIN(D484:D493,L484:L493,T484:T493,AB484:AB493,AJ484:AJ493)*100%)</f>
        <v>7.3804762770405818E-3</v>
      </c>
      <c r="I496" s="45"/>
      <c r="J496" s="51"/>
      <c r="K496" s="54" t="s">
        <v>20</v>
      </c>
      <c r="L496" s="48">
        <f>AVERAGE(L484:L493)</f>
        <v>221.37599999999998</v>
      </c>
      <c r="M496" s="47"/>
      <c r="N496" s="48">
        <f>_xlfn.STDEV.S(L484:L493) / AVERAGE(L484:L493) * 100%</f>
        <v>4.6978026933947974E-3</v>
      </c>
      <c r="O496" s="48">
        <f t="array" ref="O496">MIN((L484:L493 - MIN(D484:D493,L484:L493,T484:T493,AB484:AB493,AJ484:AJ493))/MIN(D484:D493,L484:L493,T484:T493,AB484:AB493,AJ484:AJ493)*100%)</f>
        <v>0</v>
      </c>
      <c r="P496" s="48">
        <f t="array" ref="P496">AVERAGE((L484:L493 - MIN(D484:D493,L484:L493,T484:T493,AB484:AB493,AJ484:AJ493))/MIN(D484:D493,L484:L493,T484:T493,AB484:AB493,AJ484:AJ493)*100%)</f>
        <v>6.0716233412107211E-3</v>
      </c>
      <c r="Q496" s="44"/>
      <c r="R496" s="51"/>
      <c r="S496" s="54" t="s">
        <v>20</v>
      </c>
      <c r="T496" s="48">
        <f>AVERAGE(T484:T493)</f>
        <v>223.50199999999995</v>
      </c>
      <c r="U496" s="47"/>
      <c r="V496" s="48">
        <f>_xlfn.STDEV.S(T484:T493) / AVERAGE(T484:T493) * 100%</f>
        <v>4.1313860442893126E-3</v>
      </c>
      <c r="W496" s="48">
        <f t="array" ref="W496">MIN((T484:T493 - MIN(D484:D493,L484:L493,T484:T493,AB484:AB493,AJ484:AJ493))/MIN(D484:D493,L484:L493,T484:T493,AB484:AB493,AJ484:AJ493)*100%)</f>
        <v>9.2255953463006787E-3</v>
      </c>
      <c r="X496" s="48">
        <f t="array" ref="X496">AVERAGE((T484:T493 - MIN(D484:D493,L484:L493,T484:T493,AB484:AB493,AJ484:AJ493))/MIN(D484:D493,L484:L493,T484:T493,AB484:AB493,AJ484:AJ493)*100%)</f>
        <v>1.573350299945471E-2</v>
      </c>
      <c r="Y496" s="44"/>
      <c r="Z496" s="51"/>
      <c r="AA496" s="54" t="s">
        <v>20</v>
      </c>
      <c r="AB496" s="48">
        <f>AVERAGE(AB484:AB493)</f>
        <v>221.82799999999997</v>
      </c>
      <c r="AC496" s="47"/>
      <c r="AD496" s="48">
        <f>_xlfn.STDEV.S(AB484:AB493) / AVERAGE(AB484:AB493) * 100%</f>
        <v>5.129916813597926E-3</v>
      </c>
      <c r="AE496" s="48">
        <f t="array" ref="AE496">MIN((AB484:AB493 - MIN(D484:D493,L484:L493,T484:T493,AB484:AB493,AJ484:AJ493))/MIN(D484:D493,L484:L493,T484:T493,AB484:AB493,AJ484:AJ493)*100%)</f>
        <v>2.4086529721868803E-3</v>
      </c>
      <c r="AF496" s="48">
        <f t="array" ref="AF496">AVERAGE((AB484:AB493 - MIN(D484:D493,L484:L493,T484:T493,AB484:AB493,AJ484:AJ493))/MIN(D484:D493,L484:L493,T484:T493,AB484:AB493,AJ484:AJ493)*100%)</f>
        <v>8.1257953099436696E-3</v>
      </c>
      <c r="AG496" s="44"/>
      <c r="AH496" s="51"/>
      <c r="AI496" s="54" t="s">
        <v>20</v>
      </c>
      <c r="AJ496" s="48">
        <f>AVERAGE(AJ484:AJ493)</f>
        <v>221.858</v>
      </c>
      <c r="AK496" s="47"/>
      <c r="AL496" s="48">
        <f>_xlfn.STDEV.S(AJ484:AJ493) / AVERAGE(AJ484:AJ493) * 100%</f>
        <v>3.1453399200721635E-3</v>
      </c>
      <c r="AM496" s="48">
        <f t="array" ref="AM496">MIN((AJ484:AJ493 - MIN(D484:D493,L484:L493,T484:T493,AB484:AB493,AJ484:AJ493))/MIN(D484:D493,L484:L493,T484:T493,AB484:AB493,AJ484:AJ493)*100%)</f>
        <v>2.4086529721868803E-3</v>
      </c>
      <c r="AN496" s="48">
        <f t="array" ref="AN496">AVERAGE((AJ484:AJ493 - MIN(D484:D493,L484:L493,T484:T493,AB484:AB493,AJ484:AJ493))/MIN(D484:D493,L484:L493,T484:T493,AB484:AB493,AJ484:AJ493)*100%)</f>
        <v>8.2621341574259776E-3</v>
      </c>
      <c r="AO496" s="44"/>
      <c r="AP496" s="51"/>
    </row>
    <row r="497" spans="1:42" ht="21" customHeight="1" thickTop="1" thickBot="1" x14ac:dyDescent="0.35">
      <c r="A497" s="63"/>
      <c r="B497" s="67"/>
      <c r="C497" s="53"/>
      <c r="D497" s="44"/>
      <c r="E497" s="44"/>
      <c r="F497" s="44"/>
      <c r="G497" s="44"/>
      <c r="H497" s="44"/>
      <c r="I497" s="44"/>
      <c r="J497" s="51"/>
      <c r="K497" s="53"/>
      <c r="L497" s="44"/>
      <c r="M497" s="44"/>
      <c r="N497" s="44"/>
      <c r="O497" s="44"/>
      <c r="P497" s="44"/>
      <c r="Q497" s="44"/>
      <c r="R497" s="51"/>
      <c r="S497" s="53"/>
      <c r="T497" s="44"/>
      <c r="U497" s="44"/>
      <c r="V497" s="44"/>
      <c r="W497" s="44"/>
      <c r="X497" s="44"/>
      <c r="Y497" s="44"/>
      <c r="Z497" s="51"/>
      <c r="AA497" s="53"/>
      <c r="AB497" s="44"/>
      <c r="AC497" s="44"/>
      <c r="AD497" s="44"/>
      <c r="AE497" s="44"/>
      <c r="AF497" s="44"/>
      <c r="AG497" s="44"/>
      <c r="AH497" s="51"/>
      <c r="AI497" s="53"/>
      <c r="AJ497" s="44"/>
      <c r="AK497" s="44"/>
      <c r="AL497" s="44"/>
      <c r="AM497" s="44"/>
      <c r="AN497" s="44"/>
      <c r="AO497" s="44"/>
      <c r="AP497" s="51"/>
    </row>
    <row r="498" spans="1:42" ht="21" customHeight="1" thickTop="1" thickBot="1" x14ac:dyDescent="0.35">
      <c r="A498" s="63"/>
      <c r="B498" s="65" t="s">
        <v>99</v>
      </c>
      <c r="C498" s="59" t="s">
        <v>8</v>
      </c>
      <c r="D498" s="46" t="s">
        <v>9</v>
      </c>
      <c r="E498" s="46" t="s">
        <v>10</v>
      </c>
      <c r="F498" s="46" t="s">
        <v>11</v>
      </c>
      <c r="G498" s="46" t="s">
        <v>12</v>
      </c>
      <c r="H498" s="46" t="s">
        <v>13</v>
      </c>
      <c r="I498" s="46" t="s">
        <v>14</v>
      </c>
      <c r="J498" s="60" t="s">
        <v>15</v>
      </c>
      <c r="K498" s="59" t="s">
        <v>8</v>
      </c>
      <c r="L498" s="46" t="s">
        <v>9</v>
      </c>
      <c r="M498" s="46" t="s">
        <v>10</v>
      </c>
      <c r="N498" s="46" t="s">
        <v>11</v>
      </c>
      <c r="O498" s="46" t="s">
        <v>12</v>
      </c>
      <c r="P498" s="46" t="s">
        <v>13</v>
      </c>
      <c r="Q498" s="46" t="s">
        <v>14</v>
      </c>
      <c r="R498" s="60" t="s">
        <v>15</v>
      </c>
      <c r="S498" s="59" t="s">
        <v>8</v>
      </c>
      <c r="T498" s="46" t="s">
        <v>9</v>
      </c>
      <c r="U498" s="46" t="s">
        <v>10</v>
      </c>
      <c r="V498" s="46" t="s">
        <v>11</v>
      </c>
      <c r="W498" s="46" t="s">
        <v>12</v>
      </c>
      <c r="X498" s="46" t="s">
        <v>13</v>
      </c>
      <c r="Y498" s="46" t="s">
        <v>14</v>
      </c>
      <c r="Z498" s="60" t="s">
        <v>15</v>
      </c>
      <c r="AA498" s="59" t="s">
        <v>8</v>
      </c>
      <c r="AB498" s="46" t="s">
        <v>9</v>
      </c>
      <c r="AC498" s="46" t="s">
        <v>10</v>
      </c>
      <c r="AD498" s="46" t="s">
        <v>11</v>
      </c>
      <c r="AE498" s="46" t="s">
        <v>12</v>
      </c>
      <c r="AF498" s="46" t="s">
        <v>13</v>
      </c>
      <c r="AG498" s="46" t="s">
        <v>14</v>
      </c>
      <c r="AH498" s="60" t="s">
        <v>15</v>
      </c>
      <c r="AI498" s="59" t="s">
        <v>8</v>
      </c>
      <c r="AJ498" s="46" t="s">
        <v>9</v>
      </c>
      <c r="AK498" s="46" t="s">
        <v>10</v>
      </c>
      <c r="AL498" s="46" t="s">
        <v>11</v>
      </c>
      <c r="AM498" s="46" t="s">
        <v>12</v>
      </c>
      <c r="AN498" s="46" t="s">
        <v>13</v>
      </c>
      <c r="AO498" s="46" t="s">
        <v>14</v>
      </c>
      <c r="AP498" s="60" t="s">
        <v>15</v>
      </c>
    </row>
    <row r="499" spans="1:42" ht="21" customHeight="1" thickTop="1" thickBot="1" x14ac:dyDescent="0.35">
      <c r="A499" s="63"/>
      <c r="B499" s="66"/>
      <c r="C499" s="52">
        <v>1</v>
      </c>
      <c r="D499" s="44">
        <v>244.34</v>
      </c>
      <c r="E499" s="44"/>
      <c r="F499" s="44"/>
      <c r="G499" s="44"/>
      <c r="H499" s="44"/>
      <c r="I499" s="44"/>
      <c r="J499" s="51"/>
      <c r="K499" s="52">
        <v>1</v>
      </c>
      <c r="L499" s="44">
        <v>245.08</v>
      </c>
      <c r="M499" s="44"/>
      <c r="N499" s="44"/>
      <c r="O499" s="44"/>
      <c r="P499" s="44"/>
      <c r="Q499" s="44"/>
      <c r="R499" s="51"/>
      <c r="S499" s="52">
        <v>1</v>
      </c>
      <c r="T499" s="44">
        <v>246.3</v>
      </c>
      <c r="U499" s="44"/>
      <c r="V499" s="44"/>
      <c r="W499" s="44"/>
      <c r="X499" s="44"/>
      <c r="Y499" s="44"/>
      <c r="Z499" s="51"/>
      <c r="AA499" s="52">
        <v>1</v>
      </c>
      <c r="AB499" s="44">
        <v>243.36</v>
      </c>
      <c r="AC499" s="44"/>
      <c r="AD499" s="44"/>
      <c r="AE499" s="44"/>
      <c r="AF499" s="44"/>
      <c r="AG499" s="44"/>
      <c r="AH499" s="51"/>
      <c r="AI499" s="52">
        <v>1</v>
      </c>
      <c r="AJ499" s="44">
        <v>242.83</v>
      </c>
      <c r="AK499" s="44"/>
      <c r="AL499" s="44"/>
      <c r="AM499" s="44"/>
      <c r="AN499" s="44"/>
      <c r="AO499" s="44"/>
      <c r="AP499" s="51"/>
    </row>
    <row r="500" spans="1:42" ht="21" customHeight="1" thickTop="1" thickBot="1" x14ac:dyDescent="0.35">
      <c r="A500" s="63"/>
      <c r="B500" s="66"/>
      <c r="C500" s="53">
        <v>2</v>
      </c>
      <c r="D500" s="45">
        <v>240.56</v>
      </c>
      <c r="E500" s="45"/>
      <c r="F500" s="45"/>
      <c r="G500" s="45"/>
      <c r="H500" s="45"/>
      <c r="I500" s="45"/>
      <c r="J500" s="51"/>
      <c r="K500" s="53">
        <v>2</v>
      </c>
      <c r="L500" s="45">
        <v>244.56</v>
      </c>
      <c r="M500" s="45"/>
      <c r="N500" s="45"/>
      <c r="O500" s="45"/>
      <c r="P500" s="45"/>
      <c r="Q500" s="45"/>
      <c r="R500" s="51"/>
      <c r="S500" s="53">
        <v>2</v>
      </c>
      <c r="T500" s="45">
        <v>246.11</v>
      </c>
      <c r="U500" s="45"/>
      <c r="V500" s="45"/>
      <c r="W500" s="45"/>
      <c r="X500" s="45"/>
      <c r="Y500" s="45"/>
      <c r="Z500" s="51"/>
      <c r="AA500" s="53">
        <v>2</v>
      </c>
      <c r="AB500" s="45">
        <v>243.46</v>
      </c>
      <c r="AC500" s="45"/>
      <c r="AD500" s="45"/>
      <c r="AE500" s="45"/>
      <c r="AF500" s="45"/>
      <c r="AG500" s="45"/>
      <c r="AH500" s="51"/>
      <c r="AI500" s="53">
        <v>2</v>
      </c>
      <c r="AJ500" s="45">
        <v>243.85</v>
      </c>
      <c r="AK500" s="45"/>
      <c r="AL500" s="45"/>
      <c r="AM500" s="45"/>
      <c r="AN500" s="45"/>
      <c r="AO500" s="45"/>
      <c r="AP500" s="51"/>
    </row>
    <row r="501" spans="1:42" ht="21" customHeight="1" thickTop="1" thickBot="1" x14ac:dyDescent="0.35">
      <c r="A501" s="63"/>
      <c r="B501" s="66"/>
      <c r="C501" s="53">
        <v>3</v>
      </c>
      <c r="D501" s="45">
        <v>241.64</v>
      </c>
      <c r="E501" s="45"/>
      <c r="F501" s="45"/>
      <c r="G501" s="44"/>
      <c r="H501" s="44"/>
      <c r="I501" s="44"/>
      <c r="J501" s="51"/>
      <c r="K501" s="53">
        <v>3</v>
      </c>
      <c r="L501" s="45">
        <v>243.4</v>
      </c>
      <c r="M501" s="45"/>
      <c r="N501" s="45"/>
      <c r="O501" s="44"/>
      <c r="P501" s="44"/>
      <c r="Q501" s="44"/>
      <c r="R501" s="51"/>
      <c r="S501" s="53">
        <v>3</v>
      </c>
      <c r="T501" s="45">
        <v>244.22</v>
      </c>
      <c r="U501" s="45"/>
      <c r="V501" s="45"/>
      <c r="W501" s="44"/>
      <c r="X501" s="44"/>
      <c r="Y501" s="44"/>
      <c r="Z501" s="51"/>
      <c r="AA501" s="53">
        <v>3</v>
      </c>
      <c r="AB501" s="45">
        <v>244.37</v>
      </c>
      <c r="AC501" s="45"/>
      <c r="AD501" s="45"/>
      <c r="AE501" s="44"/>
      <c r="AF501" s="44"/>
      <c r="AG501" s="44"/>
      <c r="AH501" s="51"/>
      <c r="AI501" s="53">
        <v>3</v>
      </c>
      <c r="AJ501" s="45">
        <v>243.19</v>
      </c>
      <c r="AK501" s="45"/>
      <c r="AL501" s="45"/>
      <c r="AM501" s="44"/>
      <c r="AN501" s="44"/>
      <c r="AO501" s="44"/>
      <c r="AP501" s="51"/>
    </row>
    <row r="502" spans="1:42" ht="21" customHeight="1" thickTop="1" thickBot="1" x14ac:dyDescent="0.35">
      <c r="A502" s="63"/>
      <c r="B502" s="66"/>
      <c r="C502" s="53">
        <v>4</v>
      </c>
      <c r="D502" s="45">
        <v>241.93</v>
      </c>
      <c r="E502" s="45"/>
      <c r="F502" s="45"/>
      <c r="G502" s="45"/>
      <c r="H502" s="45"/>
      <c r="I502" s="45"/>
      <c r="J502" s="51"/>
      <c r="K502" s="53">
        <v>4</v>
      </c>
      <c r="L502" s="45">
        <v>242.88</v>
      </c>
      <c r="M502" s="45"/>
      <c r="N502" s="45"/>
      <c r="O502" s="45"/>
      <c r="P502" s="45"/>
      <c r="Q502" s="45"/>
      <c r="R502" s="51"/>
      <c r="S502" s="53">
        <v>4</v>
      </c>
      <c r="T502" s="45">
        <v>244.3</v>
      </c>
      <c r="U502" s="45"/>
      <c r="V502" s="45"/>
      <c r="W502" s="45"/>
      <c r="X502" s="45"/>
      <c r="Y502" s="45"/>
      <c r="Z502" s="51"/>
      <c r="AA502" s="53">
        <v>4</v>
      </c>
      <c r="AB502" s="45">
        <v>244.6</v>
      </c>
      <c r="AC502" s="45"/>
      <c r="AD502" s="45"/>
      <c r="AE502" s="45"/>
      <c r="AF502" s="45"/>
      <c r="AG502" s="45"/>
      <c r="AH502" s="51"/>
      <c r="AI502" s="53">
        <v>4</v>
      </c>
      <c r="AJ502" s="45">
        <v>244.18</v>
      </c>
      <c r="AK502" s="45"/>
      <c r="AL502" s="45"/>
      <c r="AM502" s="45"/>
      <c r="AN502" s="45"/>
      <c r="AO502" s="45"/>
      <c r="AP502" s="51"/>
    </row>
    <row r="503" spans="1:42" ht="21" customHeight="1" thickTop="1" thickBot="1" x14ac:dyDescent="0.35">
      <c r="A503" s="63"/>
      <c r="B503" s="66"/>
      <c r="C503" s="53">
        <v>5</v>
      </c>
      <c r="D503" s="45">
        <v>242.49</v>
      </c>
      <c r="E503" s="45"/>
      <c r="F503" s="45"/>
      <c r="G503" s="45"/>
      <c r="H503" s="45"/>
      <c r="I503" s="45"/>
      <c r="J503" s="51"/>
      <c r="K503" s="53">
        <v>5</v>
      </c>
      <c r="L503" s="45">
        <v>245.75</v>
      </c>
      <c r="M503" s="45"/>
      <c r="N503" s="45"/>
      <c r="O503" s="45"/>
      <c r="P503" s="45"/>
      <c r="Q503" s="45"/>
      <c r="R503" s="51"/>
      <c r="S503" s="53">
        <v>5</v>
      </c>
      <c r="T503" s="45">
        <v>246.12</v>
      </c>
      <c r="U503" s="45"/>
      <c r="V503" s="45"/>
      <c r="W503" s="45"/>
      <c r="X503" s="45"/>
      <c r="Y503" s="45"/>
      <c r="Z503" s="51"/>
      <c r="AA503" s="53">
        <v>5</v>
      </c>
      <c r="AB503" s="45">
        <v>243.2</v>
      </c>
      <c r="AC503" s="45"/>
      <c r="AD503" s="45"/>
      <c r="AE503" s="45"/>
      <c r="AF503" s="45"/>
      <c r="AG503" s="45"/>
      <c r="AH503" s="51"/>
      <c r="AI503" s="53">
        <v>5</v>
      </c>
      <c r="AJ503" s="45">
        <v>244.05</v>
      </c>
      <c r="AK503" s="45"/>
      <c r="AL503" s="45"/>
      <c r="AM503" s="45"/>
      <c r="AN503" s="45"/>
      <c r="AO503" s="45"/>
      <c r="AP503" s="51"/>
    </row>
    <row r="504" spans="1:42" ht="21" customHeight="1" thickTop="1" thickBot="1" x14ac:dyDescent="0.35">
      <c r="A504" s="63"/>
      <c r="B504" s="66"/>
      <c r="C504" s="53">
        <v>6</v>
      </c>
      <c r="D504" s="45">
        <v>243.46</v>
      </c>
      <c r="E504" s="45"/>
      <c r="F504" s="45"/>
      <c r="G504" s="45"/>
      <c r="H504" s="45"/>
      <c r="I504" s="45"/>
      <c r="J504" s="51"/>
      <c r="K504" s="53">
        <v>6</v>
      </c>
      <c r="L504" s="45">
        <v>243.74</v>
      </c>
      <c r="M504" s="45"/>
      <c r="N504" s="45"/>
      <c r="O504" s="45"/>
      <c r="P504" s="45"/>
      <c r="Q504" s="45"/>
      <c r="R504" s="51"/>
      <c r="S504" s="53">
        <v>6</v>
      </c>
      <c r="T504" s="45">
        <v>244.51</v>
      </c>
      <c r="U504" s="45"/>
      <c r="V504" s="45"/>
      <c r="W504" s="45"/>
      <c r="X504" s="45"/>
      <c r="Y504" s="45"/>
      <c r="Z504" s="51"/>
      <c r="AA504" s="53">
        <v>6</v>
      </c>
      <c r="AB504" s="45">
        <v>244.73</v>
      </c>
      <c r="AC504" s="45"/>
      <c r="AD504" s="45"/>
      <c r="AE504" s="45"/>
      <c r="AF504" s="45"/>
      <c r="AG504" s="45"/>
      <c r="AH504" s="51"/>
      <c r="AI504" s="53">
        <v>6</v>
      </c>
      <c r="AJ504" s="45">
        <v>244.14</v>
      </c>
      <c r="AK504" s="45"/>
      <c r="AL504" s="45"/>
      <c r="AM504" s="45"/>
      <c r="AN504" s="45"/>
      <c r="AO504" s="45"/>
      <c r="AP504" s="51"/>
    </row>
    <row r="505" spans="1:42" ht="21" customHeight="1" thickTop="1" thickBot="1" x14ac:dyDescent="0.35">
      <c r="A505" s="63"/>
      <c r="B505" s="66"/>
      <c r="C505" s="53">
        <v>7</v>
      </c>
      <c r="D505" s="45">
        <v>243.69</v>
      </c>
      <c r="E505" s="45"/>
      <c r="F505" s="45"/>
      <c r="G505" s="45"/>
      <c r="H505" s="45"/>
      <c r="I505" s="45"/>
      <c r="J505" s="51"/>
      <c r="K505" s="53">
        <v>7</v>
      </c>
      <c r="L505" s="45">
        <v>244.69</v>
      </c>
      <c r="M505" s="45"/>
      <c r="N505" s="45"/>
      <c r="O505" s="45"/>
      <c r="P505" s="45"/>
      <c r="Q505" s="45"/>
      <c r="R505" s="51"/>
      <c r="S505" s="53">
        <v>7</v>
      </c>
      <c r="T505" s="45">
        <v>245.64</v>
      </c>
      <c r="U505" s="45"/>
      <c r="V505" s="45"/>
      <c r="W505" s="45"/>
      <c r="X505" s="45"/>
      <c r="Y505" s="45"/>
      <c r="Z505" s="51"/>
      <c r="AA505" s="53">
        <v>7</v>
      </c>
      <c r="AB505" s="45">
        <v>243.34</v>
      </c>
      <c r="AC505" s="45"/>
      <c r="AD505" s="45"/>
      <c r="AE505" s="45"/>
      <c r="AF505" s="45"/>
      <c r="AG505" s="45"/>
      <c r="AH505" s="51"/>
      <c r="AI505" s="53">
        <v>7</v>
      </c>
      <c r="AJ505" s="45">
        <v>244.31</v>
      </c>
      <c r="AK505" s="45"/>
      <c r="AL505" s="45"/>
      <c r="AM505" s="45"/>
      <c r="AN505" s="45"/>
      <c r="AO505" s="45"/>
      <c r="AP505" s="51"/>
    </row>
    <row r="506" spans="1:42" ht="21" customHeight="1" thickTop="1" thickBot="1" x14ac:dyDescent="0.35">
      <c r="A506" s="63"/>
      <c r="B506" s="66"/>
      <c r="C506" s="53">
        <v>8</v>
      </c>
      <c r="D506" s="45">
        <v>243.94</v>
      </c>
      <c r="E506" s="45"/>
      <c r="F506" s="45"/>
      <c r="G506" s="45"/>
      <c r="H506" s="45"/>
      <c r="I506" s="45"/>
      <c r="J506" s="51"/>
      <c r="K506" s="53">
        <v>8</v>
      </c>
      <c r="L506" s="45">
        <v>244.38</v>
      </c>
      <c r="M506" s="45"/>
      <c r="N506" s="45"/>
      <c r="O506" s="45"/>
      <c r="P506" s="45"/>
      <c r="Q506" s="45"/>
      <c r="R506" s="51"/>
      <c r="S506" s="53">
        <v>8</v>
      </c>
      <c r="T506" s="45">
        <v>246.11</v>
      </c>
      <c r="U506" s="45"/>
      <c r="V506" s="45"/>
      <c r="W506" s="45"/>
      <c r="X506" s="45"/>
      <c r="Y506" s="45"/>
      <c r="Z506" s="51"/>
      <c r="AA506" s="53">
        <v>8</v>
      </c>
      <c r="AB506" s="45">
        <v>246.23</v>
      </c>
      <c r="AC506" s="45"/>
      <c r="AD506" s="45"/>
      <c r="AE506" s="45"/>
      <c r="AF506" s="45"/>
      <c r="AG506" s="45"/>
      <c r="AH506" s="51"/>
      <c r="AI506" s="53">
        <v>8</v>
      </c>
      <c r="AJ506" s="45">
        <v>242.9</v>
      </c>
      <c r="AK506" s="45"/>
      <c r="AL506" s="45"/>
      <c r="AM506" s="45"/>
      <c r="AN506" s="45"/>
      <c r="AO506" s="45"/>
      <c r="AP506" s="51"/>
    </row>
    <row r="507" spans="1:42" ht="21" customHeight="1" thickTop="1" thickBot="1" x14ac:dyDescent="0.35">
      <c r="A507" s="63"/>
      <c r="B507" s="66"/>
      <c r="C507" s="53">
        <v>9</v>
      </c>
      <c r="D507" s="45">
        <v>243.83</v>
      </c>
      <c r="E507" s="45"/>
      <c r="F507" s="45"/>
      <c r="G507" s="45"/>
      <c r="H507" s="45"/>
      <c r="I507" s="45"/>
      <c r="J507" s="51"/>
      <c r="K507" s="53">
        <v>9</v>
      </c>
      <c r="L507" s="45">
        <v>244.04</v>
      </c>
      <c r="M507" s="45"/>
      <c r="N507" s="45"/>
      <c r="O507" s="45"/>
      <c r="P507" s="45"/>
      <c r="Q507" s="45"/>
      <c r="R507" s="51"/>
      <c r="S507" s="53">
        <v>9</v>
      </c>
      <c r="T507" s="45">
        <v>246.11</v>
      </c>
      <c r="U507" s="45"/>
      <c r="V507" s="45"/>
      <c r="W507" s="45"/>
      <c r="X507" s="45"/>
      <c r="Y507" s="45"/>
      <c r="Z507" s="51"/>
      <c r="AA507" s="53">
        <v>9</v>
      </c>
      <c r="AB507" s="45">
        <v>243.99</v>
      </c>
      <c r="AC507" s="45"/>
      <c r="AD507" s="45"/>
      <c r="AE507" s="45"/>
      <c r="AF507" s="45"/>
      <c r="AG507" s="45"/>
      <c r="AH507" s="51"/>
      <c r="AI507" s="53">
        <v>9</v>
      </c>
      <c r="AJ507" s="45">
        <v>243.28</v>
      </c>
      <c r="AK507" s="45"/>
      <c r="AL507" s="45"/>
      <c r="AM507" s="45"/>
      <c r="AN507" s="45"/>
      <c r="AO507" s="45"/>
      <c r="AP507" s="51"/>
    </row>
    <row r="508" spans="1:42" ht="21" customHeight="1" thickTop="1" thickBot="1" x14ac:dyDescent="0.35">
      <c r="A508" s="63"/>
      <c r="B508" s="66"/>
      <c r="C508" s="53">
        <v>10</v>
      </c>
      <c r="D508" s="45">
        <v>240.56</v>
      </c>
      <c r="E508" s="45"/>
      <c r="F508" s="45"/>
      <c r="G508" s="45"/>
      <c r="H508" s="45"/>
      <c r="I508" s="45"/>
      <c r="J508" s="51"/>
      <c r="K508" s="53">
        <v>10</v>
      </c>
      <c r="L508" s="45">
        <v>244.95</v>
      </c>
      <c r="M508" s="45"/>
      <c r="N508" s="45"/>
      <c r="O508" s="45"/>
      <c r="P508" s="45"/>
      <c r="Q508" s="45"/>
      <c r="R508" s="51"/>
      <c r="S508" s="53">
        <v>10</v>
      </c>
      <c r="T508" s="45">
        <v>245.97</v>
      </c>
      <c r="U508" s="45"/>
      <c r="V508" s="45"/>
      <c r="W508" s="45"/>
      <c r="X508" s="45"/>
      <c r="Y508" s="45"/>
      <c r="Z508" s="51"/>
      <c r="AA508" s="53">
        <v>10</v>
      </c>
      <c r="AB508" s="45">
        <v>243.82</v>
      </c>
      <c r="AC508" s="45"/>
      <c r="AD508" s="45"/>
      <c r="AE508" s="45"/>
      <c r="AF508" s="45"/>
      <c r="AG508" s="45"/>
      <c r="AH508" s="51"/>
      <c r="AI508" s="53">
        <v>10</v>
      </c>
      <c r="AJ508" s="45">
        <v>243.1</v>
      </c>
      <c r="AK508" s="45"/>
      <c r="AL508" s="45"/>
      <c r="AM508" s="45"/>
      <c r="AN508" s="45"/>
      <c r="AO508" s="45"/>
      <c r="AP508" s="51"/>
    </row>
    <row r="509" spans="1:42" ht="21" customHeight="1" thickTop="1" thickBot="1" x14ac:dyDescent="0.35">
      <c r="A509" s="63"/>
      <c r="B509" s="66"/>
      <c r="C509" s="53"/>
      <c r="D509" s="45"/>
      <c r="E509" s="45"/>
      <c r="F509" s="45"/>
      <c r="G509" s="45"/>
      <c r="H509" s="45"/>
      <c r="I509" s="45"/>
      <c r="J509" s="51"/>
      <c r="K509" s="53"/>
      <c r="L509" s="45"/>
      <c r="M509" s="45"/>
      <c r="N509" s="45"/>
      <c r="O509" s="45"/>
      <c r="P509" s="45"/>
      <c r="Q509" s="45"/>
      <c r="R509" s="51"/>
      <c r="S509" s="53"/>
      <c r="T509" s="45"/>
      <c r="U509" s="45"/>
      <c r="V509" s="45"/>
      <c r="W509" s="45"/>
      <c r="X509" s="45"/>
      <c r="Y509" s="45"/>
      <c r="Z509" s="51"/>
      <c r="AA509" s="53"/>
      <c r="AB509" s="45"/>
      <c r="AC509" s="45"/>
      <c r="AD509" s="45"/>
      <c r="AE509" s="45"/>
      <c r="AF509" s="45"/>
      <c r="AG509" s="45"/>
      <c r="AH509" s="51"/>
      <c r="AI509" s="53"/>
      <c r="AJ509" s="45"/>
      <c r="AK509" s="45"/>
      <c r="AL509" s="45"/>
      <c r="AM509" s="45"/>
      <c r="AN509" s="45"/>
      <c r="AO509" s="45"/>
      <c r="AP509" s="51"/>
    </row>
    <row r="510" spans="1:42" ht="21" customHeight="1" thickTop="1" thickBot="1" x14ac:dyDescent="0.35">
      <c r="A510" s="63"/>
      <c r="B510" s="66"/>
      <c r="C510" s="54" t="s">
        <v>16</v>
      </c>
      <c r="D510" s="49">
        <f>MIN(D499:D508)</f>
        <v>240.56</v>
      </c>
      <c r="E510" s="45"/>
      <c r="F510" s="55" t="s">
        <v>17</v>
      </c>
      <c r="G510" s="49" t="s">
        <v>18</v>
      </c>
      <c r="H510" s="49" t="s">
        <v>19</v>
      </c>
      <c r="I510" s="45"/>
      <c r="J510" s="51"/>
      <c r="K510" s="54" t="s">
        <v>16</v>
      </c>
      <c r="L510" s="49">
        <f>MIN(L499:L508)</f>
        <v>242.88</v>
      </c>
      <c r="M510" s="45"/>
      <c r="N510" s="55" t="s">
        <v>17</v>
      </c>
      <c r="O510" s="49" t="s">
        <v>18</v>
      </c>
      <c r="P510" s="49" t="s">
        <v>19</v>
      </c>
      <c r="Q510" s="45"/>
      <c r="R510" s="51"/>
      <c r="S510" s="54" t="s">
        <v>16</v>
      </c>
      <c r="T510" s="49">
        <f>MIN(T499:T508)</f>
        <v>244.22</v>
      </c>
      <c r="U510" s="45"/>
      <c r="V510" s="55" t="s">
        <v>17</v>
      </c>
      <c r="W510" s="49" t="s">
        <v>18</v>
      </c>
      <c r="X510" s="49" t="s">
        <v>19</v>
      </c>
      <c r="Y510" s="45"/>
      <c r="Z510" s="51"/>
      <c r="AA510" s="54" t="s">
        <v>16</v>
      </c>
      <c r="AB510" s="49">
        <f>MIN(AB499:AB508)</f>
        <v>243.2</v>
      </c>
      <c r="AC510" s="45"/>
      <c r="AD510" s="55" t="s">
        <v>17</v>
      </c>
      <c r="AE510" s="49" t="s">
        <v>18</v>
      </c>
      <c r="AF510" s="49" t="s">
        <v>19</v>
      </c>
      <c r="AG510" s="45"/>
      <c r="AH510" s="51"/>
      <c r="AI510" s="54" t="s">
        <v>16</v>
      </c>
      <c r="AJ510" s="49">
        <f>MIN(AJ499:AJ508)</f>
        <v>242.83</v>
      </c>
      <c r="AK510" s="45"/>
      <c r="AL510" s="55" t="s">
        <v>17</v>
      </c>
      <c r="AM510" s="49" t="s">
        <v>18</v>
      </c>
      <c r="AN510" s="49" t="s">
        <v>19</v>
      </c>
      <c r="AO510" s="45"/>
      <c r="AP510" s="51"/>
    </row>
    <row r="511" spans="1:42" ht="21" customHeight="1" thickTop="1" thickBot="1" x14ac:dyDescent="0.35">
      <c r="A511" s="63"/>
      <c r="B511" s="66"/>
      <c r="C511" s="54" t="s">
        <v>20</v>
      </c>
      <c r="D511" s="48">
        <f>AVERAGE(D499:D508)</f>
        <v>242.64400000000001</v>
      </c>
      <c r="E511" s="47"/>
      <c r="F511" s="48">
        <f>_xlfn.STDEV.S(D499:D508) / AVERAGE(D499:D508) * 100%</f>
        <v>5.820285900888119E-3</v>
      </c>
      <c r="G511" s="48">
        <f t="array" ref="G511">MIN((D499:D508 - MIN(D499:D508,L499:L508,T499:T508,AB499:AB508,AJ499:AJ508))/MIN(D499:D508,L499:L508,T499:T508,AB499:AB508,AJ499:AJ508)*100%)</f>
        <v>0</v>
      </c>
      <c r="H511" s="48">
        <f t="array" ref="H511">AVERAGE((D499:D508 - MIN(D499:D508,L499:L508,T499:T508,AB499:AB508,AJ499:AJ508))/MIN(D499:D508,L499:L508,T499:T508,AB499:AB508,AJ499:AJ508)*100%)</f>
        <v>8.6631193880944476E-3</v>
      </c>
      <c r="I511" s="45"/>
      <c r="J511" s="51"/>
      <c r="K511" s="54" t="s">
        <v>20</v>
      </c>
      <c r="L511" s="48">
        <f>AVERAGE(L499:L508)</f>
        <v>244.34699999999998</v>
      </c>
      <c r="M511" s="47"/>
      <c r="N511" s="48">
        <f>_xlfn.STDEV.S(L499:L508) / AVERAGE(L499:L508) * 100%</f>
        <v>3.4900117667364069E-3</v>
      </c>
      <c r="O511" s="48">
        <f t="array" ref="O511">MIN((L499:L508 - MIN(D499:D508,L499:L508,T499:T508,AB499:AB508,AJ499:AJ508))/MIN(D499:D508,L499:L508,T499:T508,AB499:AB508,AJ499:AJ508)*100%)</f>
        <v>9.644163618224115E-3</v>
      </c>
      <c r="P511" s="48">
        <f t="array" ref="P511">AVERAGE((L499:L508 - MIN(D499:D508,L499:L508,T499:T508,AB499:AB508,AJ499:AJ508))/MIN(D499:D508,L499:L508,T499:T508,AB499:AB508,AJ499:AJ508)*100%)</f>
        <v>1.5742434319920177E-2</v>
      </c>
      <c r="Q511" s="44"/>
      <c r="R511" s="51"/>
      <c r="S511" s="54" t="s">
        <v>20</v>
      </c>
      <c r="T511" s="48">
        <f>AVERAGE(T499:T508)</f>
        <v>245.53900000000004</v>
      </c>
      <c r="U511" s="47"/>
      <c r="V511" s="48">
        <f>_xlfn.STDEV.S(T499:T508) / AVERAGE(T499:T508) * 100%</f>
        <v>3.4409438932659396E-3</v>
      </c>
      <c r="W511" s="48">
        <f t="array" ref="W511">MIN((T499:T508 - MIN(D499:D508,L499:L508,T499:T508,AB499:AB508,AJ499:AJ508))/MIN(D499:D508,L499:L508,T499:T508,AB499:AB508,AJ499:AJ508)*100%)</f>
        <v>1.5214499501163936E-2</v>
      </c>
      <c r="X511" s="48">
        <f t="array" ref="X511">AVERAGE((T499:T508 - MIN(D499:D508,L499:L508,T499:T508,AB499:AB508,AJ499:AJ508))/MIN(D499:D508,L499:L508,T499:T508,AB499:AB508,AJ499:AJ508)*100%)</f>
        <v>2.0697539075490531E-2</v>
      </c>
      <c r="Y511" s="44"/>
      <c r="Z511" s="51"/>
      <c r="AA511" s="54" t="s">
        <v>20</v>
      </c>
      <c r="AB511" s="48">
        <f>AVERAGE(AB499:AB508)</f>
        <v>244.10999999999999</v>
      </c>
      <c r="AC511" s="47"/>
      <c r="AD511" s="48">
        <f>_xlfn.STDEV.S(AB499:AB508) / AVERAGE(AB499:AB508) * 100%</f>
        <v>3.7869064813985673E-3</v>
      </c>
      <c r="AE511" s="48">
        <f t="array" ref="AE511">MIN((AB499:AB508 - MIN(D499:D508,L499:L508,T499:T508,AB499:AB508,AJ499:AJ508))/MIN(D499:D508,L499:L508,T499:T508,AB499:AB508,AJ499:AJ508)*100%)</f>
        <v>1.0974393082806727E-2</v>
      </c>
      <c r="AF511" s="48">
        <f t="array" ref="AF511">AVERAGE((AB499:AB508 - MIN(D499:D508,L499:L508,T499:T508,AB499:AB508,AJ499:AJ508))/MIN(D499:D508,L499:L508,T499:T508,AB499:AB508,AJ499:AJ508)*100%)</f>
        <v>1.4757233122713658E-2</v>
      </c>
      <c r="AG511" s="44"/>
      <c r="AH511" s="51"/>
      <c r="AI511" s="54" t="s">
        <v>20</v>
      </c>
      <c r="AJ511" s="48">
        <f>AVERAGE(AJ499:AJ508)</f>
        <v>243.583</v>
      </c>
      <c r="AK511" s="47"/>
      <c r="AL511" s="48">
        <f>_xlfn.STDEV.S(AJ499:AJ508) / AVERAGE(AJ499:AJ508) * 100%</f>
        <v>2.3692960736595718E-3</v>
      </c>
      <c r="AM511" s="48">
        <f t="array" ref="AM511">MIN((AJ499:AJ508 - MIN(D499:D508,L499:L508,T499:T508,AB499:AB508,AJ499:AJ508))/MIN(D499:D508,L499:L508,T499:T508,AB499:AB508,AJ499:AJ508)*100%)</f>
        <v>9.436315264383148E-3</v>
      </c>
      <c r="AN511" s="48">
        <f t="array" ref="AN511">AVERAGE((AJ499:AJ508 - MIN(D499:D508,L499:L508,T499:T508,AB499:AB508,AJ499:AJ508))/MIN(D499:D508,L499:L508,T499:T508,AB499:AB508,AJ499:AJ508)*100%)</f>
        <v>1.2566511473229128E-2</v>
      </c>
      <c r="AO511" s="44"/>
      <c r="AP511" s="51"/>
    </row>
    <row r="512" spans="1:42" ht="21" customHeight="1" thickTop="1" thickBot="1" x14ac:dyDescent="0.35">
      <c r="A512" s="63"/>
      <c r="B512" s="67"/>
      <c r="C512" s="56"/>
      <c r="D512" s="57"/>
      <c r="E512" s="57"/>
      <c r="F512" s="57"/>
      <c r="G512" s="57"/>
      <c r="H512" s="57"/>
      <c r="I512" s="57"/>
      <c r="J512" s="58"/>
      <c r="K512" s="56"/>
      <c r="L512" s="57"/>
      <c r="M512" s="57"/>
      <c r="N512" s="57"/>
      <c r="O512" s="57"/>
      <c r="P512" s="57"/>
      <c r="Q512" s="57"/>
      <c r="R512" s="58"/>
      <c r="S512" s="56"/>
      <c r="T512" s="57"/>
      <c r="U512" s="57"/>
      <c r="V512" s="57"/>
      <c r="W512" s="57"/>
      <c r="X512" s="57"/>
      <c r="Y512" s="57"/>
      <c r="Z512" s="58"/>
      <c r="AA512" s="56"/>
      <c r="AB512" s="57"/>
      <c r="AC512" s="57"/>
      <c r="AD512" s="57"/>
      <c r="AE512" s="57"/>
      <c r="AF512" s="57"/>
      <c r="AG512" s="57"/>
      <c r="AH512" s="58"/>
      <c r="AI512" s="56"/>
      <c r="AJ512" s="57"/>
      <c r="AK512" s="57"/>
      <c r="AL512" s="57"/>
      <c r="AM512" s="57"/>
      <c r="AN512" s="57"/>
      <c r="AO512" s="57"/>
      <c r="AP512" s="58"/>
    </row>
    <row r="513" spans="1:42" ht="21" customHeight="1" thickTop="1" thickBot="1" x14ac:dyDescent="0.35">
      <c r="A513" s="63"/>
      <c r="B513" s="65" t="s">
        <v>100</v>
      </c>
      <c r="C513" s="59" t="s">
        <v>8</v>
      </c>
      <c r="D513" s="46" t="s">
        <v>9</v>
      </c>
      <c r="E513" s="46" t="s">
        <v>10</v>
      </c>
      <c r="F513" s="46" t="s">
        <v>11</v>
      </c>
      <c r="G513" s="46" t="s">
        <v>12</v>
      </c>
      <c r="H513" s="46" t="s">
        <v>13</v>
      </c>
      <c r="I513" s="46" t="s">
        <v>14</v>
      </c>
      <c r="J513" s="60" t="s">
        <v>15</v>
      </c>
      <c r="K513" s="59" t="s">
        <v>8</v>
      </c>
      <c r="L513" s="46" t="s">
        <v>9</v>
      </c>
      <c r="M513" s="46" t="s">
        <v>10</v>
      </c>
      <c r="N513" s="46" t="s">
        <v>11</v>
      </c>
      <c r="O513" s="46" t="s">
        <v>12</v>
      </c>
      <c r="P513" s="46" t="s">
        <v>13</v>
      </c>
      <c r="Q513" s="46" t="s">
        <v>14</v>
      </c>
      <c r="R513" s="60" t="s">
        <v>15</v>
      </c>
      <c r="S513" s="59" t="s">
        <v>8</v>
      </c>
      <c r="T513" s="46" t="s">
        <v>9</v>
      </c>
      <c r="U513" s="46" t="s">
        <v>10</v>
      </c>
      <c r="V513" s="46" t="s">
        <v>11</v>
      </c>
      <c r="W513" s="46" t="s">
        <v>12</v>
      </c>
      <c r="X513" s="46" t="s">
        <v>13</v>
      </c>
      <c r="Y513" s="46" t="s">
        <v>14</v>
      </c>
      <c r="Z513" s="60" t="s">
        <v>15</v>
      </c>
      <c r="AA513" s="59" t="s">
        <v>8</v>
      </c>
      <c r="AB513" s="46" t="s">
        <v>9</v>
      </c>
      <c r="AC513" s="46" t="s">
        <v>10</v>
      </c>
      <c r="AD513" s="46" t="s">
        <v>11</v>
      </c>
      <c r="AE513" s="46" t="s">
        <v>12</v>
      </c>
      <c r="AF513" s="46" t="s">
        <v>13</v>
      </c>
      <c r="AG513" s="46" t="s">
        <v>14</v>
      </c>
      <c r="AH513" s="60" t="s">
        <v>15</v>
      </c>
      <c r="AI513" s="59" t="s">
        <v>8</v>
      </c>
      <c r="AJ513" s="46" t="s">
        <v>9</v>
      </c>
      <c r="AK513" s="46" t="s">
        <v>10</v>
      </c>
      <c r="AL513" s="46" t="s">
        <v>11</v>
      </c>
      <c r="AM513" s="46" t="s">
        <v>12</v>
      </c>
      <c r="AN513" s="46" t="s">
        <v>13</v>
      </c>
      <c r="AO513" s="46" t="s">
        <v>14</v>
      </c>
      <c r="AP513" s="60" t="s">
        <v>15</v>
      </c>
    </row>
    <row r="514" spans="1:42" ht="21" customHeight="1" thickTop="1" thickBot="1" x14ac:dyDescent="0.35">
      <c r="A514" s="63"/>
      <c r="B514" s="66"/>
      <c r="C514" s="52">
        <v>1</v>
      </c>
      <c r="D514" s="44">
        <v>235.18</v>
      </c>
      <c r="E514" s="44"/>
      <c r="F514" s="44"/>
      <c r="G514" s="44"/>
      <c r="H514" s="44"/>
      <c r="I514" s="44"/>
      <c r="J514" s="51"/>
      <c r="K514" s="52">
        <v>1</v>
      </c>
      <c r="L514" s="44">
        <v>235.16</v>
      </c>
      <c r="M514" s="44"/>
      <c r="N514" s="44"/>
      <c r="O514" s="44"/>
      <c r="P514" s="44"/>
      <c r="Q514" s="44"/>
      <c r="R514" s="51"/>
      <c r="S514" s="52">
        <v>1</v>
      </c>
      <c r="T514" s="44">
        <v>237.8</v>
      </c>
      <c r="U514" s="44"/>
      <c r="V514" s="44"/>
      <c r="W514" s="44"/>
      <c r="X514" s="44"/>
      <c r="Y514" s="44"/>
      <c r="Z514" s="51"/>
      <c r="AA514" s="52">
        <v>1</v>
      </c>
      <c r="AB514" s="44">
        <v>233.87</v>
      </c>
      <c r="AC514" s="44"/>
      <c r="AD514" s="44"/>
      <c r="AE514" s="44"/>
      <c r="AF514" s="44"/>
      <c r="AG514" s="44"/>
      <c r="AH514" s="51"/>
      <c r="AI514" s="52">
        <v>1</v>
      </c>
      <c r="AJ514" s="44">
        <v>236.08</v>
      </c>
      <c r="AK514" s="44"/>
      <c r="AL514" s="44"/>
      <c r="AM514" s="44"/>
      <c r="AN514" s="44"/>
      <c r="AO514" s="44"/>
      <c r="AP514" s="51"/>
    </row>
    <row r="515" spans="1:42" ht="21" customHeight="1" thickTop="1" thickBot="1" x14ac:dyDescent="0.35">
      <c r="A515" s="63"/>
      <c r="B515" s="66"/>
      <c r="C515" s="53">
        <v>2</v>
      </c>
      <c r="D515" s="45">
        <v>234.93</v>
      </c>
      <c r="E515" s="45"/>
      <c r="F515" s="45"/>
      <c r="G515" s="45"/>
      <c r="H515" s="45"/>
      <c r="I515" s="45"/>
      <c r="J515" s="51"/>
      <c r="K515" s="53">
        <v>2</v>
      </c>
      <c r="L515" s="45">
        <v>235.96</v>
      </c>
      <c r="M515" s="45"/>
      <c r="N515" s="45"/>
      <c r="O515" s="45"/>
      <c r="P515" s="45"/>
      <c r="Q515" s="45"/>
      <c r="R515" s="51"/>
      <c r="S515" s="53">
        <v>2</v>
      </c>
      <c r="T515" s="45">
        <v>237.26</v>
      </c>
      <c r="U515" s="45"/>
      <c r="V515" s="45"/>
      <c r="W515" s="45"/>
      <c r="X515" s="45"/>
      <c r="Y515" s="45"/>
      <c r="Z515" s="51"/>
      <c r="AA515" s="53">
        <v>2</v>
      </c>
      <c r="AB515" s="45">
        <v>237.9</v>
      </c>
      <c r="AC515" s="45"/>
      <c r="AD515" s="45"/>
      <c r="AE515" s="45"/>
      <c r="AF515" s="45"/>
      <c r="AG515" s="45"/>
      <c r="AH515" s="51"/>
      <c r="AI515" s="53">
        <v>2</v>
      </c>
      <c r="AJ515" s="45">
        <v>235.93</v>
      </c>
      <c r="AK515" s="45"/>
      <c r="AL515" s="45"/>
      <c r="AM515" s="45"/>
      <c r="AN515" s="45"/>
      <c r="AO515" s="45"/>
      <c r="AP515" s="51"/>
    </row>
    <row r="516" spans="1:42" ht="21" customHeight="1" thickTop="1" thickBot="1" x14ac:dyDescent="0.35">
      <c r="A516" s="63"/>
      <c r="B516" s="66"/>
      <c r="C516" s="53">
        <v>3</v>
      </c>
      <c r="D516" s="45">
        <v>233.64</v>
      </c>
      <c r="E516" s="45"/>
      <c r="F516" s="45"/>
      <c r="G516" s="44"/>
      <c r="H516" s="44"/>
      <c r="I516" s="44"/>
      <c r="J516" s="51"/>
      <c r="K516" s="53">
        <v>3</v>
      </c>
      <c r="L516" s="45">
        <v>236.45</v>
      </c>
      <c r="M516" s="45"/>
      <c r="N516" s="45"/>
      <c r="O516" s="44"/>
      <c r="P516" s="44"/>
      <c r="Q516" s="44"/>
      <c r="R516" s="51"/>
      <c r="S516" s="53">
        <v>3</v>
      </c>
      <c r="T516" s="45">
        <v>235.83</v>
      </c>
      <c r="U516" s="45"/>
      <c r="V516" s="45"/>
      <c r="W516" s="44"/>
      <c r="X516" s="44"/>
      <c r="Y516" s="44"/>
      <c r="Z516" s="51"/>
      <c r="AA516" s="53">
        <v>3</v>
      </c>
      <c r="AB516" s="45">
        <v>235.68</v>
      </c>
      <c r="AC516" s="45"/>
      <c r="AD516" s="45"/>
      <c r="AE516" s="44"/>
      <c r="AF516" s="44"/>
      <c r="AG516" s="44"/>
      <c r="AH516" s="51"/>
      <c r="AI516" s="53">
        <v>3</v>
      </c>
      <c r="AJ516" s="45">
        <v>236.12</v>
      </c>
      <c r="AK516" s="45"/>
      <c r="AL516" s="45"/>
      <c r="AM516" s="44"/>
      <c r="AN516" s="44"/>
      <c r="AO516" s="44"/>
      <c r="AP516" s="51"/>
    </row>
    <row r="517" spans="1:42" ht="21" customHeight="1" thickTop="1" thickBot="1" x14ac:dyDescent="0.35">
      <c r="A517" s="63"/>
      <c r="B517" s="66"/>
      <c r="C517" s="53">
        <v>4</v>
      </c>
      <c r="D517" s="45">
        <v>236.17</v>
      </c>
      <c r="E517" s="45"/>
      <c r="F517" s="45"/>
      <c r="G517" s="45"/>
      <c r="H517" s="45"/>
      <c r="I517" s="45"/>
      <c r="J517" s="51"/>
      <c r="K517" s="53">
        <v>4</v>
      </c>
      <c r="L517" s="45">
        <v>235.68</v>
      </c>
      <c r="M517" s="45"/>
      <c r="N517" s="45"/>
      <c r="O517" s="45"/>
      <c r="P517" s="45"/>
      <c r="Q517" s="45"/>
      <c r="R517" s="51"/>
      <c r="S517" s="53">
        <v>4</v>
      </c>
      <c r="T517" s="45">
        <v>239.26</v>
      </c>
      <c r="U517" s="45"/>
      <c r="V517" s="45"/>
      <c r="W517" s="45"/>
      <c r="X517" s="45"/>
      <c r="Y517" s="45"/>
      <c r="Z517" s="51"/>
      <c r="AA517" s="53">
        <v>4</v>
      </c>
      <c r="AB517" s="45">
        <v>237.8</v>
      </c>
      <c r="AC517" s="45"/>
      <c r="AD517" s="45"/>
      <c r="AE517" s="45"/>
      <c r="AF517" s="45"/>
      <c r="AG517" s="45"/>
      <c r="AH517" s="51"/>
      <c r="AI517" s="53">
        <v>4</v>
      </c>
      <c r="AJ517" s="45">
        <v>235.87</v>
      </c>
      <c r="AK517" s="45"/>
      <c r="AL517" s="45"/>
      <c r="AM517" s="45"/>
      <c r="AN517" s="45"/>
      <c r="AO517" s="45"/>
      <c r="AP517" s="51"/>
    </row>
    <row r="518" spans="1:42" ht="21" customHeight="1" thickTop="1" thickBot="1" x14ac:dyDescent="0.35">
      <c r="A518" s="63"/>
      <c r="B518" s="66"/>
      <c r="C518" s="53">
        <v>5</v>
      </c>
      <c r="D518" s="45">
        <v>235.26</v>
      </c>
      <c r="E518" s="45"/>
      <c r="F518" s="45"/>
      <c r="G518" s="45"/>
      <c r="H518" s="45"/>
      <c r="I518" s="45"/>
      <c r="J518" s="51"/>
      <c r="K518" s="53">
        <v>5</v>
      </c>
      <c r="L518" s="45">
        <v>235.16</v>
      </c>
      <c r="M518" s="45"/>
      <c r="N518" s="45"/>
      <c r="O518" s="45"/>
      <c r="P518" s="45"/>
      <c r="Q518" s="45"/>
      <c r="R518" s="51"/>
      <c r="S518" s="53">
        <v>5</v>
      </c>
      <c r="T518" s="45">
        <v>237.38</v>
      </c>
      <c r="U518" s="45"/>
      <c r="V518" s="45"/>
      <c r="W518" s="45"/>
      <c r="X518" s="45"/>
      <c r="Y518" s="45"/>
      <c r="Z518" s="51"/>
      <c r="AA518" s="53">
        <v>5</v>
      </c>
      <c r="AB518" s="45">
        <v>237.8</v>
      </c>
      <c r="AC518" s="45"/>
      <c r="AD518" s="45"/>
      <c r="AE518" s="45"/>
      <c r="AF518" s="45"/>
      <c r="AG518" s="45"/>
      <c r="AH518" s="51"/>
      <c r="AI518" s="53">
        <v>5</v>
      </c>
      <c r="AJ518" s="45">
        <v>236.69</v>
      </c>
      <c r="AK518" s="45"/>
      <c r="AL518" s="45"/>
      <c r="AM518" s="45"/>
      <c r="AN518" s="45"/>
      <c r="AO518" s="45"/>
      <c r="AP518" s="51"/>
    </row>
    <row r="519" spans="1:42" ht="21" customHeight="1" thickTop="1" thickBot="1" x14ac:dyDescent="0.35">
      <c r="A519" s="63"/>
      <c r="B519" s="66"/>
      <c r="C519" s="53">
        <v>6</v>
      </c>
      <c r="D519" s="45">
        <v>233.08</v>
      </c>
      <c r="E519" s="45"/>
      <c r="F519" s="45"/>
      <c r="G519" s="45"/>
      <c r="H519" s="45"/>
      <c r="I519" s="45"/>
      <c r="J519" s="51"/>
      <c r="K519" s="53">
        <v>6</v>
      </c>
      <c r="L519" s="45">
        <v>234.7</v>
      </c>
      <c r="M519" s="45"/>
      <c r="N519" s="45"/>
      <c r="O519" s="45"/>
      <c r="P519" s="45"/>
      <c r="Q519" s="45"/>
      <c r="R519" s="51"/>
      <c r="S519" s="53">
        <v>6</v>
      </c>
      <c r="T519" s="45">
        <v>237.8</v>
      </c>
      <c r="U519" s="45"/>
      <c r="V519" s="45"/>
      <c r="W519" s="45"/>
      <c r="X519" s="45"/>
      <c r="Y519" s="45"/>
      <c r="Z519" s="51"/>
      <c r="AA519" s="53">
        <v>6</v>
      </c>
      <c r="AB519" s="45">
        <v>236.57</v>
      </c>
      <c r="AC519" s="45"/>
      <c r="AD519" s="45"/>
      <c r="AE519" s="45"/>
      <c r="AF519" s="45"/>
      <c r="AG519" s="45"/>
      <c r="AH519" s="51"/>
      <c r="AI519" s="53">
        <v>6</v>
      </c>
      <c r="AJ519" s="45">
        <v>236.58</v>
      </c>
      <c r="AK519" s="45"/>
      <c r="AL519" s="45"/>
      <c r="AM519" s="45"/>
      <c r="AN519" s="45"/>
      <c r="AO519" s="45"/>
      <c r="AP519" s="51"/>
    </row>
    <row r="520" spans="1:42" ht="21" customHeight="1" thickTop="1" thickBot="1" x14ac:dyDescent="0.35">
      <c r="A520" s="63"/>
      <c r="B520" s="66"/>
      <c r="C520" s="53">
        <v>7</v>
      </c>
      <c r="D520" s="45">
        <v>234.93</v>
      </c>
      <c r="E520" s="45"/>
      <c r="F520" s="45"/>
      <c r="G520" s="45"/>
      <c r="H520" s="45"/>
      <c r="I520" s="45"/>
      <c r="J520" s="51"/>
      <c r="K520" s="53">
        <v>7</v>
      </c>
      <c r="L520" s="45">
        <v>236.57</v>
      </c>
      <c r="M520" s="45"/>
      <c r="N520" s="45"/>
      <c r="O520" s="45"/>
      <c r="P520" s="45"/>
      <c r="Q520" s="45"/>
      <c r="R520" s="51"/>
      <c r="S520" s="53">
        <v>7</v>
      </c>
      <c r="T520" s="45">
        <v>237.65</v>
      </c>
      <c r="U520" s="45"/>
      <c r="V520" s="45"/>
      <c r="W520" s="45"/>
      <c r="X520" s="45"/>
      <c r="Y520" s="45"/>
      <c r="Z520" s="51"/>
      <c r="AA520" s="53">
        <v>7</v>
      </c>
      <c r="AB520" s="45">
        <v>234.65</v>
      </c>
      <c r="AC520" s="45"/>
      <c r="AD520" s="45"/>
      <c r="AE520" s="45"/>
      <c r="AF520" s="45"/>
      <c r="AG520" s="45"/>
      <c r="AH520" s="51"/>
      <c r="AI520" s="53">
        <v>7</v>
      </c>
      <c r="AJ520" s="45">
        <v>236.61</v>
      </c>
      <c r="AK520" s="45"/>
      <c r="AL520" s="45"/>
      <c r="AM520" s="45"/>
      <c r="AN520" s="45"/>
      <c r="AO520" s="45"/>
      <c r="AP520" s="51"/>
    </row>
    <row r="521" spans="1:42" ht="21" customHeight="1" thickTop="1" thickBot="1" x14ac:dyDescent="0.35">
      <c r="A521" s="63"/>
      <c r="B521" s="66"/>
      <c r="C521" s="53">
        <v>8</v>
      </c>
      <c r="D521" s="45">
        <v>234.74</v>
      </c>
      <c r="E521" s="45"/>
      <c r="F521" s="45"/>
      <c r="G521" s="45"/>
      <c r="H521" s="45"/>
      <c r="I521" s="45"/>
      <c r="J521" s="51"/>
      <c r="K521" s="53">
        <v>8</v>
      </c>
      <c r="L521" s="45">
        <v>235.47</v>
      </c>
      <c r="M521" s="45"/>
      <c r="N521" s="45"/>
      <c r="O521" s="45"/>
      <c r="P521" s="45"/>
      <c r="Q521" s="45"/>
      <c r="R521" s="51"/>
      <c r="S521" s="53">
        <v>8</v>
      </c>
      <c r="T521" s="45">
        <v>236.57</v>
      </c>
      <c r="U521" s="45"/>
      <c r="V521" s="45"/>
      <c r="W521" s="45"/>
      <c r="X521" s="45"/>
      <c r="Y521" s="45"/>
      <c r="Z521" s="51"/>
      <c r="AA521" s="53">
        <v>8</v>
      </c>
      <c r="AB521" s="45">
        <v>237.8</v>
      </c>
      <c r="AC521" s="45"/>
      <c r="AD521" s="45"/>
      <c r="AE521" s="45"/>
      <c r="AF521" s="45"/>
      <c r="AG521" s="45"/>
      <c r="AH521" s="51"/>
      <c r="AI521" s="53">
        <v>8</v>
      </c>
      <c r="AJ521" s="45">
        <v>236.45</v>
      </c>
      <c r="AK521" s="45"/>
      <c r="AL521" s="45"/>
      <c r="AM521" s="45"/>
      <c r="AN521" s="45"/>
      <c r="AO521" s="45"/>
      <c r="AP521" s="51"/>
    </row>
    <row r="522" spans="1:42" ht="21" customHeight="1" thickTop="1" thickBot="1" x14ac:dyDescent="0.35">
      <c r="A522" s="63"/>
      <c r="B522" s="66"/>
      <c r="C522" s="53">
        <v>9</v>
      </c>
      <c r="D522" s="45">
        <v>236.25</v>
      </c>
      <c r="E522" s="45"/>
      <c r="F522" s="45"/>
      <c r="G522" s="45"/>
      <c r="H522" s="45"/>
      <c r="I522" s="45"/>
      <c r="J522" s="51"/>
      <c r="K522" s="53">
        <v>9</v>
      </c>
      <c r="L522" s="45">
        <v>235.16</v>
      </c>
      <c r="M522" s="45"/>
      <c r="N522" s="45"/>
      <c r="O522" s="45"/>
      <c r="P522" s="45"/>
      <c r="Q522" s="45"/>
      <c r="R522" s="51"/>
      <c r="S522" s="53">
        <v>9</v>
      </c>
      <c r="T522" s="45">
        <v>236.64</v>
      </c>
      <c r="U522" s="45"/>
      <c r="V522" s="45"/>
      <c r="W522" s="45"/>
      <c r="X522" s="45"/>
      <c r="Y522" s="45"/>
      <c r="Z522" s="51"/>
      <c r="AA522" s="53">
        <v>9</v>
      </c>
      <c r="AB522" s="45">
        <v>236.98</v>
      </c>
      <c r="AC522" s="45"/>
      <c r="AD522" s="45"/>
      <c r="AE522" s="45"/>
      <c r="AF522" s="45"/>
      <c r="AG522" s="45"/>
      <c r="AH522" s="51"/>
      <c r="AI522" s="53">
        <v>9</v>
      </c>
      <c r="AJ522" s="45">
        <v>235.85</v>
      </c>
      <c r="AK522" s="45"/>
      <c r="AL522" s="45"/>
      <c r="AM522" s="45"/>
      <c r="AN522" s="45"/>
      <c r="AO522" s="45"/>
      <c r="AP522" s="51"/>
    </row>
    <row r="523" spans="1:42" ht="21" customHeight="1" thickTop="1" thickBot="1" x14ac:dyDescent="0.35">
      <c r="A523" s="63"/>
      <c r="B523" s="66"/>
      <c r="C523" s="53">
        <v>10</v>
      </c>
      <c r="D523" s="45">
        <v>235.08</v>
      </c>
      <c r="E523" s="45"/>
      <c r="F523" s="45"/>
      <c r="G523" s="45"/>
      <c r="H523" s="45"/>
      <c r="I523" s="45"/>
      <c r="J523" s="51"/>
      <c r="K523" s="53">
        <v>10</v>
      </c>
      <c r="L523" s="45">
        <v>235.82</v>
      </c>
      <c r="M523" s="45"/>
      <c r="N523" s="45"/>
      <c r="O523" s="45"/>
      <c r="P523" s="45"/>
      <c r="Q523" s="45"/>
      <c r="R523" s="51"/>
      <c r="S523" s="53">
        <v>10</v>
      </c>
      <c r="T523" s="45">
        <v>236.83</v>
      </c>
      <c r="U523" s="45"/>
      <c r="V523" s="45"/>
      <c r="W523" s="45"/>
      <c r="X523" s="45"/>
      <c r="Y523" s="45"/>
      <c r="Z523" s="51"/>
      <c r="AA523" s="53">
        <v>10</v>
      </c>
      <c r="AB523" s="45">
        <v>236.01</v>
      </c>
      <c r="AC523" s="45"/>
      <c r="AD523" s="45"/>
      <c r="AE523" s="45"/>
      <c r="AF523" s="45"/>
      <c r="AG523" s="45"/>
      <c r="AH523" s="51"/>
      <c r="AI523" s="53">
        <v>10</v>
      </c>
      <c r="AJ523" s="45">
        <v>236.57</v>
      </c>
      <c r="AK523" s="45"/>
      <c r="AL523" s="45"/>
      <c r="AM523" s="45"/>
      <c r="AN523" s="45"/>
      <c r="AO523" s="45"/>
      <c r="AP523" s="51"/>
    </row>
    <row r="524" spans="1:42" ht="21" customHeight="1" thickTop="1" thickBot="1" x14ac:dyDescent="0.35">
      <c r="A524" s="63"/>
      <c r="B524" s="66"/>
      <c r="C524" s="53"/>
      <c r="D524" s="45"/>
      <c r="E524" s="45"/>
      <c r="F524" s="45"/>
      <c r="G524" s="45"/>
      <c r="H524" s="45"/>
      <c r="I524" s="45"/>
      <c r="J524" s="51"/>
      <c r="K524" s="53"/>
      <c r="L524" s="45"/>
      <c r="M524" s="45"/>
      <c r="N524" s="45"/>
      <c r="O524" s="45"/>
      <c r="P524" s="45"/>
      <c r="Q524" s="45"/>
      <c r="R524" s="51"/>
      <c r="S524" s="53"/>
      <c r="T524" s="45"/>
      <c r="U524" s="45"/>
      <c r="V524" s="45"/>
      <c r="W524" s="45"/>
      <c r="X524" s="45"/>
      <c r="Y524" s="45"/>
      <c r="Z524" s="51"/>
      <c r="AA524" s="53"/>
      <c r="AB524" s="45"/>
      <c r="AC524" s="45"/>
      <c r="AD524" s="45"/>
      <c r="AE524" s="45"/>
      <c r="AF524" s="45"/>
      <c r="AG524" s="45"/>
      <c r="AH524" s="51"/>
      <c r="AI524" s="53"/>
      <c r="AJ524" s="45"/>
      <c r="AK524" s="45"/>
      <c r="AL524" s="45"/>
      <c r="AM524" s="45"/>
      <c r="AN524" s="45"/>
      <c r="AO524" s="45"/>
      <c r="AP524" s="51"/>
    </row>
    <row r="525" spans="1:42" ht="21" customHeight="1" thickTop="1" thickBot="1" x14ac:dyDescent="0.35">
      <c r="A525" s="63"/>
      <c r="B525" s="66"/>
      <c r="C525" s="54" t="s">
        <v>16</v>
      </c>
      <c r="D525" s="49">
        <f>MIN(D514:D523)</f>
        <v>233.08</v>
      </c>
      <c r="E525" s="45"/>
      <c r="F525" s="55" t="s">
        <v>17</v>
      </c>
      <c r="G525" s="49" t="s">
        <v>18</v>
      </c>
      <c r="H525" s="49" t="s">
        <v>19</v>
      </c>
      <c r="I525" s="45"/>
      <c r="J525" s="51"/>
      <c r="K525" s="54" t="s">
        <v>16</v>
      </c>
      <c r="L525" s="49">
        <f>MIN(L514:L523)</f>
        <v>234.7</v>
      </c>
      <c r="M525" s="45"/>
      <c r="N525" s="55" t="s">
        <v>17</v>
      </c>
      <c r="O525" s="49" t="s">
        <v>18</v>
      </c>
      <c r="P525" s="49" t="s">
        <v>19</v>
      </c>
      <c r="Q525" s="45"/>
      <c r="R525" s="51"/>
      <c r="S525" s="54" t="s">
        <v>16</v>
      </c>
      <c r="T525" s="49">
        <f>MIN(T514:T523)</f>
        <v>235.83</v>
      </c>
      <c r="U525" s="45"/>
      <c r="V525" s="55" t="s">
        <v>17</v>
      </c>
      <c r="W525" s="49" t="s">
        <v>18</v>
      </c>
      <c r="X525" s="49" t="s">
        <v>19</v>
      </c>
      <c r="Y525" s="45"/>
      <c r="Z525" s="51"/>
      <c r="AA525" s="54" t="s">
        <v>16</v>
      </c>
      <c r="AB525" s="49">
        <f>MIN(AB514:AB523)</f>
        <v>233.87</v>
      </c>
      <c r="AC525" s="45"/>
      <c r="AD525" s="55" t="s">
        <v>17</v>
      </c>
      <c r="AE525" s="49" t="s">
        <v>18</v>
      </c>
      <c r="AF525" s="49" t="s">
        <v>19</v>
      </c>
      <c r="AG525" s="45"/>
      <c r="AH525" s="51"/>
      <c r="AI525" s="54" t="s">
        <v>16</v>
      </c>
      <c r="AJ525" s="49">
        <f>MIN(AJ514:AJ523)</f>
        <v>235.85</v>
      </c>
      <c r="AK525" s="45"/>
      <c r="AL525" s="55" t="s">
        <v>17</v>
      </c>
      <c r="AM525" s="49" t="s">
        <v>18</v>
      </c>
      <c r="AN525" s="49" t="s">
        <v>19</v>
      </c>
      <c r="AO525" s="45"/>
      <c r="AP525" s="51"/>
    </row>
    <row r="526" spans="1:42" ht="21" customHeight="1" thickTop="1" thickBot="1" x14ac:dyDescent="0.35">
      <c r="A526" s="63"/>
      <c r="B526" s="66"/>
      <c r="C526" s="54" t="s">
        <v>20</v>
      </c>
      <c r="D526" s="48">
        <f>AVERAGE(D514:D523)</f>
        <v>234.92599999999999</v>
      </c>
      <c r="E526" s="47"/>
      <c r="F526" s="48">
        <f>_xlfn.STDEV.S(D514:D523) / AVERAGE(D514:D523) * 100%</f>
        <v>4.1601307389462277E-3</v>
      </c>
      <c r="G526" s="48">
        <f t="array" ref="G526">MIN((D514:D523 - MIN(D514:D523,L514:L523,T514:T523,AB514:AB523,AJ514:AJ523))/MIN(D514:D523,L514:L523,T514:T523,AB514:AB523,AJ514:AJ523)*100%)</f>
        <v>0</v>
      </c>
      <c r="H526" s="48">
        <f t="array" ref="H526">AVERAGE((D514:D523 - MIN(D514:D523,L514:L523,T514:T523,AB514:AB523,AJ514:AJ523))/MIN(D514:D523,L514:L523,T514:T523,AB514:AB523,AJ514:AJ523)*100%)</f>
        <v>7.9200274583833413E-3</v>
      </c>
      <c r="I526" s="45"/>
      <c r="J526" s="51"/>
      <c r="K526" s="54" t="s">
        <v>20</v>
      </c>
      <c r="L526" s="48">
        <f>AVERAGE(L514:L523)</f>
        <v>235.613</v>
      </c>
      <c r="M526" s="47"/>
      <c r="N526" s="48">
        <f>_xlfn.STDEV.S(L514:L523) / AVERAGE(L514:L523) * 100%</f>
        <v>2.5519701545778893E-3</v>
      </c>
      <c r="O526" s="48">
        <f t="array" ref="O526">MIN((L514:L523 - MIN(D514:D523,L514:L523,T514:T523,AB514:AB523,AJ514:AJ523))/MIN(D514:D523,L514:L523,T514:T523,AB514:AB523,AJ514:AJ523)*100%)</f>
        <v>6.9504032950059033E-3</v>
      </c>
      <c r="P526" s="48">
        <f t="array" ref="P526">AVERAGE((L514:L523 - MIN(D514:D523,L514:L523,T514:T523,AB514:AB523,AJ514:AJ523))/MIN(D514:D523,L514:L523,T514:T523,AB514:AB523,AJ514:AJ523)*100%)</f>
        <v>1.0867513300154385E-2</v>
      </c>
      <c r="Q526" s="44"/>
      <c r="R526" s="51"/>
      <c r="S526" s="54" t="s">
        <v>20</v>
      </c>
      <c r="T526" s="48">
        <f>AVERAGE(T514:T523)</f>
        <v>237.30199999999999</v>
      </c>
      <c r="U526" s="47"/>
      <c r="V526" s="48">
        <f>_xlfn.STDEV.S(T514:T523) / AVERAGE(T514:T523) * 100%</f>
        <v>3.9286762945231922E-3</v>
      </c>
      <c r="W526" s="48">
        <f t="array" ref="W526">MIN((T514:T523 - MIN(D514:D523,L514:L523,T514:T523,AB514:AB523,AJ514:AJ523))/MIN(D514:D523,L514:L523,T514:T523,AB514:AB523,AJ514:AJ523)*100%)</f>
        <v>1.1798524111892911E-2</v>
      </c>
      <c r="X526" s="48">
        <f t="array" ref="X526">AVERAGE((T514:T523 - MIN(D514:D523,L514:L523,T514:T523,AB514:AB523,AJ514:AJ523))/MIN(D514:D523,L514:L523,T514:T523,AB514:AB523,AJ514:AJ523)*100%)</f>
        <v>1.8113952291058815E-2</v>
      </c>
      <c r="Y526" s="44"/>
      <c r="Z526" s="51"/>
      <c r="AA526" s="54" t="s">
        <v>20</v>
      </c>
      <c r="AB526" s="48">
        <f>AVERAGE(AB514:AB523)</f>
        <v>236.50599999999994</v>
      </c>
      <c r="AC526" s="47"/>
      <c r="AD526" s="48">
        <f>_xlfn.STDEV.S(AB514:AB523) / AVERAGE(AB514:AB523) * 100%</f>
        <v>6.0648493744652103E-3</v>
      </c>
      <c r="AE526" s="48">
        <f t="array" ref="AE526">MIN((AB514:AB523 - MIN(D514:D523,L514:L523,T514:T523,AB514:AB523,AJ514:AJ523))/MIN(D514:D523,L514:L523,T514:T523,AB514:AB523,AJ514:AJ523)*100%)</f>
        <v>3.3893941994164751E-3</v>
      </c>
      <c r="AF526" s="48">
        <f t="array" ref="AF526">AVERAGE((AB514:AB523 - MIN(D514:D523,L514:L523,T514:T523,AB514:AB523,AJ514:AJ523))/MIN(D514:D523,L514:L523,T514:T523,AB514:AB523,AJ514:AJ523)*100%)</f>
        <v>1.4698815857216366E-2</v>
      </c>
      <c r="AG526" s="44"/>
      <c r="AH526" s="51"/>
      <c r="AI526" s="54" t="s">
        <v>20</v>
      </c>
      <c r="AJ526" s="48">
        <f>AVERAGE(AJ514:AJ523)</f>
        <v>236.27500000000003</v>
      </c>
      <c r="AK526" s="47"/>
      <c r="AL526" s="48">
        <f>_xlfn.STDEV.S(AJ514:AJ523) / AVERAGE(AJ514:AJ523) * 100%</f>
        <v>1.4254170195875813E-3</v>
      </c>
      <c r="AM526" s="48">
        <f t="array" ref="AM526">MIN((AJ514:AJ523 - MIN(D514:D523,L514:L523,T514:T523,AB514:AB523,AJ514:AJ523))/MIN(D514:D523,L514:L523,T514:T523,AB514:AB523,AJ514:AJ523)*100%)</f>
        <v>1.1884331559979328E-2</v>
      </c>
      <c r="AN526" s="48">
        <f t="array" ref="AN526">AVERAGE((AJ514:AJ523 - MIN(D514:D523,L514:L523,T514:T523,AB514:AB523,AJ514:AJ523))/MIN(D514:D523,L514:L523,T514:T523,AB514:AB523,AJ514:AJ523)*100%)</f>
        <v>1.3707739831817358E-2</v>
      </c>
      <c r="AO526" s="44"/>
      <c r="AP526" s="51"/>
    </row>
    <row r="527" spans="1:42" ht="21" customHeight="1" thickTop="1" thickBot="1" x14ac:dyDescent="0.35">
      <c r="A527" s="63"/>
      <c r="B527" s="67"/>
      <c r="C527" s="53"/>
      <c r="D527" s="44"/>
      <c r="E527" s="44"/>
      <c r="F527" s="44"/>
      <c r="G527" s="44"/>
      <c r="H527" s="44"/>
      <c r="I527" s="44"/>
      <c r="J527" s="51"/>
      <c r="K527" s="53"/>
      <c r="L527" s="44"/>
      <c r="M527" s="44"/>
      <c r="N527" s="44"/>
      <c r="O527" s="44"/>
      <c r="P527" s="44"/>
      <c r="Q527" s="44"/>
      <c r="R527" s="51"/>
      <c r="S527" s="53"/>
      <c r="T527" s="44"/>
      <c r="U527" s="44"/>
      <c r="V527" s="44"/>
      <c r="W527" s="44"/>
      <c r="X527" s="44"/>
      <c r="Y527" s="44"/>
      <c r="Z527" s="51"/>
      <c r="AA527" s="53"/>
      <c r="AB527" s="44"/>
      <c r="AC527" s="44"/>
      <c r="AD527" s="44"/>
      <c r="AE527" s="44"/>
      <c r="AF527" s="44"/>
      <c r="AG527" s="44"/>
      <c r="AH527" s="51"/>
      <c r="AI527" s="53"/>
      <c r="AJ527" s="44"/>
      <c r="AK527" s="44"/>
      <c r="AL527" s="44"/>
      <c r="AM527" s="44"/>
      <c r="AN527" s="44"/>
      <c r="AO527" s="44"/>
      <c r="AP527" s="51"/>
    </row>
    <row r="528" spans="1:42" ht="21" customHeight="1" thickTop="1" thickBot="1" x14ac:dyDescent="0.35">
      <c r="A528" s="63"/>
      <c r="B528" s="65" t="s">
        <v>101</v>
      </c>
      <c r="C528" s="59" t="s">
        <v>8</v>
      </c>
      <c r="D528" s="46" t="s">
        <v>9</v>
      </c>
      <c r="E528" s="46" t="s">
        <v>10</v>
      </c>
      <c r="F528" s="46" t="s">
        <v>11</v>
      </c>
      <c r="G528" s="46" t="s">
        <v>12</v>
      </c>
      <c r="H528" s="46" t="s">
        <v>13</v>
      </c>
      <c r="I528" s="46" t="s">
        <v>14</v>
      </c>
      <c r="J528" s="60" t="s">
        <v>15</v>
      </c>
      <c r="K528" s="59" t="s">
        <v>8</v>
      </c>
      <c r="L528" s="46" t="s">
        <v>9</v>
      </c>
      <c r="M528" s="46" t="s">
        <v>10</v>
      </c>
      <c r="N528" s="46" t="s">
        <v>11</v>
      </c>
      <c r="O528" s="46" t="s">
        <v>12</v>
      </c>
      <c r="P528" s="46" t="s">
        <v>13</v>
      </c>
      <c r="Q528" s="46" t="s">
        <v>14</v>
      </c>
      <c r="R528" s="60" t="s">
        <v>15</v>
      </c>
      <c r="S528" s="59" t="s">
        <v>8</v>
      </c>
      <c r="T528" s="46" t="s">
        <v>9</v>
      </c>
      <c r="U528" s="46" t="s">
        <v>10</v>
      </c>
      <c r="V528" s="46" t="s">
        <v>11</v>
      </c>
      <c r="W528" s="46" t="s">
        <v>12</v>
      </c>
      <c r="X528" s="46" t="s">
        <v>13</v>
      </c>
      <c r="Y528" s="46" t="s">
        <v>14</v>
      </c>
      <c r="Z528" s="60" t="s">
        <v>15</v>
      </c>
      <c r="AA528" s="59" t="s">
        <v>8</v>
      </c>
      <c r="AB528" s="46" t="s">
        <v>9</v>
      </c>
      <c r="AC528" s="46" t="s">
        <v>10</v>
      </c>
      <c r="AD528" s="46" t="s">
        <v>11</v>
      </c>
      <c r="AE528" s="46" t="s">
        <v>12</v>
      </c>
      <c r="AF528" s="46" t="s">
        <v>13</v>
      </c>
      <c r="AG528" s="46" t="s">
        <v>14</v>
      </c>
      <c r="AH528" s="60" t="s">
        <v>15</v>
      </c>
      <c r="AI528" s="59" t="s">
        <v>8</v>
      </c>
      <c r="AJ528" s="46" t="s">
        <v>9</v>
      </c>
      <c r="AK528" s="46" t="s">
        <v>10</v>
      </c>
      <c r="AL528" s="46" t="s">
        <v>11</v>
      </c>
      <c r="AM528" s="46" t="s">
        <v>12</v>
      </c>
      <c r="AN528" s="46" t="s">
        <v>13</v>
      </c>
      <c r="AO528" s="46" t="s">
        <v>14</v>
      </c>
      <c r="AP528" s="60" t="s">
        <v>15</v>
      </c>
    </row>
    <row r="529" spans="1:42" ht="21" customHeight="1" thickTop="1" thickBot="1" x14ac:dyDescent="0.35">
      <c r="A529" s="63"/>
      <c r="B529" s="66"/>
      <c r="C529" s="52">
        <v>1</v>
      </c>
      <c r="D529" s="44">
        <v>271.54000000000002</v>
      </c>
      <c r="E529" s="44"/>
      <c r="F529" s="44"/>
      <c r="G529" s="44"/>
      <c r="H529" s="44"/>
      <c r="I529" s="44"/>
      <c r="J529" s="51"/>
      <c r="K529" s="52">
        <v>1</v>
      </c>
      <c r="L529" s="44">
        <v>271.51</v>
      </c>
      <c r="M529" s="44"/>
      <c r="N529" s="44"/>
      <c r="O529" s="44"/>
      <c r="P529" s="44"/>
      <c r="Q529" s="44"/>
      <c r="R529" s="51"/>
      <c r="S529" s="52">
        <v>1</v>
      </c>
      <c r="T529" s="44">
        <v>272.47000000000003</v>
      </c>
      <c r="U529" s="44"/>
      <c r="V529" s="44"/>
      <c r="W529" s="44"/>
      <c r="X529" s="44"/>
      <c r="Y529" s="44"/>
      <c r="Z529" s="51"/>
      <c r="AA529" s="52">
        <v>1</v>
      </c>
      <c r="AB529" s="44">
        <v>272.97000000000003</v>
      </c>
      <c r="AC529" s="44"/>
      <c r="AD529" s="44"/>
      <c r="AE529" s="44"/>
      <c r="AF529" s="44"/>
      <c r="AG529" s="44"/>
      <c r="AH529" s="51"/>
      <c r="AI529" s="52">
        <v>1</v>
      </c>
      <c r="AJ529" s="44">
        <v>273.10000000000002</v>
      </c>
      <c r="AK529" s="44"/>
      <c r="AL529" s="44"/>
      <c r="AM529" s="44"/>
      <c r="AN529" s="44"/>
      <c r="AO529" s="44"/>
      <c r="AP529" s="51"/>
    </row>
    <row r="530" spans="1:42" ht="21" customHeight="1" thickTop="1" thickBot="1" x14ac:dyDescent="0.35">
      <c r="A530" s="63"/>
      <c r="B530" s="66"/>
      <c r="C530" s="53">
        <v>2</v>
      </c>
      <c r="D530" s="45">
        <v>270.64999999999998</v>
      </c>
      <c r="E530" s="45"/>
      <c r="F530" s="45"/>
      <c r="G530" s="45"/>
      <c r="H530" s="45"/>
      <c r="I530" s="45"/>
      <c r="J530" s="51"/>
      <c r="K530" s="53">
        <v>2</v>
      </c>
      <c r="L530" s="45">
        <v>270.51</v>
      </c>
      <c r="M530" s="45"/>
      <c r="N530" s="45"/>
      <c r="O530" s="45"/>
      <c r="P530" s="45"/>
      <c r="Q530" s="45"/>
      <c r="R530" s="51"/>
      <c r="S530" s="53">
        <v>2</v>
      </c>
      <c r="T530" s="45">
        <v>271.29000000000002</v>
      </c>
      <c r="U530" s="45"/>
      <c r="V530" s="45"/>
      <c r="W530" s="45"/>
      <c r="X530" s="45"/>
      <c r="Y530" s="45"/>
      <c r="Z530" s="51"/>
      <c r="AA530" s="53">
        <v>2</v>
      </c>
      <c r="AB530" s="45">
        <v>272.83999999999997</v>
      </c>
      <c r="AC530" s="45"/>
      <c r="AD530" s="45"/>
      <c r="AE530" s="45"/>
      <c r="AF530" s="45"/>
      <c r="AG530" s="45"/>
      <c r="AH530" s="51"/>
      <c r="AI530" s="53">
        <v>2</v>
      </c>
      <c r="AJ530" s="45">
        <v>273.86999999999989</v>
      </c>
      <c r="AK530" s="45"/>
      <c r="AL530" s="45"/>
      <c r="AM530" s="45"/>
      <c r="AN530" s="45"/>
      <c r="AO530" s="45"/>
      <c r="AP530" s="51"/>
    </row>
    <row r="531" spans="1:42" ht="21" customHeight="1" thickTop="1" thickBot="1" x14ac:dyDescent="0.35">
      <c r="A531" s="63"/>
      <c r="B531" s="66"/>
      <c r="C531" s="53">
        <v>3</v>
      </c>
      <c r="D531" s="45">
        <v>268.95</v>
      </c>
      <c r="E531" s="45"/>
      <c r="F531" s="45"/>
      <c r="G531" s="44"/>
      <c r="H531" s="44"/>
      <c r="I531" s="44"/>
      <c r="J531" s="51"/>
      <c r="K531" s="53">
        <v>3</v>
      </c>
      <c r="L531" s="45">
        <v>271.76</v>
      </c>
      <c r="M531" s="45"/>
      <c r="N531" s="45"/>
      <c r="O531" s="44"/>
      <c r="P531" s="44"/>
      <c r="Q531" s="44"/>
      <c r="R531" s="51"/>
      <c r="S531" s="53">
        <v>3</v>
      </c>
      <c r="T531" s="45">
        <v>275.74</v>
      </c>
      <c r="U531" s="45"/>
      <c r="V531" s="45"/>
      <c r="W531" s="44"/>
      <c r="X531" s="44"/>
      <c r="Y531" s="44"/>
      <c r="Z531" s="51"/>
      <c r="AA531" s="53">
        <v>3</v>
      </c>
      <c r="AB531" s="45">
        <v>272.73</v>
      </c>
      <c r="AC531" s="45"/>
      <c r="AD531" s="45"/>
      <c r="AE531" s="44"/>
      <c r="AF531" s="44"/>
      <c r="AG531" s="44"/>
      <c r="AH531" s="51"/>
      <c r="AI531" s="53">
        <v>3</v>
      </c>
      <c r="AJ531" s="45">
        <v>272.64999999999998</v>
      </c>
      <c r="AK531" s="45"/>
      <c r="AL531" s="45"/>
      <c r="AM531" s="44"/>
      <c r="AN531" s="44"/>
      <c r="AO531" s="44"/>
      <c r="AP531" s="51"/>
    </row>
    <row r="532" spans="1:42" ht="21" customHeight="1" thickTop="1" thickBot="1" x14ac:dyDescent="0.35">
      <c r="A532" s="63"/>
      <c r="B532" s="66"/>
      <c r="C532" s="53">
        <v>4</v>
      </c>
      <c r="D532" s="45">
        <v>270.36</v>
      </c>
      <c r="E532" s="45"/>
      <c r="F532" s="45"/>
      <c r="G532" s="45"/>
      <c r="H532" s="45"/>
      <c r="I532" s="45"/>
      <c r="J532" s="51"/>
      <c r="K532" s="53">
        <v>4</v>
      </c>
      <c r="L532" s="45">
        <v>272.47000000000003</v>
      </c>
      <c r="M532" s="45"/>
      <c r="N532" s="45"/>
      <c r="O532" s="45"/>
      <c r="P532" s="45"/>
      <c r="Q532" s="45"/>
      <c r="R532" s="51"/>
      <c r="S532" s="53">
        <v>4</v>
      </c>
      <c r="T532" s="45">
        <v>273.42999999999989</v>
      </c>
      <c r="U532" s="45"/>
      <c r="V532" s="45"/>
      <c r="W532" s="45"/>
      <c r="X532" s="45"/>
      <c r="Y532" s="45"/>
      <c r="Z532" s="51"/>
      <c r="AA532" s="53">
        <v>4</v>
      </c>
      <c r="AB532" s="45">
        <v>272.01</v>
      </c>
      <c r="AC532" s="45"/>
      <c r="AD532" s="45"/>
      <c r="AE532" s="45"/>
      <c r="AF532" s="45"/>
      <c r="AG532" s="45"/>
      <c r="AH532" s="51"/>
      <c r="AI532" s="53">
        <v>4</v>
      </c>
      <c r="AJ532" s="45">
        <v>273.87999999999988</v>
      </c>
      <c r="AK532" s="45"/>
      <c r="AL532" s="45"/>
      <c r="AM532" s="45"/>
      <c r="AN532" s="45"/>
      <c r="AO532" s="45"/>
      <c r="AP532" s="51"/>
    </row>
    <row r="533" spans="1:42" ht="21" customHeight="1" thickTop="1" thickBot="1" x14ac:dyDescent="0.35">
      <c r="A533" s="63"/>
      <c r="B533" s="66"/>
      <c r="C533" s="53">
        <v>5</v>
      </c>
      <c r="D533" s="45">
        <v>270.39999999999998</v>
      </c>
      <c r="E533" s="45"/>
      <c r="F533" s="45"/>
      <c r="G533" s="45"/>
      <c r="H533" s="45"/>
      <c r="I533" s="45"/>
      <c r="J533" s="51"/>
      <c r="K533" s="53">
        <v>5</v>
      </c>
      <c r="L533" s="45">
        <v>270.86</v>
      </c>
      <c r="M533" s="45"/>
      <c r="N533" s="45"/>
      <c r="O533" s="45"/>
      <c r="P533" s="45"/>
      <c r="Q533" s="45"/>
      <c r="R533" s="51"/>
      <c r="S533" s="53">
        <v>5</v>
      </c>
      <c r="T533" s="45">
        <v>275.35000000000002</v>
      </c>
      <c r="U533" s="45"/>
      <c r="V533" s="45"/>
      <c r="W533" s="45"/>
      <c r="X533" s="45"/>
      <c r="Y533" s="45"/>
      <c r="Z533" s="51"/>
      <c r="AA533" s="53">
        <v>5</v>
      </c>
      <c r="AB533" s="45">
        <v>272.47000000000003</v>
      </c>
      <c r="AC533" s="45"/>
      <c r="AD533" s="45"/>
      <c r="AE533" s="45"/>
      <c r="AF533" s="45"/>
      <c r="AG533" s="45"/>
      <c r="AH533" s="51"/>
      <c r="AI533" s="53">
        <v>5</v>
      </c>
      <c r="AJ533" s="45">
        <v>272.99999999999989</v>
      </c>
      <c r="AK533" s="45"/>
      <c r="AL533" s="45"/>
      <c r="AM533" s="45"/>
      <c r="AN533" s="45"/>
      <c r="AO533" s="45"/>
      <c r="AP533" s="51"/>
    </row>
    <row r="534" spans="1:42" ht="21" customHeight="1" thickTop="1" thickBot="1" x14ac:dyDescent="0.35">
      <c r="A534" s="63"/>
      <c r="B534" s="66"/>
      <c r="C534" s="53">
        <v>6</v>
      </c>
      <c r="D534" s="45">
        <v>270.27</v>
      </c>
      <c r="E534" s="45"/>
      <c r="F534" s="45"/>
      <c r="G534" s="45"/>
      <c r="H534" s="45"/>
      <c r="I534" s="45"/>
      <c r="J534" s="51"/>
      <c r="K534" s="53">
        <v>6</v>
      </c>
      <c r="L534" s="45">
        <v>271.55</v>
      </c>
      <c r="M534" s="45"/>
      <c r="N534" s="45"/>
      <c r="O534" s="45"/>
      <c r="P534" s="45"/>
      <c r="Q534" s="45"/>
      <c r="R534" s="51"/>
      <c r="S534" s="53">
        <v>6</v>
      </c>
      <c r="T534" s="45">
        <v>271.60000000000002</v>
      </c>
      <c r="U534" s="45"/>
      <c r="V534" s="45"/>
      <c r="W534" s="45"/>
      <c r="X534" s="45"/>
      <c r="Y534" s="45"/>
      <c r="Z534" s="51"/>
      <c r="AA534" s="53">
        <v>6</v>
      </c>
      <c r="AB534" s="45">
        <v>272.47000000000003</v>
      </c>
      <c r="AC534" s="45"/>
      <c r="AD534" s="45"/>
      <c r="AE534" s="45"/>
      <c r="AF534" s="45"/>
      <c r="AG534" s="45"/>
      <c r="AH534" s="51"/>
      <c r="AI534" s="53">
        <v>6</v>
      </c>
      <c r="AJ534" s="45">
        <v>273.97000000000003</v>
      </c>
      <c r="AK534" s="45"/>
      <c r="AL534" s="45"/>
      <c r="AM534" s="45"/>
      <c r="AN534" s="45"/>
      <c r="AO534" s="45"/>
      <c r="AP534" s="51"/>
    </row>
    <row r="535" spans="1:42" ht="21" customHeight="1" thickTop="1" thickBot="1" x14ac:dyDescent="0.35">
      <c r="A535" s="63"/>
      <c r="B535" s="66"/>
      <c r="C535" s="53">
        <v>7</v>
      </c>
      <c r="D535" s="45">
        <v>270.42</v>
      </c>
      <c r="E535" s="45"/>
      <c r="F535" s="45"/>
      <c r="G535" s="45"/>
      <c r="H535" s="45"/>
      <c r="I535" s="45"/>
      <c r="J535" s="51"/>
      <c r="K535" s="53">
        <v>7</v>
      </c>
      <c r="L535" s="45">
        <v>272.47000000000003</v>
      </c>
      <c r="M535" s="45"/>
      <c r="N535" s="45"/>
      <c r="O535" s="45"/>
      <c r="P535" s="45"/>
      <c r="Q535" s="45"/>
      <c r="R535" s="51"/>
      <c r="S535" s="53">
        <v>7</v>
      </c>
      <c r="T535" s="45">
        <v>271.11</v>
      </c>
      <c r="U535" s="45"/>
      <c r="V535" s="45"/>
      <c r="W535" s="45"/>
      <c r="X535" s="45"/>
      <c r="Y535" s="45"/>
      <c r="Z535" s="51"/>
      <c r="AA535" s="53">
        <v>7</v>
      </c>
      <c r="AB535" s="45">
        <v>272.35000000000002</v>
      </c>
      <c r="AC535" s="45"/>
      <c r="AD535" s="45"/>
      <c r="AE535" s="45"/>
      <c r="AF535" s="45"/>
      <c r="AG535" s="45"/>
      <c r="AH535" s="51"/>
      <c r="AI535" s="53">
        <v>7</v>
      </c>
      <c r="AJ535" s="45">
        <v>273.57</v>
      </c>
      <c r="AK535" s="45"/>
      <c r="AL535" s="45"/>
      <c r="AM535" s="45"/>
      <c r="AN535" s="45"/>
      <c r="AO535" s="45"/>
      <c r="AP535" s="51"/>
    </row>
    <row r="536" spans="1:42" ht="21" customHeight="1" thickTop="1" thickBot="1" x14ac:dyDescent="0.35">
      <c r="A536" s="63"/>
      <c r="B536" s="66"/>
      <c r="C536" s="53">
        <v>8</v>
      </c>
      <c r="D536" s="45">
        <v>270.20999999999998</v>
      </c>
      <c r="E536" s="45"/>
      <c r="F536" s="45"/>
      <c r="G536" s="45"/>
      <c r="H536" s="45"/>
      <c r="I536" s="45"/>
      <c r="J536" s="51"/>
      <c r="K536" s="53">
        <v>8</v>
      </c>
      <c r="L536" s="45">
        <v>271.55</v>
      </c>
      <c r="M536" s="45"/>
      <c r="N536" s="45"/>
      <c r="O536" s="45"/>
      <c r="P536" s="45"/>
      <c r="Q536" s="45"/>
      <c r="R536" s="51"/>
      <c r="S536" s="53">
        <v>8</v>
      </c>
      <c r="T536" s="45">
        <v>271.45</v>
      </c>
      <c r="U536" s="45"/>
      <c r="V536" s="45"/>
      <c r="W536" s="45"/>
      <c r="X536" s="45"/>
      <c r="Y536" s="45"/>
      <c r="Z536" s="51"/>
      <c r="AA536" s="53">
        <v>8</v>
      </c>
      <c r="AB536" s="45">
        <v>270.72000000000003</v>
      </c>
      <c r="AC536" s="45"/>
      <c r="AD536" s="45"/>
      <c r="AE536" s="45"/>
      <c r="AF536" s="45"/>
      <c r="AG536" s="45"/>
      <c r="AH536" s="51"/>
      <c r="AI536" s="53">
        <v>8</v>
      </c>
      <c r="AJ536" s="45">
        <v>274.49</v>
      </c>
      <c r="AK536" s="45"/>
      <c r="AL536" s="45"/>
      <c r="AM536" s="45"/>
      <c r="AN536" s="45"/>
      <c r="AO536" s="45"/>
      <c r="AP536" s="51"/>
    </row>
    <row r="537" spans="1:42" ht="21" customHeight="1" thickTop="1" thickBot="1" x14ac:dyDescent="0.35">
      <c r="A537" s="63"/>
      <c r="B537" s="66"/>
      <c r="C537" s="53">
        <v>9</v>
      </c>
      <c r="D537" s="45">
        <v>268.95</v>
      </c>
      <c r="E537" s="45"/>
      <c r="F537" s="45"/>
      <c r="G537" s="45"/>
      <c r="H537" s="45"/>
      <c r="I537" s="45"/>
      <c r="J537" s="51"/>
      <c r="K537" s="53">
        <v>9</v>
      </c>
      <c r="L537" s="45">
        <v>271.55</v>
      </c>
      <c r="M537" s="45"/>
      <c r="N537" s="45"/>
      <c r="O537" s="45"/>
      <c r="P537" s="45"/>
      <c r="Q537" s="45"/>
      <c r="R537" s="51"/>
      <c r="S537" s="53">
        <v>9</v>
      </c>
      <c r="T537" s="45">
        <v>272.11999999999989</v>
      </c>
      <c r="U537" s="45"/>
      <c r="V537" s="45"/>
      <c r="W537" s="45"/>
      <c r="X537" s="45"/>
      <c r="Y537" s="45"/>
      <c r="Z537" s="51"/>
      <c r="AA537" s="53">
        <v>9</v>
      </c>
      <c r="AB537" s="45">
        <v>271.19999999999987</v>
      </c>
      <c r="AC537" s="45"/>
      <c r="AD537" s="45"/>
      <c r="AE537" s="45"/>
      <c r="AF537" s="45"/>
      <c r="AG537" s="45"/>
      <c r="AH537" s="51"/>
      <c r="AI537" s="53">
        <v>9</v>
      </c>
      <c r="AJ537" s="45">
        <v>272.79000000000002</v>
      </c>
      <c r="AK537" s="45"/>
      <c r="AL537" s="45"/>
      <c r="AM537" s="45"/>
      <c r="AN537" s="45"/>
      <c r="AO537" s="45"/>
      <c r="AP537" s="51"/>
    </row>
    <row r="538" spans="1:42" ht="21" customHeight="1" thickTop="1" thickBot="1" x14ac:dyDescent="0.35">
      <c r="A538" s="63"/>
      <c r="B538" s="66"/>
      <c r="C538" s="53">
        <v>10</v>
      </c>
      <c r="D538" s="45">
        <v>270.11</v>
      </c>
      <c r="E538" s="45"/>
      <c r="F538" s="45"/>
      <c r="G538" s="45"/>
      <c r="H538" s="45"/>
      <c r="I538" s="45"/>
      <c r="J538" s="51"/>
      <c r="K538" s="53">
        <v>10</v>
      </c>
      <c r="L538" s="45">
        <v>272.27999999999997</v>
      </c>
      <c r="M538" s="45"/>
      <c r="N538" s="45"/>
      <c r="O538" s="45"/>
      <c r="P538" s="45"/>
      <c r="Q538" s="45"/>
      <c r="R538" s="51"/>
      <c r="S538" s="53">
        <v>10</v>
      </c>
      <c r="T538" s="45">
        <v>271.68999999999988</v>
      </c>
      <c r="U538" s="45"/>
      <c r="V538" s="45"/>
      <c r="W538" s="45"/>
      <c r="X538" s="45"/>
      <c r="Y538" s="45"/>
      <c r="Z538" s="51"/>
      <c r="AA538" s="53">
        <v>10</v>
      </c>
      <c r="AB538" s="45">
        <v>270.91000000000003</v>
      </c>
      <c r="AC538" s="45"/>
      <c r="AD538" s="45"/>
      <c r="AE538" s="45"/>
      <c r="AF538" s="45"/>
      <c r="AG538" s="45"/>
      <c r="AH538" s="51"/>
      <c r="AI538" s="53">
        <v>10</v>
      </c>
      <c r="AJ538" s="45">
        <v>273.09999999999991</v>
      </c>
      <c r="AK538" s="45"/>
      <c r="AL538" s="45"/>
      <c r="AM538" s="45"/>
      <c r="AN538" s="45"/>
      <c r="AO538" s="45"/>
      <c r="AP538" s="51"/>
    </row>
    <row r="539" spans="1:42" ht="21" customHeight="1" thickTop="1" thickBot="1" x14ac:dyDescent="0.35">
      <c r="A539" s="63"/>
      <c r="B539" s="66"/>
      <c r="C539" s="53"/>
      <c r="D539" s="45"/>
      <c r="E539" s="45"/>
      <c r="F539" s="45"/>
      <c r="G539" s="45"/>
      <c r="H539" s="45"/>
      <c r="I539" s="45"/>
      <c r="J539" s="51"/>
      <c r="K539" s="53"/>
      <c r="L539" s="45"/>
      <c r="M539" s="45"/>
      <c r="N539" s="45"/>
      <c r="O539" s="45"/>
      <c r="P539" s="45"/>
      <c r="Q539" s="45"/>
      <c r="R539" s="51"/>
      <c r="S539" s="53"/>
      <c r="T539" s="45"/>
      <c r="U539" s="45"/>
      <c r="V539" s="45"/>
      <c r="W539" s="45"/>
      <c r="X539" s="45"/>
      <c r="Y539" s="45"/>
      <c r="Z539" s="51"/>
      <c r="AA539" s="53"/>
      <c r="AB539" s="45"/>
      <c r="AC539" s="45"/>
      <c r="AD539" s="45"/>
      <c r="AE539" s="45"/>
      <c r="AF539" s="45"/>
      <c r="AG539" s="45"/>
      <c r="AH539" s="51"/>
      <c r="AI539" s="53"/>
      <c r="AJ539" s="45"/>
      <c r="AK539" s="45"/>
      <c r="AL539" s="45"/>
      <c r="AM539" s="45"/>
      <c r="AN539" s="45"/>
      <c r="AO539" s="45"/>
      <c r="AP539" s="51"/>
    </row>
    <row r="540" spans="1:42" ht="21" customHeight="1" thickTop="1" thickBot="1" x14ac:dyDescent="0.35">
      <c r="A540" s="63"/>
      <c r="B540" s="66"/>
      <c r="C540" s="54" t="s">
        <v>16</v>
      </c>
      <c r="D540" s="49">
        <f>MIN(D529:D538)</f>
        <v>268.95</v>
      </c>
      <c r="E540" s="45"/>
      <c r="F540" s="55" t="s">
        <v>17</v>
      </c>
      <c r="G540" s="49" t="s">
        <v>18</v>
      </c>
      <c r="H540" s="49" t="s">
        <v>19</v>
      </c>
      <c r="I540" s="45"/>
      <c r="J540" s="51"/>
      <c r="K540" s="54" t="s">
        <v>16</v>
      </c>
      <c r="L540" s="49">
        <f>MIN(L529:L538)</f>
        <v>270.51</v>
      </c>
      <c r="M540" s="45"/>
      <c r="N540" s="55" t="s">
        <v>17</v>
      </c>
      <c r="O540" s="49" t="s">
        <v>18</v>
      </c>
      <c r="P540" s="49" t="s">
        <v>19</v>
      </c>
      <c r="Q540" s="45"/>
      <c r="R540" s="51"/>
      <c r="S540" s="54" t="s">
        <v>16</v>
      </c>
      <c r="T540" s="49">
        <f>MIN(T529:T538)</f>
        <v>271.11</v>
      </c>
      <c r="U540" s="45"/>
      <c r="V540" s="55" t="s">
        <v>17</v>
      </c>
      <c r="W540" s="49" t="s">
        <v>18</v>
      </c>
      <c r="X540" s="49" t="s">
        <v>19</v>
      </c>
      <c r="Y540" s="45"/>
      <c r="Z540" s="51"/>
      <c r="AA540" s="54" t="s">
        <v>16</v>
      </c>
      <c r="AB540" s="49">
        <f>MIN(AB529:AB538)</f>
        <v>270.72000000000003</v>
      </c>
      <c r="AC540" s="45"/>
      <c r="AD540" s="55" t="s">
        <v>17</v>
      </c>
      <c r="AE540" s="49" t="s">
        <v>18</v>
      </c>
      <c r="AF540" s="49" t="s">
        <v>19</v>
      </c>
      <c r="AG540" s="45"/>
      <c r="AH540" s="51"/>
      <c r="AI540" s="54" t="s">
        <v>16</v>
      </c>
      <c r="AJ540" s="49">
        <f>MIN(AJ529:AJ538)</f>
        <v>272.64999999999998</v>
      </c>
      <c r="AK540" s="45"/>
      <c r="AL540" s="55" t="s">
        <v>17</v>
      </c>
      <c r="AM540" s="49" t="s">
        <v>18</v>
      </c>
      <c r="AN540" s="49" t="s">
        <v>19</v>
      </c>
      <c r="AO540" s="45"/>
      <c r="AP540" s="51"/>
    </row>
    <row r="541" spans="1:42" ht="21" customHeight="1" thickTop="1" thickBot="1" x14ac:dyDescent="0.35">
      <c r="A541" s="63"/>
      <c r="B541" s="66"/>
      <c r="C541" s="54" t="s">
        <v>20</v>
      </c>
      <c r="D541" s="48">
        <f>AVERAGE(D529:D538)</f>
        <v>270.18600000000004</v>
      </c>
      <c r="E541" s="47"/>
      <c r="F541" s="48">
        <f>_xlfn.STDEV.S(D529:D538) / AVERAGE(D529:D538) * 100%</f>
        <v>2.826329209997988E-3</v>
      </c>
      <c r="G541" s="48">
        <f t="array" ref="G541">MIN((D529:D538 - MIN(D529:D538,L529:L538,T529:T538,AB529:AB538,AJ529:AJ538))/MIN(D529:D538,L529:L538,T529:T538,AB529:AB538,AJ529:AJ538)*100%)</f>
        <v>0</v>
      </c>
      <c r="H541" s="48">
        <f t="array" ref="H541">AVERAGE((D529:D538 - MIN(D529:D538,L529:L538,T529:T538,AB529:AB538,AJ529:AJ538))/MIN(D529:D538,L529:L538,T529:T538,AB529:AB538,AJ529:AJ538)*100%)</f>
        <v>4.595649749024008E-3</v>
      </c>
      <c r="I541" s="45"/>
      <c r="J541" s="51"/>
      <c r="K541" s="54" t="s">
        <v>20</v>
      </c>
      <c r="L541" s="48">
        <f>AVERAGE(L529:L538)</f>
        <v>271.65100000000001</v>
      </c>
      <c r="M541" s="47"/>
      <c r="N541" s="48">
        <f>_xlfn.STDEV.S(L529:L538) / AVERAGE(L529:L538) * 100%</f>
        <v>2.3689308145931139E-3</v>
      </c>
      <c r="O541" s="48">
        <f t="array" ref="O541">MIN((L529:L538 - MIN(D529:D538,L529:L538,T529:T538,AB529:AB538,AJ529:AJ538))/MIN(D529:D538,L529:L538,T529:T538,AB529:AB538,AJ529:AJ538)*100%)</f>
        <v>5.8003346346904719E-3</v>
      </c>
      <c r="P541" s="48">
        <f t="array" ref="P541">AVERAGE((L529:L538 - MIN(D529:D538,L529:L538,T529:T538,AB529:AB538,AJ529:AJ538))/MIN(D529:D538,L529:L538,T529:T538,AB529:AB538,AJ529:AJ538)*100%)</f>
        <v>1.0042758877114767E-2</v>
      </c>
      <c r="Q541" s="44"/>
      <c r="R541" s="51"/>
      <c r="S541" s="54" t="s">
        <v>20</v>
      </c>
      <c r="T541" s="48">
        <f>AVERAGE(T529:T538)</f>
        <v>272.62499999999994</v>
      </c>
      <c r="U541" s="47"/>
      <c r="V541" s="48">
        <f>_xlfn.STDEV.S(T529:T538) / AVERAGE(T529:T538) * 100%</f>
        <v>6.1668275503146608E-3</v>
      </c>
      <c r="W541" s="48">
        <f t="array" ref="W541">MIN((T529:T538 - MIN(D529:D538,L529:L538,T529:T538,AB529:AB538,AJ529:AJ538))/MIN(D529:D538,L529:L538,T529:T538,AB529:AB538,AJ529:AJ538)*100%)</f>
        <v>8.0312325711099659E-3</v>
      </c>
      <c r="X541" s="48">
        <f t="array" ref="X541">AVERAGE((T529:T538 - MIN(D529:D538,L529:L538,T529:T538,AB529:AB538,AJ529:AJ538))/MIN(D529:D538,L529:L538,T529:T538,AB529:AB538,AJ529:AJ538)*100%)</f>
        <v>1.3664249860568837E-2</v>
      </c>
      <c r="Y541" s="44"/>
      <c r="Z541" s="51"/>
      <c r="AA541" s="54" t="s">
        <v>20</v>
      </c>
      <c r="AB541" s="48">
        <f>AVERAGE(AB529:AB538)</f>
        <v>272.06700000000001</v>
      </c>
      <c r="AC541" s="47"/>
      <c r="AD541" s="48">
        <f>_xlfn.STDEV.S(AB529:AB538) / AVERAGE(AB529:AB538) * 100%</f>
        <v>3.0421726579202379E-3</v>
      </c>
      <c r="AE541" s="48">
        <f t="array" ref="AE541">MIN((AB529:AB538 - MIN(D529:D538,L529:L538,T529:T538,AB529:AB538,AJ529:AJ538))/MIN(D529:D538,L529:L538,T529:T538,AB529:AB538,AJ529:AJ538)*100%)</f>
        <v>6.5811489124374001E-3</v>
      </c>
      <c r="AF541" s="48">
        <f t="array" ref="AF541">AVERAGE((AB529:AB538 - MIN(D529:D538,L529:L538,T529:T538,AB529:AB538,AJ529:AJ538))/MIN(D529:D538,L529:L538,T529:T538,AB529:AB538,AJ529:AJ538)*100%)</f>
        <v>1.1589514779698875E-2</v>
      </c>
      <c r="AG541" s="44"/>
      <c r="AH541" s="51"/>
      <c r="AI541" s="54" t="s">
        <v>20</v>
      </c>
      <c r="AJ541" s="48">
        <f>AVERAGE(AJ529:AJ538)</f>
        <v>273.44199999999995</v>
      </c>
      <c r="AK541" s="47"/>
      <c r="AL541" s="48">
        <f>_xlfn.STDEV.S(AJ529:AJ538) / AVERAGE(AJ529:AJ538) * 100%</f>
        <v>2.1976872770112631E-3</v>
      </c>
      <c r="AM541" s="48">
        <f t="array" ref="AM541">MIN((AJ529:AJ538 - MIN(D529:D538,L529:L538,T529:T538,AB529:AB538,AJ529:AJ538))/MIN(D529:D538,L529:L538,T529:T538,AB529:AB538,AJ529:AJ538)*100%)</f>
        <v>1.3757203941252979E-2</v>
      </c>
      <c r="AN541" s="48">
        <f t="array" ref="AN541">AVERAGE((AJ529:AJ538 - MIN(D529:D538,L529:L538,T529:T538,AB529:AB538,AJ529:AJ538))/MIN(D529:D538,L529:L538,T529:T538,AB529:AB538,AJ529:AJ538)*100%)</f>
        <v>1.6701989217326543E-2</v>
      </c>
      <c r="AO541" s="44"/>
      <c r="AP541" s="51"/>
    </row>
    <row r="542" spans="1:42" ht="21" customHeight="1" thickTop="1" thickBot="1" x14ac:dyDescent="0.35">
      <c r="A542" s="63"/>
      <c r="B542" s="67"/>
      <c r="C542" s="53"/>
      <c r="D542" s="44"/>
      <c r="E542" s="44"/>
      <c r="F542" s="44"/>
      <c r="G542" s="44"/>
      <c r="H542" s="44"/>
      <c r="I542" s="44"/>
      <c r="J542" s="51"/>
      <c r="K542" s="53"/>
      <c r="L542" s="44"/>
      <c r="M542" s="44"/>
      <c r="N542" s="44"/>
      <c r="O542" s="44"/>
      <c r="P542" s="44"/>
      <c r="Q542" s="44"/>
      <c r="R542" s="51"/>
      <c r="S542" s="53"/>
      <c r="T542" s="44"/>
      <c r="U542" s="44"/>
      <c r="V542" s="44"/>
      <c r="W542" s="44"/>
      <c r="X542" s="44"/>
      <c r="Y542" s="44"/>
      <c r="Z542" s="51"/>
      <c r="AA542" s="53"/>
      <c r="AB542" s="44"/>
      <c r="AC542" s="44"/>
      <c r="AD542" s="44"/>
      <c r="AE542" s="44"/>
      <c r="AF542" s="44"/>
      <c r="AG542" s="44"/>
      <c r="AH542" s="51"/>
      <c r="AI542" s="53"/>
      <c r="AJ542" s="44"/>
      <c r="AK542" s="44"/>
      <c r="AL542" s="44"/>
      <c r="AM542" s="44"/>
      <c r="AN542" s="44"/>
      <c r="AO542" s="44"/>
      <c r="AP542" s="51"/>
    </row>
    <row r="543" spans="1:42" ht="21" customHeight="1" thickTop="1" thickBot="1" x14ac:dyDescent="0.35">
      <c r="A543" s="63"/>
      <c r="B543" s="65" t="s">
        <v>102</v>
      </c>
      <c r="C543" s="59" t="s">
        <v>8</v>
      </c>
      <c r="D543" s="46" t="s">
        <v>9</v>
      </c>
      <c r="E543" s="46" t="s">
        <v>10</v>
      </c>
      <c r="F543" s="46" t="s">
        <v>11</v>
      </c>
      <c r="G543" s="46" t="s">
        <v>12</v>
      </c>
      <c r="H543" s="46" t="s">
        <v>13</v>
      </c>
      <c r="I543" s="46" t="s">
        <v>14</v>
      </c>
      <c r="J543" s="60" t="s">
        <v>15</v>
      </c>
      <c r="K543" s="59" t="s">
        <v>8</v>
      </c>
      <c r="L543" s="46" t="s">
        <v>9</v>
      </c>
      <c r="M543" s="46" t="s">
        <v>10</v>
      </c>
      <c r="N543" s="46" t="s">
        <v>11</v>
      </c>
      <c r="O543" s="46" t="s">
        <v>12</v>
      </c>
      <c r="P543" s="46" t="s">
        <v>13</v>
      </c>
      <c r="Q543" s="46" t="s">
        <v>14</v>
      </c>
      <c r="R543" s="60" t="s">
        <v>15</v>
      </c>
      <c r="S543" s="59" t="s">
        <v>8</v>
      </c>
      <c r="T543" s="46" t="s">
        <v>9</v>
      </c>
      <c r="U543" s="46" t="s">
        <v>10</v>
      </c>
      <c r="V543" s="46" t="s">
        <v>11</v>
      </c>
      <c r="W543" s="46" t="s">
        <v>12</v>
      </c>
      <c r="X543" s="46" t="s">
        <v>13</v>
      </c>
      <c r="Y543" s="46" t="s">
        <v>14</v>
      </c>
      <c r="Z543" s="60" t="s">
        <v>15</v>
      </c>
      <c r="AA543" s="59" t="s">
        <v>8</v>
      </c>
      <c r="AB543" s="46" t="s">
        <v>9</v>
      </c>
      <c r="AC543" s="46" t="s">
        <v>10</v>
      </c>
      <c r="AD543" s="46" t="s">
        <v>11</v>
      </c>
      <c r="AE543" s="46" t="s">
        <v>12</v>
      </c>
      <c r="AF543" s="46" t="s">
        <v>13</v>
      </c>
      <c r="AG543" s="46" t="s">
        <v>14</v>
      </c>
      <c r="AH543" s="60" t="s">
        <v>15</v>
      </c>
      <c r="AI543" s="59" t="s">
        <v>8</v>
      </c>
      <c r="AJ543" s="46" t="s">
        <v>9</v>
      </c>
      <c r="AK543" s="46" t="s">
        <v>10</v>
      </c>
      <c r="AL543" s="46" t="s">
        <v>11</v>
      </c>
      <c r="AM543" s="46" t="s">
        <v>12</v>
      </c>
      <c r="AN543" s="46" t="s">
        <v>13</v>
      </c>
      <c r="AO543" s="46" t="s">
        <v>14</v>
      </c>
      <c r="AP543" s="60" t="s">
        <v>15</v>
      </c>
    </row>
    <row r="544" spans="1:42" ht="21" customHeight="1" thickTop="1" thickBot="1" x14ac:dyDescent="0.35">
      <c r="A544" s="63"/>
      <c r="B544" s="66"/>
      <c r="C544" s="52">
        <v>1</v>
      </c>
      <c r="D544" s="44">
        <v>276.83</v>
      </c>
      <c r="E544" s="44"/>
      <c r="F544" s="44"/>
      <c r="G544" s="44"/>
      <c r="H544" s="44"/>
      <c r="I544" s="44"/>
      <c r="J544" s="51"/>
      <c r="K544" s="52">
        <v>1</v>
      </c>
      <c r="L544" s="44">
        <v>277.33</v>
      </c>
      <c r="M544" s="44"/>
      <c r="N544" s="44"/>
      <c r="O544" s="44"/>
      <c r="P544" s="44"/>
      <c r="Q544" s="44"/>
      <c r="R544" s="51"/>
      <c r="S544" s="52">
        <v>1</v>
      </c>
      <c r="T544" s="44">
        <v>278.51</v>
      </c>
      <c r="U544" s="44"/>
      <c r="V544" s="44"/>
      <c r="W544" s="44"/>
      <c r="X544" s="44"/>
      <c r="Y544" s="44"/>
      <c r="Z544" s="51"/>
      <c r="AA544" s="52">
        <v>1</v>
      </c>
      <c r="AB544" s="44">
        <v>276.87999999999988</v>
      </c>
      <c r="AC544" s="44"/>
      <c r="AD544" s="44"/>
      <c r="AE544" s="44"/>
      <c r="AF544" s="44"/>
      <c r="AG544" s="44"/>
      <c r="AH544" s="51"/>
      <c r="AI544" s="52">
        <v>1</v>
      </c>
      <c r="AJ544" s="44">
        <v>277.69</v>
      </c>
      <c r="AK544" s="44"/>
      <c r="AL544" s="44"/>
      <c r="AM544" s="44"/>
      <c r="AN544" s="44"/>
      <c r="AO544" s="44"/>
      <c r="AP544" s="51"/>
    </row>
    <row r="545" spans="1:42" ht="21" customHeight="1" thickTop="1" thickBot="1" x14ac:dyDescent="0.35">
      <c r="A545" s="63"/>
      <c r="B545" s="66"/>
      <c r="C545" s="53">
        <v>2</v>
      </c>
      <c r="D545" s="45">
        <v>277.01</v>
      </c>
      <c r="E545" s="45"/>
      <c r="F545" s="45"/>
      <c r="G545" s="45"/>
      <c r="H545" s="45"/>
      <c r="I545" s="45"/>
      <c r="J545" s="51"/>
      <c r="K545" s="53">
        <v>2</v>
      </c>
      <c r="L545" s="45">
        <v>276.92</v>
      </c>
      <c r="M545" s="45"/>
      <c r="N545" s="45"/>
      <c r="O545" s="45"/>
      <c r="P545" s="45"/>
      <c r="Q545" s="45"/>
      <c r="R545" s="51"/>
      <c r="S545" s="53">
        <v>2</v>
      </c>
      <c r="T545" s="45">
        <v>278.95</v>
      </c>
      <c r="U545" s="45"/>
      <c r="V545" s="45"/>
      <c r="W545" s="45"/>
      <c r="X545" s="45"/>
      <c r="Y545" s="45"/>
      <c r="Z545" s="51"/>
      <c r="AA545" s="53">
        <v>2</v>
      </c>
      <c r="AB545" s="45">
        <v>276.7299999999999</v>
      </c>
      <c r="AC545" s="45"/>
      <c r="AD545" s="45"/>
      <c r="AE545" s="45"/>
      <c r="AF545" s="45"/>
      <c r="AG545" s="45"/>
      <c r="AH545" s="51"/>
      <c r="AI545" s="53">
        <v>2</v>
      </c>
      <c r="AJ545" s="45">
        <v>277.73</v>
      </c>
      <c r="AK545" s="45"/>
      <c r="AL545" s="45"/>
      <c r="AM545" s="45"/>
      <c r="AN545" s="45"/>
      <c r="AO545" s="45"/>
      <c r="AP545" s="51"/>
    </row>
    <row r="546" spans="1:42" ht="21" customHeight="1" thickTop="1" thickBot="1" x14ac:dyDescent="0.35">
      <c r="A546" s="63"/>
      <c r="B546" s="66"/>
      <c r="C546" s="53">
        <v>3</v>
      </c>
      <c r="D546" s="45">
        <v>275.67</v>
      </c>
      <c r="E546" s="45"/>
      <c r="F546" s="45"/>
      <c r="G546" s="44"/>
      <c r="H546" s="44"/>
      <c r="I546" s="44"/>
      <c r="J546" s="51"/>
      <c r="K546" s="53">
        <v>3</v>
      </c>
      <c r="L546" s="45">
        <v>278.16000000000003</v>
      </c>
      <c r="M546" s="45"/>
      <c r="N546" s="45"/>
      <c r="O546" s="44"/>
      <c r="P546" s="44"/>
      <c r="Q546" s="44"/>
      <c r="R546" s="51"/>
      <c r="S546" s="53">
        <v>3</v>
      </c>
      <c r="T546" s="45">
        <v>279.12999999999988</v>
      </c>
      <c r="U546" s="45"/>
      <c r="V546" s="45"/>
      <c r="W546" s="44"/>
      <c r="X546" s="44"/>
      <c r="Y546" s="44"/>
      <c r="Z546" s="51"/>
      <c r="AA546" s="53">
        <v>3</v>
      </c>
      <c r="AB546" s="45">
        <v>276.32</v>
      </c>
      <c r="AC546" s="45"/>
      <c r="AD546" s="45"/>
      <c r="AE546" s="44"/>
      <c r="AF546" s="44"/>
      <c r="AG546" s="44"/>
      <c r="AH546" s="51"/>
      <c r="AI546" s="53">
        <v>3</v>
      </c>
      <c r="AJ546" s="45">
        <v>276.97000000000003</v>
      </c>
      <c r="AK546" s="45"/>
      <c r="AL546" s="45"/>
      <c r="AM546" s="44"/>
      <c r="AN546" s="44"/>
      <c r="AO546" s="44"/>
      <c r="AP546" s="51"/>
    </row>
    <row r="547" spans="1:42" ht="21" customHeight="1" thickTop="1" thickBot="1" x14ac:dyDescent="0.35">
      <c r="A547" s="63"/>
      <c r="B547" s="66"/>
      <c r="C547" s="53">
        <v>4</v>
      </c>
      <c r="D547" s="45">
        <v>276.97000000000003</v>
      </c>
      <c r="E547" s="45"/>
      <c r="F547" s="45"/>
      <c r="G547" s="45"/>
      <c r="H547" s="45"/>
      <c r="I547" s="45"/>
      <c r="J547" s="51"/>
      <c r="K547" s="53">
        <v>4</v>
      </c>
      <c r="L547" s="45">
        <v>277.36</v>
      </c>
      <c r="M547" s="45"/>
      <c r="N547" s="45"/>
      <c r="O547" s="45"/>
      <c r="P547" s="45"/>
      <c r="Q547" s="45"/>
      <c r="R547" s="51"/>
      <c r="S547" s="53">
        <v>4</v>
      </c>
      <c r="T547" s="45">
        <v>278.12</v>
      </c>
      <c r="U547" s="45"/>
      <c r="V547" s="45"/>
      <c r="W547" s="45"/>
      <c r="X547" s="45"/>
      <c r="Y547" s="45"/>
      <c r="Z547" s="51"/>
      <c r="AA547" s="53">
        <v>4</v>
      </c>
      <c r="AB547" s="45">
        <v>277.99999999999989</v>
      </c>
      <c r="AC547" s="45"/>
      <c r="AD547" s="45"/>
      <c r="AE547" s="45"/>
      <c r="AF547" s="45"/>
      <c r="AG547" s="45"/>
      <c r="AH547" s="51"/>
      <c r="AI547" s="53">
        <v>4</v>
      </c>
      <c r="AJ547" s="45">
        <v>277.27999999999997</v>
      </c>
      <c r="AK547" s="45"/>
      <c r="AL547" s="45"/>
      <c r="AM547" s="45"/>
      <c r="AN547" s="45"/>
      <c r="AO547" s="45"/>
      <c r="AP547" s="51"/>
    </row>
    <row r="548" spans="1:42" ht="21" customHeight="1" thickTop="1" thickBot="1" x14ac:dyDescent="0.35">
      <c r="A548" s="63"/>
      <c r="B548" s="66"/>
      <c r="C548" s="53">
        <v>5</v>
      </c>
      <c r="D548" s="45">
        <v>276.23</v>
      </c>
      <c r="E548" s="45"/>
      <c r="F548" s="45"/>
      <c r="G548" s="45"/>
      <c r="H548" s="45"/>
      <c r="I548" s="45"/>
      <c r="J548" s="51"/>
      <c r="K548" s="53">
        <v>5</v>
      </c>
      <c r="L548" s="45">
        <v>277.83999999999997</v>
      </c>
      <c r="M548" s="45"/>
      <c r="N548" s="45"/>
      <c r="O548" s="45"/>
      <c r="P548" s="45"/>
      <c r="Q548" s="45"/>
      <c r="R548" s="51"/>
      <c r="S548" s="53">
        <v>5</v>
      </c>
      <c r="T548" s="45">
        <v>279.45999999999998</v>
      </c>
      <c r="U548" s="45"/>
      <c r="V548" s="45"/>
      <c r="W548" s="45"/>
      <c r="X548" s="45"/>
      <c r="Y548" s="45"/>
      <c r="Z548" s="51"/>
      <c r="AA548" s="53">
        <v>5</v>
      </c>
      <c r="AB548" s="45">
        <v>277.77999999999997</v>
      </c>
      <c r="AC548" s="45"/>
      <c r="AD548" s="45"/>
      <c r="AE548" s="45"/>
      <c r="AF548" s="45"/>
      <c r="AG548" s="45"/>
      <c r="AH548" s="51"/>
      <c r="AI548" s="53">
        <v>5</v>
      </c>
      <c r="AJ548" s="45">
        <v>276.97000000000003</v>
      </c>
      <c r="AK548" s="45"/>
      <c r="AL548" s="45"/>
      <c r="AM548" s="45"/>
      <c r="AN548" s="45"/>
      <c r="AO548" s="45"/>
      <c r="AP548" s="51"/>
    </row>
    <row r="549" spans="1:42" ht="21" customHeight="1" thickTop="1" thickBot="1" x14ac:dyDescent="0.35">
      <c r="A549" s="63"/>
      <c r="B549" s="66"/>
      <c r="C549" s="53">
        <v>6</v>
      </c>
      <c r="D549" s="45">
        <v>276.58</v>
      </c>
      <c r="E549" s="45"/>
      <c r="F549" s="45"/>
      <c r="G549" s="45"/>
      <c r="H549" s="45"/>
      <c r="I549" s="45"/>
      <c r="J549" s="51"/>
      <c r="K549" s="53">
        <v>6</v>
      </c>
      <c r="L549" s="45">
        <v>278.35000000000002</v>
      </c>
      <c r="M549" s="45"/>
      <c r="N549" s="45"/>
      <c r="O549" s="45"/>
      <c r="P549" s="45"/>
      <c r="Q549" s="45"/>
      <c r="R549" s="51"/>
      <c r="S549" s="53">
        <v>6</v>
      </c>
      <c r="T549" s="45">
        <v>277.68999999999988</v>
      </c>
      <c r="U549" s="45"/>
      <c r="V549" s="45"/>
      <c r="W549" s="45"/>
      <c r="X549" s="45"/>
      <c r="Y549" s="45"/>
      <c r="Z549" s="51"/>
      <c r="AA549" s="53">
        <v>6</v>
      </c>
      <c r="AB549" s="45">
        <v>276.52</v>
      </c>
      <c r="AC549" s="45"/>
      <c r="AD549" s="45"/>
      <c r="AE549" s="45"/>
      <c r="AF549" s="45"/>
      <c r="AG549" s="45"/>
      <c r="AH549" s="51"/>
      <c r="AI549" s="53">
        <v>6</v>
      </c>
      <c r="AJ549" s="45">
        <v>277.69</v>
      </c>
      <c r="AK549" s="45"/>
      <c r="AL549" s="45"/>
      <c r="AM549" s="45"/>
      <c r="AN549" s="45"/>
      <c r="AO549" s="45"/>
      <c r="AP549" s="51"/>
    </row>
    <row r="550" spans="1:42" ht="21" customHeight="1" thickTop="1" thickBot="1" x14ac:dyDescent="0.35">
      <c r="A550" s="63"/>
      <c r="B550" s="66"/>
      <c r="C550" s="53">
        <v>7</v>
      </c>
      <c r="D550" s="45">
        <v>276.23</v>
      </c>
      <c r="E550" s="45"/>
      <c r="F550" s="45"/>
      <c r="G550" s="45"/>
      <c r="H550" s="45"/>
      <c r="I550" s="45"/>
      <c r="J550" s="51"/>
      <c r="K550" s="53">
        <v>7</v>
      </c>
      <c r="L550" s="45">
        <v>277.44</v>
      </c>
      <c r="M550" s="45"/>
      <c r="N550" s="45"/>
      <c r="O550" s="45"/>
      <c r="P550" s="45"/>
      <c r="Q550" s="45"/>
      <c r="R550" s="51"/>
      <c r="S550" s="53">
        <v>7</v>
      </c>
      <c r="T550" s="45">
        <v>277.68999999999988</v>
      </c>
      <c r="U550" s="45"/>
      <c r="V550" s="45"/>
      <c r="W550" s="45"/>
      <c r="X550" s="45"/>
      <c r="Y550" s="45"/>
      <c r="Z550" s="51"/>
      <c r="AA550" s="53">
        <v>7</v>
      </c>
      <c r="AB550" s="45">
        <v>278.13</v>
      </c>
      <c r="AC550" s="45"/>
      <c r="AD550" s="45"/>
      <c r="AE550" s="45"/>
      <c r="AF550" s="45"/>
      <c r="AG550" s="45"/>
      <c r="AH550" s="51"/>
      <c r="AI550" s="53">
        <v>7</v>
      </c>
      <c r="AJ550" s="45">
        <v>277.69</v>
      </c>
      <c r="AK550" s="45"/>
      <c r="AL550" s="45"/>
      <c r="AM550" s="45"/>
      <c r="AN550" s="45"/>
      <c r="AO550" s="45"/>
      <c r="AP550" s="51"/>
    </row>
    <row r="551" spans="1:42" ht="21" customHeight="1" thickTop="1" thickBot="1" x14ac:dyDescent="0.35">
      <c r="A551" s="63"/>
      <c r="B551" s="66"/>
      <c r="C551" s="53">
        <v>8</v>
      </c>
      <c r="D551" s="45">
        <v>276.31</v>
      </c>
      <c r="E551" s="45"/>
      <c r="F551" s="45"/>
      <c r="G551" s="45"/>
      <c r="H551" s="45"/>
      <c r="I551" s="45"/>
      <c r="J551" s="51"/>
      <c r="K551" s="53">
        <v>8</v>
      </c>
      <c r="L551" s="45">
        <v>276.60000000000002</v>
      </c>
      <c r="M551" s="45"/>
      <c r="N551" s="45"/>
      <c r="O551" s="45"/>
      <c r="P551" s="45"/>
      <c r="Q551" s="45"/>
      <c r="R551" s="51"/>
      <c r="S551" s="53">
        <v>8</v>
      </c>
      <c r="T551" s="45">
        <v>276.98</v>
      </c>
      <c r="U551" s="45"/>
      <c r="V551" s="45"/>
      <c r="W551" s="45"/>
      <c r="X551" s="45"/>
      <c r="Y551" s="45"/>
      <c r="Z551" s="51"/>
      <c r="AA551" s="53">
        <v>8</v>
      </c>
      <c r="AB551" s="45">
        <v>277.19000000000011</v>
      </c>
      <c r="AC551" s="45"/>
      <c r="AD551" s="45"/>
      <c r="AE551" s="45"/>
      <c r="AF551" s="45"/>
      <c r="AG551" s="45"/>
      <c r="AH551" s="51"/>
      <c r="AI551" s="53">
        <v>8</v>
      </c>
      <c r="AJ551" s="45">
        <v>277.74</v>
      </c>
      <c r="AK551" s="45"/>
      <c r="AL551" s="45"/>
      <c r="AM551" s="45"/>
      <c r="AN551" s="45"/>
      <c r="AO551" s="45"/>
      <c r="AP551" s="51"/>
    </row>
    <row r="552" spans="1:42" ht="21" customHeight="1" thickTop="1" thickBot="1" x14ac:dyDescent="0.35">
      <c r="A552" s="63"/>
      <c r="B552" s="66"/>
      <c r="C552" s="53">
        <v>9</v>
      </c>
      <c r="D552" s="45">
        <v>277.83</v>
      </c>
      <c r="E552" s="45"/>
      <c r="F552" s="45"/>
      <c r="G552" s="45"/>
      <c r="H552" s="45"/>
      <c r="I552" s="45"/>
      <c r="J552" s="51"/>
      <c r="K552" s="53">
        <v>9</v>
      </c>
      <c r="L552" s="45">
        <v>276.60000000000002</v>
      </c>
      <c r="M552" s="45"/>
      <c r="N552" s="45"/>
      <c r="O552" s="45"/>
      <c r="P552" s="45"/>
      <c r="Q552" s="45"/>
      <c r="R552" s="51"/>
      <c r="S552" s="53">
        <v>9</v>
      </c>
      <c r="T552" s="45">
        <v>278.51</v>
      </c>
      <c r="U552" s="45"/>
      <c r="V552" s="45"/>
      <c r="W552" s="45"/>
      <c r="X552" s="45"/>
      <c r="Y552" s="45"/>
      <c r="Z552" s="51"/>
      <c r="AA552" s="53">
        <v>9</v>
      </c>
      <c r="AB552" s="45">
        <v>277.63</v>
      </c>
      <c r="AC552" s="45"/>
      <c r="AD552" s="45"/>
      <c r="AE552" s="45"/>
      <c r="AF552" s="45"/>
      <c r="AG552" s="45"/>
      <c r="AH552" s="51"/>
      <c r="AI552" s="53">
        <v>9</v>
      </c>
      <c r="AJ552" s="45">
        <v>277.74</v>
      </c>
      <c r="AK552" s="45"/>
      <c r="AL552" s="45"/>
      <c r="AM552" s="45"/>
      <c r="AN552" s="45"/>
      <c r="AO552" s="45"/>
      <c r="AP552" s="51"/>
    </row>
    <row r="553" spans="1:42" ht="21" customHeight="1" thickTop="1" thickBot="1" x14ac:dyDescent="0.35">
      <c r="A553" s="63"/>
      <c r="B553" s="66"/>
      <c r="C553" s="53">
        <v>10</v>
      </c>
      <c r="D553" s="45">
        <v>277.83999999999997</v>
      </c>
      <c r="E553" s="45"/>
      <c r="F553" s="45"/>
      <c r="G553" s="45"/>
      <c r="H553" s="45"/>
      <c r="I553" s="45"/>
      <c r="J553" s="51"/>
      <c r="K553" s="53">
        <v>10</v>
      </c>
      <c r="L553" s="45">
        <v>276.93</v>
      </c>
      <c r="M553" s="45"/>
      <c r="N553" s="45"/>
      <c r="O553" s="45"/>
      <c r="P553" s="45"/>
      <c r="Q553" s="45"/>
      <c r="R553" s="51"/>
      <c r="S553" s="53">
        <v>10</v>
      </c>
      <c r="T553" s="45">
        <v>277.91000000000003</v>
      </c>
      <c r="U553" s="45"/>
      <c r="V553" s="45"/>
      <c r="W553" s="45"/>
      <c r="X553" s="45"/>
      <c r="Y553" s="45"/>
      <c r="Z553" s="51"/>
      <c r="AA553" s="53">
        <v>10</v>
      </c>
      <c r="AB553" s="45">
        <v>278.2</v>
      </c>
      <c r="AC553" s="45"/>
      <c r="AD553" s="45"/>
      <c r="AE553" s="45"/>
      <c r="AF553" s="45"/>
      <c r="AG553" s="45"/>
      <c r="AH553" s="51"/>
      <c r="AI553" s="53">
        <v>10</v>
      </c>
      <c r="AJ553" s="45">
        <v>277.27999999999997</v>
      </c>
      <c r="AK553" s="45"/>
      <c r="AL553" s="45"/>
      <c r="AM553" s="45"/>
      <c r="AN553" s="45"/>
      <c r="AO553" s="45"/>
      <c r="AP553" s="51"/>
    </row>
    <row r="554" spans="1:42" ht="21" customHeight="1" thickTop="1" thickBot="1" x14ac:dyDescent="0.35">
      <c r="A554" s="63"/>
      <c r="B554" s="66"/>
      <c r="C554" s="53"/>
      <c r="D554" s="45"/>
      <c r="E554" s="45"/>
      <c r="F554" s="45"/>
      <c r="G554" s="45"/>
      <c r="H554" s="45"/>
      <c r="I554" s="45"/>
      <c r="J554" s="51"/>
      <c r="K554" s="53"/>
      <c r="L554" s="45"/>
      <c r="M554" s="45"/>
      <c r="N554" s="45"/>
      <c r="O554" s="45"/>
      <c r="P554" s="45"/>
      <c r="Q554" s="45"/>
      <c r="R554" s="51"/>
      <c r="S554" s="53"/>
      <c r="T554" s="45"/>
      <c r="U554" s="45"/>
      <c r="V554" s="45"/>
      <c r="W554" s="45"/>
      <c r="X554" s="45"/>
      <c r="Y554" s="45"/>
      <c r="Z554" s="51"/>
      <c r="AA554" s="53"/>
      <c r="AB554" s="45"/>
      <c r="AC554" s="45"/>
      <c r="AD554" s="45"/>
      <c r="AE554" s="45"/>
      <c r="AF554" s="45"/>
      <c r="AG554" s="45"/>
      <c r="AH554" s="51"/>
      <c r="AI554" s="53"/>
      <c r="AJ554" s="45"/>
      <c r="AK554" s="45"/>
      <c r="AL554" s="45"/>
      <c r="AM554" s="45"/>
      <c r="AN554" s="45"/>
      <c r="AO554" s="45"/>
      <c r="AP554" s="51"/>
    </row>
    <row r="555" spans="1:42" ht="21" customHeight="1" thickTop="1" thickBot="1" x14ac:dyDescent="0.35">
      <c r="A555" s="63"/>
      <c r="B555" s="66"/>
      <c r="C555" s="54" t="s">
        <v>16</v>
      </c>
      <c r="D555" s="49">
        <f>MIN(D544:D553)</f>
        <v>275.67</v>
      </c>
      <c r="E555" s="45"/>
      <c r="F555" s="55" t="s">
        <v>17</v>
      </c>
      <c r="G555" s="49" t="s">
        <v>18</v>
      </c>
      <c r="H555" s="49" t="s">
        <v>19</v>
      </c>
      <c r="I555" s="45"/>
      <c r="J555" s="51"/>
      <c r="K555" s="54" t="s">
        <v>16</v>
      </c>
      <c r="L555" s="49">
        <f>MIN(L544:L553)</f>
        <v>276.60000000000002</v>
      </c>
      <c r="M555" s="45"/>
      <c r="N555" s="55" t="s">
        <v>17</v>
      </c>
      <c r="O555" s="49" t="s">
        <v>18</v>
      </c>
      <c r="P555" s="49" t="s">
        <v>19</v>
      </c>
      <c r="Q555" s="45"/>
      <c r="R555" s="51"/>
      <c r="S555" s="54" t="s">
        <v>16</v>
      </c>
      <c r="T555" s="49">
        <f>MIN(T544:T553)</f>
        <v>276.98</v>
      </c>
      <c r="U555" s="45"/>
      <c r="V555" s="55" t="s">
        <v>17</v>
      </c>
      <c r="W555" s="49" t="s">
        <v>18</v>
      </c>
      <c r="X555" s="49" t="s">
        <v>19</v>
      </c>
      <c r="Y555" s="45"/>
      <c r="Z555" s="51"/>
      <c r="AA555" s="54" t="s">
        <v>16</v>
      </c>
      <c r="AB555" s="49">
        <f>MIN(AB544:AB553)</f>
        <v>276.32</v>
      </c>
      <c r="AC555" s="45"/>
      <c r="AD555" s="55" t="s">
        <v>17</v>
      </c>
      <c r="AE555" s="49" t="s">
        <v>18</v>
      </c>
      <c r="AF555" s="49" t="s">
        <v>19</v>
      </c>
      <c r="AG555" s="45"/>
      <c r="AH555" s="51"/>
      <c r="AI555" s="54" t="s">
        <v>16</v>
      </c>
      <c r="AJ555" s="49">
        <f>MIN(AJ544:AJ553)</f>
        <v>276.97000000000003</v>
      </c>
      <c r="AK555" s="45"/>
      <c r="AL555" s="55" t="s">
        <v>17</v>
      </c>
      <c r="AM555" s="49" t="s">
        <v>18</v>
      </c>
      <c r="AN555" s="49" t="s">
        <v>19</v>
      </c>
      <c r="AO555" s="45"/>
      <c r="AP555" s="51"/>
    </row>
    <row r="556" spans="1:42" ht="21" customHeight="1" thickTop="1" thickBot="1" x14ac:dyDescent="0.35">
      <c r="A556" s="63"/>
      <c r="B556" s="66"/>
      <c r="C556" s="54" t="s">
        <v>20</v>
      </c>
      <c r="D556" s="48">
        <f>AVERAGE(D544:D553)</f>
        <v>276.75</v>
      </c>
      <c r="E556" s="47"/>
      <c r="F556" s="48">
        <f>_xlfn.STDEV.S(D544:D553) / AVERAGE(D544:D553) * 100%</f>
        <v>2.5283834027095414E-3</v>
      </c>
      <c r="G556" s="48">
        <f t="array" ref="G556">MIN((D544:D553 - MIN(D544:D553,L544:L553,T544:T553,AB544:AB553,AJ544:AJ553))/MIN(D544:D553,L544:L553,T544:T553,AB544:AB553,AJ544:AJ553)*100%)</f>
        <v>0</v>
      </c>
      <c r="H556" s="48">
        <f t="array" ref="H556">AVERAGE((D544:D553 - MIN(D544:D553,L544:L553,T544:T553,AB544:AB553,AJ544:AJ553))/MIN(D544:D553,L544:L553,T544:T553,AB544:AB553,AJ544:AJ553)*100%)</f>
        <v>3.9177277179235472E-3</v>
      </c>
      <c r="I556" s="45"/>
      <c r="J556" s="51"/>
      <c r="K556" s="54" t="s">
        <v>20</v>
      </c>
      <c r="L556" s="48">
        <f>AVERAGE(L544:L553)</f>
        <v>277.35299999999995</v>
      </c>
      <c r="M556" s="47"/>
      <c r="N556" s="48">
        <f>_xlfn.STDEV.S(L544:L553) / AVERAGE(L544:L553) * 100%</f>
        <v>2.2131477718244446E-3</v>
      </c>
      <c r="O556" s="48">
        <f t="array" ref="O556">MIN((L544:L553 - MIN(D544:D553,L544:L553,T544:T553,AB544:AB553,AJ544:AJ553))/MIN(D544:D553,L544:L553,T544:T553,AB544:AB553,AJ544:AJ553)*100%)</f>
        <v>3.3735988682120173E-3</v>
      </c>
      <c r="P556" s="48">
        <f t="array" ref="P556">AVERAGE((L544:L553 - MIN(D544:D553,L544:L553,T544:T553,AB544:AB553,AJ544:AJ553))/MIN(D544:D553,L544:L553,T544:T553,AB544:AB553,AJ544:AJ553)*100%)</f>
        <v>6.1051256937642556E-3</v>
      </c>
      <c r="Q556" s="44"/>
      <c r="R556" s="51"/>
      <c r="S556" s="54" t="s">
        <v>20</v>
      </c>
      <c r="T556" s="48">
        <f>AVERAGE(T544:T553)</f>
        <v>278.29499999999996</v>
      </c>
      <c r="U556" s="47"/>
      <c r="V556" s="48">
        <f>_xlfn.STDEV.S(T544:T553) / AVERAGE(T544:T553) * 100%</f>
        <v>2.7355472120717842E-3</v>
      </c>
      <c r="W556" s="48">
        <f t="array" ref="W556">MIN((T544:T553 - MIN(D544:D553,L544:L553,T544:T553,AB544:AB553,AJ544:AJ553))/MIN(D544:D553,L544:L553,T544:T553,AB544:AB553,AJ544:AJ553)*100%)</f>
        <v>4.7520586208147503E-3</v>
      </c>
      <c r="X556" s="48">
        <f t="array" ref="X556">AVERAGE((T544:T553 - MIN(D544:D553,L544:L553,T544:T553,AB544:AB553,AJ544:AJ553))/MIN(D544:D553,L544:L553,T544:T553,AB544:AB553,AJ544:AJ553)*100%)</f>
        <v>9.5222548699530184E-3</v>
      </c>
      <c r="Y556" s="44"/>
      <c r="Z556" s="51"/>
      <c r="AA556" s="54" t="s">
        <v>20</v>
      </c>
      <c r="AB556" s="48">
        <f>AVERAGE(AB544:AB553)</f>
        <v>277.33799999999997</v>
      </c>
      <c r="AC556" s="47"/>
      <c r="AD556" s="48">
        <f>_xlfn.STDEV.S(AB544:AB553) / AVERAGE(AB544:AB553) * 100%</f>
        <v>2.5199749979832047E-3</v>
      </c>
      <c r="AE556" s="48">
        <f t="array" ref="AE556">MIN((AB544:AB553 - MIN(D544:D553,L544:L553,T544:T553,AB544:AB553,AJ544:AJ553))/MIN(D544:D553,L544:L553,T544:T553,AB544:AB553,AJ544:AJ553)*100%)</f>
        <v>2.357891682083568E-3</v>
      </c>
      <c r="AF556" s="48">
        <f t="array" ref="AF556">AVERAGE((AB544:AB553 - MIN(D544:D553,L544:L553,T544:T553,AB544:AB553,AJ544:AJ553))/MIN(D544:D553,L544:L553,T544:T553,AB544:AB553,AJ544:AJ553)*100%)</f>
        <v>6.0507128087929603E-3</v>
      </c>
      <c r="AG556" s="44"/>
      <c r="AH556" s="51"/>
      <c r="AI556" s="54" t="s">
        <v>20</v>
      </c>
      <c r="AJ556" s="48">
        <f>AVERAGE(AJ544:AJ553)</f>
        <v>277.47799999999995</v>
      </c>
      <c r="AK556" s="47"/>
      <c r="AL556" s="48">
        <f>_xlfn.STDEV.S(AJ544:AJ553) / AVERAGE(AJ544:AJ553) * 100%</f>
        <v>1.1585879825513686E-3</v>
      </c>
      <c r="AM556" s="48">
        <f t="array" ref="AM556">MIN((AJ544:AJ553 - MIN(D544:D553,L544:L553,T544:T553,AB544:AB553,AJ544:AJ553))/MIN(D544:D553,L544:L553,T544:T553,AB544:AB553,AJ544:AJ553)*100%)</f>
        <v>4.7157833641673424E-3</v>
      </c>
      <c r="AN556" s="48">
        <f t="array" ref="AN556">AVERAGE((AJ544:AJ553 - MIN(D544:D553,L544:L553,T544:T553,AB544:AB553,AJ544:AJ553))/MIN(D544:D553,L544:L553,T544:T553,AB544:AB553,AJ544:AJ553)*100%)</f>
        <v>6.5585664018572454E-3</v>
      </c>
      <c r="AO556" s="44"/>
      <c r="AP556" s="51"/>
    </row>
    <row r="557" spans="1:42" ht="21" customHeight="1" thickTop="1" thickBot="1" x14ac:dyDescent="0.35">
      <c r="A557" s="63"/>
      <c r="B557" s="67"/>
      <c r="C557" s="53"/>
      <c r="D557" s="44"/>
      <c r="E557" s="44"/>
      <c r="F557" s="44"/>
      <c r="G557" s="44"/>
      <c r="H557" s="44"/>
      <c r="I557" s="44"/>
      <c r="J557" s="51"/>
      <c r="K557" s="53"/>
      <c r="L557" s="44"/>
      <c r="M557" s="44"/>
      <c r="N557" s="44"/>
      <c r="O557" s="44"/>
      <c r="P557" s="44"/>
      <c r="Q557" s="44"/>
      <c r="R557" s="51"/>
      <c r="S557" s="53"/>
      <c r="T557" s="44"/>
      <c r="U557" s="44"/>
      <c r="V557" s="44"/>
      <c r="W557" s="44"/>
      <c r="X557" s="44"/>
      <c r="Y557" s="44"/>
      <c r="Z557" s="51"/>
      <c r="AA557" s="53"/>
      <c r="AB557" s="44"/>
      <c r="AC557" s="44"/>
      <c r="AD557" s="44"/>
      <c r="AE557" s="44"/>
      <c r="AF557" s="44"/>
      <c r="AG557" s="44"/>
      <c r="AH557" s="51"/>
      <c r="AI557" s="53"/>
      <c r="AJ557" s="44"/>
      <c r="AK557" s="44"/>
      <c r="AL557" s="44"/>
      <c r="AM557" s="44"/>
      <c r="AN557" s="44"/>
      <c r="AO557" s="44"/>
      <c r="AP557" s="51"/>
    </row>
    <row r="558" spans="1:42" ht="21" customHeight="1" thickTop="1" thickBot="1" x14ac:dyDescent="0.35">
      <c r="A558" s="63"/>
      <c r="B558" s="65" t="s">
        <v>103</v>
      </c>
      <c r="C558" s="59" t="s">
        <v>8</v>
      </c>
      <c r="D558" s="46" t="s">
        <v>9</v>
      </c>
      <c r="E558" s="46" t="s">
        <v>10</v>
      </c>
      <c r="F558" s="46" t="s">
        <v>11</v>
      </c>
      <c r="G558" s="46" t="s">
        <v>12</v>
      </c>
      <c r="H558" s="46" t="s">
        <v>13</v>
      </c>
      <c r="I558" s="46" t="s">
        <v>14</v>
      </c>
      <c r="J558" s="60" t="s">
        <v>15</v>
      </c>
      <c r="K558" s="59" t="s">
        <v>8</v>
      </c>
      <c r="L558" s="46" t="s">
        <v>9</v>
      </c>
      <c r="M558" s="46" t="s">
        <v>10</v>
      </c>
      <c r="N558" s="46" t="s">
        <v>11</v>
      </c>
      <c r="O558" s="46" t="s">
        <v>12</v>
      </c>
      <c r="P558" s="46" t="s">
        <v>13</v>
      </c>
      <c r="Q558" s="46" t="s">
        <v>14</v>
      </c>
      <c r="R558" s="60" t="s">
        <v>15</v>
      </c>
      <c r="S558" s="59" t="s">
        <v>8</v>
      </c>
      <c r="T558" s="46" t="s">
        <v>9</v>
      </c>
      <c r="U558" s="46" t="s">
        <v>10</v>
      </c>
      <c r="V558" s="46" t="s">
        <v>11</v>
      </c>
      <c r="W558" s="46" t="s">
        <v>12</v>
      </c>
      <c r="X558" s="46" t="s">
        <v>13</v>
      </c>
      <c r="Y558" s="46" t="s">
        <v>14</v>
      </c>
      <c r="Z558" s="60" t="s">
        <v>15</v>
      </c>
      <c r="AA558" s="59" t="s">
        <v>8</v>
      </c>
      <c r="AB558" s="46" t="s">
        <v>9</v>
      </c>
      <c r="AC558" s="46" t="s">
        <v>10</v>
      </c>
      <c r="AD558" s="46" t="s">
        <v>11</v>
      </c>
      <c r="AE558" s="46" t="s">
        <v>12</v>
      </c>
      <c r="AF558" s="46" t="s">
        <v>13</v>
      </c>
      <c r="AG558" s="46" t="s">
        <v>14</v>
      </c>
      <c r="AH558" s="60" t="s">
        <v>15</v>
      </c>
      <c r="AI558" s="59" t="s">
        <v>8</v>
      </c>
      <c r="AJ558" s="46" t="s">
        <v>9</v>
      </c>
      <c r="AK558" s="46" t="s">
        <v>10</v>
      </c>
      <c r="AL558" s="46" t="s">
        <v>11</v>
      </c>
      <c r="AM558" s="46" t="s">
        <v>12</v>
      </c>
      <c r="AN558" s="46" t="s">
        <v>13</v>
      </c>
      <c r="AO558" s="46" t="s">
        <v>14</v>
      </c>
      <c r="AP558" s="60" t="s">
        <v>15</v>
      </c>
    </row>
    <row r="559" spans="1:42" ht="21" customHeight="1" thickTop="1" thickBot="1" x14ac:dyDescent="0.35">
      <c r="A559" s="63"/>
      <c r="B559" s="66"/>
      <c r="C559" s="52">
        <v>1</v>
      </c>
      <c r="D559" s="44">
        <v>296.20999999999998</v>
      </c>
      <c r="E559" s="44"/>
      <c r="F559" s="44"/>
      <c r="G559" s="44"/>
      <c r="H559" s="44"/>
      <c r="I559" s="44"/>
      <c r="J559" s="51"/>
      <c r="K559" s="52">
        <v>1</v>
      </c>
      <c r="L559" s="44">
        <v>297.05999999999989</v>
      </c>
      <c r="M559" s="44"/>
      <c r="N559" s="44"/>
      <c r="O559" s="44"/>
      <c r="P559" s="44"/>
      <c r="Q559" s="44"/>
      <c r="R559" s="51"/>
      <c r="S559" s="52">
        <v>1</v>
      </c>
      <c r="T559" s="44">
        <v>296.53999999999991</v>
      </c>
      <c r="U559" s="44"/>
      <c r="V559" s="44"/>
      <c r="W559" s="44"/>
      <c r="X559" s="44"/>
      <c r="Y559" s="44"/>
      <c r="Z559" s="51"/>
      <c r="AA559" s="52">
        <v>1</v>
      </c>
      <c r="AB559" s="44">
        <v>296.64999999999992</v>
      </c>
      <c r="AC559" s="44"/>
      <c r="AD559" s="44"/>
      <c r="AE559" s="44"/>
      <c r="AF559" s="44"/>
      <c r="AG559" s="44"/>
      <c r="AH559" s="51"/>
      <c r="AI559" s="52">
        <v>1</v>
      </c>
      <c r="AJ559" s="44">
        <v>297.58</v>
      </c>
      <c r="AK559" s="44"/>
      <c r="AL559" s="44"/>
      <c r="AM559" s="44"/>
      <c r="AN559" s="44"/>
      <c r="AO559" s="44"/>
      <c r="AP559" s="51"/>
    </row>
    <row r="560" spans="1:42" ht="21" customHeight="1" thickTop="1" thickBot="1" x14ac:dyDescent="0.35">
      <c r="A560" s="63"/>
      <c r="B560" s="66"/>
      <c r="C560" s="53">
        <v>2</v>
      </c>
      <c r="D560" s="45">
        <v>296.47000000000003</v>
      </c>
      <c r="E560" s="45"/>
      <c r="F560" s="45"/>
      <c r="G560" s="45"/>
      <c r="H560" s="45"/>
      <c r="I560" s="45"/>
      <c r="J560" s="51"/>
      <c r="K560" s="53">
        <v>2</v>
      </c>
      <c r="L560" s="45">
        <v>297.11999999999989</v>
      </c>
      <c r="M560" s="45"/>
      <c r="N560" s="45"/>
      <c r="O560" s="45"/>
      <c r="P560" s="45"/>
      <c r="Q560" s="45"/>
      <c r="R560" s="51"/>
      <c r="S560" s="53">
        <v>2</v>
      </c>
      <c r="T560" s="45">
        <v>298.08</v>
      </c>
      <c r="U560" s="45"/>
      <c r="V560" s="45"/>
      <c r="W560" s="45"/>
      <c r="X560" s="45"/>
      <c r="Y560" s="45"/>
      <c r="Z560" s="51"/>
      <c r="AA560" s="53">
        <v>2</v>
      </c>
      <c r="AB560" s="45">
        <v>299.60000000000002</v>
      </c>
      <c r="AC560" s="45"/>
      <c r="AD560" s="45"/>
      <c r="AE560" s="45"/>
      <c r="AF560" s="45"/>
      <c r="AG560" s="45"/>
      <c r="AH560" s="51"/>
      <c r="AI560" s="53">
        <v>2</v>
      </c>
      <c r="AJ560" s="45">
        <v>297.42</v>
      </c>
      <c r="AK560" s="45"/>
      <c r="AL560" s="45"/>
      <c r="AM560" s="45"/>
      <c r="AN560" s="45"/>
      <c r="AO560" s="45"/>
      <c r="AP560" s="51"/>
    </row>
    <row r="561" spans="1:42" ht="21" customHeight="1" thickTop="1" thickBot="1" x14ac:dyDescent="0.35">
      <c r="A561" s="63"/>
      <c r="B561" s="66"/>
      <c r="C561" s="53">
        <v>3</v>
      </c>
      <c r="D561" s="45">
        <v>296.86999999999989</v>
      </c>
      <c r="E561" s="45"/>
      <c r="F561" s="45"/>
      <c r="G561" s="44"/>
      <c r="H561" s="44"/>
      <c r="I561" s="44"/>
      <c r="J561" s="51"/>
      <c r="K561" s="53">
        <v>3</v>
      </c>
      <c r="L561" s="45">
        <v>295.85000000000002</v>
      </c>
      <c r="M561" s="45"/>
      <c r="N561" s="45"/>
      <c r="O561" s="44"/>
      <c r="P561" s="44"/>
      <c r="Q561" s="44"/>
      <c r="R561" s="51"/>
      <c r="S561" s="53">
        <v>3</v>
      </c>
      <c r="T561" s="45">
        <v>296.52999999999997</v>
      </c>
      <c r="U561" s="45"/>
      <c r="V561" s="45"/>
      <c r="W561" s="44"/>
      <c r="X561" s="44"/>
      <c r="Y561" s="44"/>
      <c r="Z561" s="51"/>
      <c r="AA561" s="53">
        <v>3</v>
      </c>
      <c r="AB561" s="45">
        <v>296.35000000000002</v>
      </c>
      <c r="AC561" s="45"/>
      <c r="AD561" s="45"/>
      <c r="AE561" s="44"/>
      <c r="AF561" s="44"/>
      <c r="AG561" s="44"/>
      <c r="AH561" s="51"/>
      <c r="AI561" s="53">
        <v>3</v>
      </c>
      <c r="AJ561" s="45">
        <v>297.10000000000002</v>
      </c>
      <c r="AK561" s="45"/>
      <c r="AL561" s="45"/>
      <c r="AM561" s="44"/>
      <c r="AN561" s="44"/>
      <c r="AO561" s="44"/>
      <c r="AP561" s="51"/>
    </row>
    <row r="562" spans="1:42" ht="21" customHeight="1" thickTop="1" thickBot="1" x14ac:dyDescent="0.35">
      <c r="A562" s="63"/>
      <c r="B562" s="66"/>
      <c r="C562" s="53">
        <v>4</v>
      </c>
      <c r="D562" s="45">
        <v>295.36</v>
      </c>
      <c r="E562" s="45"/>
      <c r="F562" s="45"/>
      <c r="G562" s="45"/>
      <c r="H562" s="45"/>
      <c r="I562" s="45"/>
      <c r="J562" s="51"/>
      <c r="K562" s="53">
        <v>4</v>
      </c>
      <c r="L562" s="45">
        <v>297.13</v>
      </c>
      <c r="M562" s="45"/>
      <c r="N562" s="45"/>
      <c r="O562" s="45"/>
      <c r="P562" s="45"/>
      <c r="Q562" s="45"/>
      <c r="R562" s="51"/>
      <c r="S562" s="53">
        <v>4</v>
      </c>
      <c r="T562" s="45">
        <v>298.26999999999992</v>
      </c>
      <c r="U562" s="45"/>
      <c r="V562" s="45"/>
      <c r="W562" s="45"/>
      <c r="X562" s="45"/>
      <c r="Y562" s="45"/>
      <c r="Z562" s="51"/>
      <c r="AA562" s="53">
        <v>4</v>
      </c>
      <c r="AB562" s="45">
        <v>296.14999999999992</v>
      </c>
      <c r="AC562" s="45"/>
      <c r="AD562" s="45"/>
      <c r="AE562" s="45"/>
      <c r="AF562" s="45"/>
      <c r="AG562" s="45"/>
      <c r="AH562" s="51"/>
      <c r="AI562" s="53">
        <v>4</v>
      </c>
      <c r="AJ562" s="45">
        <v>297.12999999999988</v>
      </c>
      <c r="AK562" s="45"/>
      <c r="AL562" s="45"/>
      <c r="AM562" s="45"/>
      <c r="AN562" s="45"/>
      <c r="AO562" s="45"/>
      <c r="AP562" s="51"/>
    </row>
    <row r="563" spans="1:42" ht="21" customHeight="1" thickTop="1" thickBot="1" x14ac:dyDescent="0.35">
      <c r="A563" s="63"/>
      <c r="B563" s="66"/>
      <c r="C563" s="53">
        <v>5</v>
      </c>
      <c r="D563" s="45">
        <v>296.14</v>
      </c>
      <c r="E563" s="45"/>
      <c r="F563" s="45"/>
      <c r="G563" s="45"/>
      <c r="H563" s="45"/>
      <c r="I563" s="45"/>
      <c r="J563" s="51"/>
      <c r="K563" s="53">
        <v>5</v>
      </c>
      <c r="L563" s="45">
        <v>297.14999999999998</v>
      </c>
      <c r="M563" s="45"/>
      <c r="N563" s="45"/>
      <c r="O563" s="45"/>
      <c r="P563" s="45"/>
      <c r="Q563" s="45"/>
      <c r="R563" s="51"/>
      <c r="S563" s="53">
        <v>5</v>
      </c>
      <c r="T563" s="45">
        <v>299.21999999999991</v>
      </c>
      <c r="U563" s="45"/>
      <c r="V563" s="45"/>
      <c r="W563" s="45"/>
      <c r="X563" s="45"/>
      <c r="Y563" s="45"/>
      <c r="Z563" s="51"/>
      <c r="AA563" s="53">
        <v>5</v>
      </c>
      <c r="AB563" s="45">
        <v>297.51999999999992</v>
      </c>
      <c r="AC563" s="45"/>
      <c r="AD563" s="45"/>
      <c r="AE563" s="45"/>
      <c r="AF563" s="45"/>
      <c r="AG563" s="45"/>
      <c r="AH563" s="51"/>
      <c r="AI563" s="53">
        <v>5</v>
      </c>
      <c r="AJ563" s="45">
        <v>297.95999999999992</v>
      </c>
      <c r="AK563" s="45"/>
      <c r="AL563" s="45"/>
      <c r="AM563" s="45"/>
      <c r="AN563" s="45"/>
      <c r="AO563" s="45"/>
      <c r="AP563" s="51"/>
    </row>
    <row r="564" spans="1:42" ht="21" customHeight="1" thickTop="1" thickBot="1" x14ac:dyDescent="0.35">
      <c r="A564" s="63"/>
      <c r="B564" s="66"/>
      <c r="C564" s="53">
        <v>6</v>
      </c>
      <c r="D564" s="45">
        <v>296.22000000000003</v>
      </c>
      <c r="E564" s="45"/>
      <c r="F564" s="45"/>
      <c r="G564" s="45"/>
      <c r="H564" s="45"/>
      <c r="I564" s="45"/>
      <c r="J564" s="51"/>
      <c r="K564" s="53">
        <v>6</v>
      </c>
      <c r="L564" s="45">
        <v>296.52999999999997</v>
      </c>
      <c r="M564" s="45"/>
      <c r="N564" s="45"/>
      <c r="O564" s="45"/>
      <c r="P564" s="45"/>
      <c r="Q564" s="45"/>
      <c r="R564" s="51"/>
      <c r="S564" s="53">
        <v>6</v>
      </c>
      <c r="T564" s="45">
        <v>296.55</v>
      </c>
      <c r="U564" s="45"/>
      <c r="V564" s="45"/>
      <c r="W564" s="45"/>
      <c r="X564" s="45"/>
      <c r="Y564" s="45"/>
      <c r="Z564" s="51"/>
      <c r="AA564" s="53">
        <v>6</v>
      </c>
      <c r="AB564" s="45">
        <v>297.07</v>
      </c>
      <c r="AC564" s="45"/>
      <c r="AD564" s="45"/>
      <c r="AE564" s="45"/>
      <c r="AF564" s="45"/>
      <c r="AG564" s="45"/>
      <c r="AH564" s="51"/>
      <c r="AI564" s="53">
        <v>6</v>
      </c>
      <c r="AJ564" s="45">
        <v>297.39</v>
      </c>
      <c r="AK564" s="45"/>
      <c r="AL564" s="45"/>
      <c r="AM564" s="45"/>
      <c r="AN564" s="45"/>
      <c r="AO564" s="45"/>
      <c r="AP564" s="51"/>
    </row>
    <row r="565" spans="1:42" ht="21" customHeight="1" thickTop="1" thickBot="1" x14ac:dyDescent="0.35">
      <c r="A565" s="63"/>
      <c r="B565" s="66"/>
      <c r="C565" s="53">
        <v>7</v>
      </c>
      <c r="D565" s="45">
        <v>295.36</v>
      </c>
      <c r="E565" s="45"/>
      <c r="F565" s="45"/>
      <c r="G565" s="45"/>
      <c r="H565" s="45"/>
      <c r="I565" s="45"/>
      <c r="J565" s="51"/>
      <c r="K565" s="53">
        <v>7</v>
      </c>
      <c r="L565" s="45">
        <v>296.8</v>
      </c>
      <c r="M565" s="45"/>
      <c r="N565" s="45"/>
      <c r="O565" s="45"/>
      <c r="P565" s="45"/>
      <c r="Q565" s="45"/>
      <c r="R565" s="51"/>
      <c r="S565" s="53">
        <v>7</v>
      </c>
      <c r="T565" s="45">
        <v>298.86999999999989</v>
      </c>
      <c r="U565" s="45"/>
      <c r="V565" s="45"/>
      <c r="W565" s="45"/>
      <c r="X565" s="45"/>
      <c r="Y565" s="45"/>
      <c r="Z565" s="51"/>
      <c r="AA565" s="53">
        <v>7</v>
      </c>
      <c r="AB565" s="45">
        <v>297.87999999999988</v>
      </c>
      <c r="AC565" s="45"/>
      <c r="AD565" s="45"/>
      <c r="AE565" s="45"/>
      <c r="AF565" s="45"/>
      <c r="AG565" s="45"/>
      <c r="AH565" s="51"/>
      <c r="AI565" s="53">
        <v>7</v>
      </c>
      <c r="AJ565" s="45">
        <v>297.42</v>
      </c>
      <c r="AK565" s="45"/>
      <c r="AL565" s="45"/>
      <c r="AM565" s="45"/>
      <c r="AN565" s="45"/>
      <c r="AO565" s="45"/>
      <c r="AP565" s="51"/>
    </row>
    <row r="566" spans="1:42" ht="21" customHeight="1" thickTop="1" thickBot="1" x14ac:dyDescent="0.35">
      <c r="A566" s="63"/>
      <c r="B566" s="66"/>
      <c r="C566" s="53">
        <v>8</v>
      </c>
      <c r="D566" s="45">
        <v>295.7299999999999</v>
      </c>
      <c r="E566" s="45"/>
      <c r="F566" s="45"/>
      <c r="G566" s="45"/>
      <c r="H566" s="45"/>
      <c r="I566" s="45"/>
      <c r="J566" s="51"/>
      <c r="K566" s="53">
        <v>8</v>
      </c>
      <c r="L566" s="45">
        <v>295.97000000000003</v>
      </c>
      <c r="M566" s="45"/>
      <c r="N566" s="45"/>
      <c r="O566" s="45"/>
      <c r="P566" s="45"/>
      <c r="Q566" s="45"/>
      <c r="R566" s="51"/>
      <c r="S566" s="53">
        <v>8</v>
      </c>
      <c r="T566" s="45">
        <v>300.51</v>
      </c>
      <c r="U566" s="45"/>
      <c r="V566" s="45"/>
      <c r="W566" s="45"/>
      <c r="X566" s="45"/>
      <c r="Y566" s="45"/>
      <c r="Z566" s="51"/>
      <c r="AA566" s="53">
        <v>8</v>
      </c>
      <c r="AB566" s="45">
        <v>297.92</v>
      </c>
      <c r="AC566" s="45"/>
      <c r="AD566" s="45"/>
      <c r="AE566" s="45"/>
      <c r="AF566" s="45"/>
      <c r="AG566" s="45"/>
      <c r="AH566" s="51"/>
      <c r="AI566" s="53">
        <v>8</v>
      </c>
      <c r="AJ566" s="45">
        <v>296.74999999999989</v>
      </c>
      <c r="AK566" s="45"/>
      <c r="AL566" s="45"/>
      <c r="AM566" s="45"/>
      <c r="AN566" s="45"/>
      <c r="AO566" s="45"/>
      <c r="AP566" s="51"/>
    </row>
    <row r="567" spans="1:42" ht="21" customHeight="1" thickTop="1" thickBot="1" x14ac:dyDescent="0.35">
      <c r="A567" s="63"/>
      <c r="B567" s="66"/>
      <c r="C567" s="53">
        <v>9</v>
      </c>
      <c r="D567" s="45">
        <v>295.82</v>
      </c>
      <c r="E567" s="45"/>
      <c r="F567" s="45"/>
      <c r="G567" s="45"/>
      <c r="H567" s="45"/>
      <c r="I567" s="45"/>
      <c r="J567" s="51"/>
      <c r="K567" s="53">
        <v>9</v>
      </c>
      <c r="L567" s="45">
        <v>296.70999999999998</v>
      </c>
      <c r="M567" s="45"/>
      <c r="N567" s="45"/>
      <c r="O567" s="45"/>
      <c r="P567" s="45"/>
      <c r="Q567" s="45"/>
      <c r="R567" s="51"/>
      <c r="S567" s="53">
        <v>9</v>
      </c>
      <c r="T567" s="45">
        <v>297.07999999999993</v>
      </c>
      <c r="U567" s="45"/>
      <c r="V567" s="45"/>
      <c r="W567" s="45"/>
      <c r="X567" s="45"/>
      <c r="Y567" s="45"/>
      <c r="Z567" s="51"/>
      <c r="AA567" s="53">
        <v>9</v>
      </c>
      <c r="AB567" s="45">
        <v>296.49</v>
      </c>
      <c r="AC567" s="45"/>
      <c r="AD567" s="45"/>
      <c r="AE567" s="45"/>
      <c r="AF567" s="45"/>
      <c r="AG567" s="45"/>
      <c r="AH567" s="51"/>
      <c r="AI567" s="53">
        <v>9</v>
      </c>
      <c r="AJ567" s="45">
        <v>297.95999999999992</v>
      </c>
      <c r="AK567" s="45"/>
      <c r="AL567" s="45"/>
      <c r="AM567" s="45"/>
      <c r="AN567" s="45"/>
      <c r="AO567" s="45"/>
      <c r="AP567" s="51"/>
    </row>
    <row r="568" spans="1:42" ht="21" customHeight="1" thickTop="1" thickBot="1" x14ac:dyDescent="0.35">
      <c r="A568" s="63"/>
      <c r="B568" s="66"/>
      <c r="C568" s="53">
        <v>10</v>
      </c>
      <c r="D568" s="45">
        <v>296.85000000000002</v>
      </c>
      <c r="E568" s="45"/>
      <c r="F568" s="45"/>
      <c r="G568" s="45"/>
      <c r="H568" s="45"/>
      <c r="I568" s="45"/>
      <c r="J568" s="51"/>
      <c r="K568" s="53">
        <v>10</v>
      </c>
      <c r="L568" s="45">
        <v>297.2</v>
      </c>
      <c r="M568" s="45"/>
      <c r="N568" s="45"/>
      <c r="O568" s="45"/>
      <c r="P568" s="45"/>
      <c r="Q568" s="45"/>
      <c r="R568" s="51"/>
      <c r="S568" s="53">
        <v>10</v>
      </c>
      <c r="T568" s="45">
        <v>297.77</v>
      </c>
      <c r="U568" s="45"/>
      <c r="V568" s="45"/>
      <c r="W568" s="45"/>
      <c r="X568" s="45"/>
      <c r="Y568" s="45"/>
      <c r="Z568" s="51"/>
      <c r="AA568" s="53">
        <v>10</v>
      </c>
      <c r="AB568" s="45">
        <v>296.01999999999992</v>
      </c>
      <c r="AC568" s="45"/>
      <c r="AD568" s="45"/>
      <c r="AE568" s="45"/>
      <c r="AF568" s="45"/>
      <c r="AG568" s="45"/>
      <c r="AH568" s="51"/>
      <c r="AI568" s="53">
        <v>10</v>
      </c>
      <c r="AJ568" s="45">
        <v>296.24999999999989</v>
      </c>
      <c r="AK568" s="45"/>
      <c r="AL568" s="45"/>
      <c r="AM568" s="45"/>
      <c r="AN568" s="45"/>
      <c r="AO568" s="45"/>
      <c r="AP568" s="51"/>
    </row>
    <row r="569" spans="1:42" ht="21" customHeight="1" thickTop="1" thickBot="1" x14ac:dyDescent="0.35">
      <c r="A569" s="63"/>
      <c r="B569" s="66"/>
      <c r="C569" s="53"/>
      <c r="D569" s="45"/>
      <c r="E569" s="45"/>
      <c r="F569" s="45"/>
      <c r="G569" s="45"/>
      <c r="H569" s="45"/>
      <c r="I569" s="45"/>
      <c r="J569" s="51"/>
      <c r="K569" s="53"/>
      <c r="L569" s="45"/>
      <c r="M569" s="45"/>
      <c r="N569" s="45"/>
      <c r="O569" s="45"/>
      <c r="P569" s="45"/>
      <c r="Q569" s="45"/>
      <c r="R569" s="51"/>
      <c r="S569" s="53"/>
      <c r="T569" s="45"/>
      <c r="U569" s="45"/>
      <c r="V569" s="45"/>
      <c r="W569" s="45"/>
      <c r="X569" s="45"/>
      <c r="Y569" s="45"/>
      <c r="Z569" s="51"/>
      <c r="AA569" s="53"/>
      <c r="AB569" s="45"/>
      <c r="AC569" s="45"/>
      <c r="AD569" s="45"/>
      <c r="AE569" s="45"/>
      <c r="AF569" s="45"/>
      <c r="AG569" s="45"/>
      <c r="AH569" s="51"/>
      <c r="AI569" s="53"/>
      <c r="AJ569" s="45"/>
      <c r="AK569" s="45"/>
      <c r="AL569" s="45"/>
      <c r="AM569" s="45"/>
      <c r="AN569" s="45"/>
      <c r="AO569" s="45"/>
      <c r="AP569" s="51"/>
    </row>
    <row r="570" spans="1:42" ht="21" customHeight="1" thickTop="1" thickBot="1" x14ac:dyDescent="0.35">
      <c r="A570" s="63"/>
      <c r="B570" s="66"/>
      <c r="C570" s="54" t="s">
        <v>16</v>
      </c>
      <c r="D570" s="49">
        <f>MIN(D559:D568)</f>
        <v>295.36</v>
      </c>
      <c r="E570" s="45"/>
      <c r="F570" s="55" t="s">
        <v>17</v>
      </c>
      <c r="G570" s="49" t="s">
        <v>18</v>
      </c>
      <c r="H570" s="49" t="s">
        <v>19</v>
      </c>
      <c r="I570" s="45"/>
      <c r="J570" s="51"/>
      <c r="K570" s="54" t="s">
        <v>16</v>
      </c>
      <c r="L570" s="49">
        <f>MIN(L559:L568)</f>
        <v>295.85000000000002</v>
      </c>
      <c r="M570" s="45"/>
      <c r="N570" s="55" t="s">
        <v>17</v>
      </c>
      <c r="O570" s="49" t="s">
        <v>18</v>
      </c>
      <c r="P570" s="49" t="s">
        <v>19</v>
      </c>
      <c r="Q570" s="45"/>
      <c r="R570" s="51"/>
      <c r="S570" s="54" t="s">
        <v>16</v>
      </c>
      <c r="T570" s="49">
        <f>MIN(T559:T568)</f>
        <v>296.52999999999997</v>
      </c>
      <c r="U570" s="45"/>
      <c r="V570" s="55" t="s">
        <v>17</v>
      </c>
      <c r="W570" s="49" t="s">
        <v>18</v>
      </c>
      <c r="X570" s="49" t="s">
        <v>19</v>
      </c>
      <c r="Y570" s="45"/>
      <c r="Z570" s="51"/>
      <c r="AA570" s="54" t="s">
        <v>16</v>
      </c>
      <c r="AB570" s="49">
        <f>MIN(AB559:AB568)</f>
        <v>296.01999999999992</v>
      </c>
      <c r="AC570" s="45"/>
      <c r="AD570" s="55" t="s">
        <v>17</v>
      </c>
      <c r="AE570" s="49" t="s">
        <v>18</v>
      </c>
      <c r="AF570" s="49" t="s">
        <v>19</v>
      </c>
      <c r="AG570" s="45"/>
      <c r="AH570" s="51"/>
      <c r="AI570" s="54" t="s">
        <v>16</v>
      </c>
      <c r="AJ570" s="49">
        <f>MIN(AJ559:AJ568)</f>
        <v>296.24999999999989</v>
      </c>
      <c r="AK570" s="45"/>
      <c r="AL570" s="55" t="s">
        <v>17</v>
      </c>
      <c r="AM570" s="49" t="s">
        <v>18</v>
      </c>
      <c r="AN570" s="49" t="s">
        <v>19</v>
      </c>
      <c r="AO570" s="45"/>
      <c r="AP570" s="51"/>
    </row>
    <row r="571" spans="1:42" ht="21" customHeight="1" thickTop="1" thickBot="1" x14ac:dyDescent="0.35">
      <c r="A571" s="63"/>
      <c r="B571" s="66"/>
      <c r="C571" s="54" t="s">
        <v>20</v>
      </c>
      <c r="D571" s="48">
        <f>AVERAGE(D559:D568)</f>
        <v>296.10299999999995</v>
      </c>
      <c r="E571" s="47"/>
      <c r="F571" s="48">
        <f>_xlfn.STDEV.S(D559:D568) / AVERAGE(D559:D568) * 100%</f>
        <v>1.8259155186939996E-3</v>
      </c>
      <c r="G571" s="48">
        <f t="array" ref="G571">MIN((D559:D568 - MIN(D559:D568,L559:L568,T559:T568,AB559:AB568,AJ559:AJ568))/MIN(D559:D568,L559:L568,T559:T568,AB559:AB568,AJ559:AJ568)*100%)</f>
        <v>0</v>
      </c>
      <c r="H571" s="48">
        <f t="array" ref="H571">AVERAGE((D559:D568 - MIN(D559:D568,L559:L568,T559:T568,AB559:AB568,AJ559:AJ568))/MIN(D559:D568,L559:L568,T559:T568,AB559:AB568,AJ559:AJ568)*100%)</f>
        <v>2.5155742145177825E-3</v>
      </c>
      <c r="I571" s="45"/>
      <c r="J571" s="51"/>
      <c r="K571" s="54" t="s">
        <v>20</v>
      </c>
      <c r="L571" s="48">
        <f>AVERAGE(L559:L568)</f>
        <v>296.75199999999995</v>
      </c>
      <c r="M571" s="47"/>
      <c r="N571" s="48">
        <f>_xlfn.STDEV.S(L559:L568) / AVERAGE(L559:L568) * 100%</f>
        <v>1.6701515838379705E-3</v>
      </c>
      <c r="O571" s="48">
        <f t="array" ref="O571">MIN((L559:L568 - MIN(D559:D568,L559:L568,T559:T568,AB559:AB568,AJ559:AJ568))/MIN(D559:D568,L559:L568,T559:T568,AB559:AB568,AJ559:AJ568)*100%)</f>
        <v>1.6589924160347004E-3</v>
      </c>
      <c r="P571" s="48">
        <f t="array" ref="P571">AVERAGE((L559:L568 - MIN(D559:D568,L559:L568,T559:T568,AB559:AB568,AJ559:AJ568))/MIN(D559:D568,L559:L568,T559:T568,AB559:AB568,AJ559:AJ568)*100%)</f>
        <v>4.712892741061625E-3</v>
      </c>
      <c r="Q571" s="44"/>
      <c r="R571" s="51"/>
      <c r="S571" s="54" t="s">
        <v>20</v>
      </c>
      <c r="T571" s="48">
        <f>AVERAGE(T559:T568)</f>
        <v>297.94199999999995</v>
      </c>
      <c r="U571" s="47"/>
      <c r="V571" s="48">
        <f>_xlfn.STDEV.S(T559:T568) / AVERAGE(T559:T568) * 100%</f>
        <v>4.4590829076529559E-3</v>
      </c>
      <c r="W571" s="48">
        <f t="array" ref="W571">MIN((T559:T568 - MIN(D559:D568,L559:L568,T559:T568,AB559:AB568,AJ559:AJ568))/MIN(D559:D568,L559:L568,T559:T568,AB559:AB568,AJ559:AJ568)*100%)</f>
        <v>3.961267605633664E-3</v>
      </c>
      <c r="X571" s="48">
        <f t="array" ref="X571">AVERAGE((T559:T568 - MIN(D559:D568,L559:L568,T559:T568,AB559:AB568,AJ559:AJ568))/MIN(D559:D568,L559:L568,T559:T568,AB559:AB568,AJ559:AJ568)*100%)</f>
        <v>8.7418743228600236E-3</v>
      </c>
      <c r="Y571" s="44"/>
      <c r="Z571" s="51"/>
      <c r="AA571" s="54" t="s">
        <v>20</v>
      </c>
      <c r="AB571" s="48">
        <f>AVERAGE(AB559:AB568)</f>
        <v>297.16500000000002</v>
      </c>
      <c r="AC571" s="47"/>
      <c r="AD571" s="48">
        <f>_xlfn.STDEV.S(AB559:AB568) / AVERAGE(AB559:AB568) * 100%</f>
        <v>3.698561240624852E-3</v>
      </c>
      <c r="AE571" s="48">
        <f t="array" ref="AE571">MIN((AB559:AB568 - MIN(D559:D568,L559:L568,T559:T568,AB559:AB568,AJ559:AJ568))/MIN(D559:D568,L559:L568,T559:T568,AB559:AB568,AJ559:AJ568)*100%)</f>
        <v>2.2345612134341527E-3</v>
      </c>
      <c r="AF571" s="48">
        <f t="array" ref="AF571">AVERAGE((AB559:AB568 - MIN(D559:D568,L559:L568,T559:T568,AB559:AB568,AJ559:AJ568))/MIN(D559:D568,L559:L568,T559:T568,AB559:AB568,AJ559:AJ568)*100%)</f>
        <v>6.1111863488622353E-3</v>
      </c>
      <c r="AG571" s="44"/>
      <c r="AH571" s="51"/>
      <c r="AI571" s="54" t="s">
        <v>20</v>
      </c>
      <c r="AJ571" s="48">
        <f>AVERAGE(AJ559:AJ568)</f>
        <v>297.29599999999999</v>
      </c>
      <c r="AK571" s="47"/>
      <c r="AL571" s="48">
        <f>_xlfn.STDEV.S(AJ559:AJ568) / AVERAGE(AJ559:AJ568) * 100%</f>
        <v>1.7586459527154207E-3</v>
      </c>
      <c r="AM571" s="48">
        <f t="array" ref="AM571">MIN((AJ559:AJ568 - MIN(D559:D568,L559:L568,T559:T568,AB559:AB568,AJ559:AJ568))/MIN(D559:D568,L559:L568,T559:T568,AB559:AB568,AJ559:AJ568)*100%)</f>
        <v>3.0132719393278461E-3</v>
      </c>
      <c r="AN571" s="48">
        <f t="array" ref="AN571">AVERAGE((AJ559:AJ568 - MIN(D559:D568,L559:L568,T559:T568,AB559:AB568,AJ559:AJ568))/MIN(D559:D568,L559:L568,T559:T568,AB559:AB568,AJ559:AJ568)*100%)</f>
        <v>6.5547128927408551E-3</v>
      </c>
      <c r="AO571" s="44"/>
      <c r="AP571" s="51"/>
    </row>
    <row r="572" spans="1:42" ht="21" customHeight="1" thickTop="1" thickBot="1" x14ac:dyDescent="0.35">
      <c r="A572" s="63"/>
      <c r="B572" s="67"/>
      <c r="C572" s="53"/>
      <c r="D572" s="44"/>
      <c r="E572" s="44"/>
      <c r="F572" s="44"/>
      <c r="G572" s="44"/>
      <c r="H572" s="44"/>
      <c r="I572" s="44"/>
      <c r="J572" s="51"/>
      <c r="K572" s="53"/>
      <c r="L572" s="44"/>
      <c r="M572" s="44"/>
      <c r="N572" s="44"/>
      <c r="O572" s="44"/>
      <c r="P572" s="44"/>
      <c r="Q572" s="44"/>
      <c r="R572" s="51"/>
      <c r="S572" s="53"/>
      <c r="T572" s="44"/>
      <c r="U572" s="44"/>
      <c r="V572" s="44"/>
      <c r="W572" s="44"/>
      <c r="X572" s="44"/>
      <c r="Y572" s="44"/>
      <c r="Z572" s="51"/>
      <c r="AA572" s="53"/>
      <c r="AB572" s="44"/>
      <c r="AC572" s="44"/>
      <c r="AD572" s="44"/>
      <c r="AE572" s="44"/>
      <c r="AF572" s="44"/>
      <c r="AG572" s="44"/>
      <c r="AH572" s="51"/>
      <c r="AI572" s="53"/>
      <c r="AJ572" s="44"/>
      <c r="AK572" s="44"/>
      <c r="AL572" s="44"/>
      <c r="AM572" s="44"/>
      <c r="AN572" s="44"/>
      <c r="AO572" s="44"/>
      <c r="AP572" s="51"/>
    </row>
    <row r="573" spans="1:42" ht="21" customHeight="1" thickTop="1" thickBot="1" x14ac:dyDescent="0.35">
      <c r="A573" s="63"/>
      <c r="B573" s="65" t="s">
        <v>104</v>
      </c>
      <c r="C573" s="59" t="s">
        <v>8</v>
      </c>
      <c r="D573" s="46" t="s">
        <v>9</v>
      </c>
      <c r="E573" s="46" t="s">
        <v>10</v>
      </c>
      <c r="F573" s="46" t="s">
        <v>11</v>
      </c>
      <c r="G573" s="46" t="s">
        <v>12</v>
      </c>
      <c r="H573" s="46" t="s">
        <v>13</v>
      </c>
      <c r="I573" s="46" t="s">
        <v>14</v>
      </c>
      <c r="J573" s="60" t="s">
        <v>15</v>
      </c>
      <c r="K573" s="59" t="s">
        <v>8</v>
      </c>
      <c r="L573" s="46" t="s">
        <v>9</v>
      </c>
      <c r="M573" s="46" t="s">
        <v>10</v>
      </c>
      <c r="N573" s="46" t="s">
        <v>11</v>
      </c>
      <c r="O573" s="46" t="s">
        <v>12</v>
      </c>
      <c r="P573" s="46" t="s">
        <v>13</v>
      </c>
      <c r="Q573" s="46" t="s">
        <v>14</v>
      </c>
      <c r="R573" s="60" t="s">
        <v>15</v>
      </c>
      <c r="S573" s="59" t="s">
        <v>8</v>
      </c>
      <c r="T573" s="46" t="s">
        <v>9</v>
      </c>
      <c r="U573" s="46" t="s">
        <v>10</v>
      </c>
      <c r="V573" s="46" t="s">
        <v>11</v>
      </c>
      <c r="W573" s="46" t="s">
        <v>12</v>
      </c>
      <c r="X573" s="46" t="s">
        <v>13</v>
      </c>
      <c r="Y573" s="46" t="s">
        <v>14</v>
      </c>
      <c r="Z573" s="60" t="s">
        <v>15</v>
      </c>
      <c r="AA573" s="59" t="s">
        <v>8</v>
      </c>
      <c r="AB573" s="46" t="s">
        <v>9</v>
      </c>
      <c r="AC573" s="46" t="s">
        <v>10</v>
      </c>
      <c r="AD573" s="46" t="s">
        <v>11</v>
      </c>
      <c r="AE573" s="46" t="s">
        <v>12</v>
      </c>
      <c r="AF573" s="46" t="s">
        <v>13</v>
      </c>
      <c r="AG573" s="46" t="s">
        <v>14</v>
      </c>
      <c r="AH573" s="60" t="s">
        <v>15</v>
      </c>
      <c r="AI573" s="59" t="s">
        <v>8</v>
      </c>
      <c r="AJ573" s="46" t="s">
        <v>9</v>
      </c>
      <c r="AK573" s="46" t="s">
        <v>10</v>
      </c>
      <c r="AL573" s="46" t="s">
        <v>11</v>
      </c>
      <c r="AM573" s="46" t="s">
        <v>12</v>
      </c>
      <c r="AN573" s="46" t="s">
        <v>13</v>
      </c>
      <c r="AO573" s="46" t="s">
        <v>14</v>
      </c>
      <c r="AP573" s="60" t="s">
        <v>15</v>
      </c>
    </row>
    <row r="574" spans="1:42" ht="21" customHeight="1" thickTop="1" thickBot="1" x14ac:dyDescent="0.35">
      <c r="A574" s="63"/>
      <c r="B574" s="66"/>
      <c r="C574" s="52">
        <v>1</v>
      </c>
      <c r="D574" s="44">
        <v>308.80999999999989</v>
      </c>
      <c r="E574" s="44"/>
      <c r="F574" s="44"/>
      <c r="G574" s="44"/>
      <c r="H574" s="44"/>
      <c r="I574" s="44"/>
      <c r="J574" s="51"/>
      <c r="K574" s="52">
        <v>1</v>
      </c>
      <c r="L574" s="44">
        <v>309.61999999999989</v>
      </c>
      <c r="M574" s="44"/>
      <c r="N574" s="44"/>
      <c r="O574" s="44"/>
      <c r="P574" s="44"/>
      <c r="Q574" s="44"/>
      <c r="R574" s="51"/>
      <c r="S574" s="52">
        <v>1</v>
      </c>
      <c r="T574" s="44">
        <v>312.1699999999999</v>
      </c>
      <c r="U574" s="44"/>
      <c r="V574" s="44"/>
      <c r="W574" s="44"/>
      <c r="X574" s="44"/>
      <c r="Y574" s="44"/>
      <c r="Z574" s="51"/>
      <c r="AA574" s="52">
        <v>1</v>
      </c>
      <c r="AB574" s="44">
        <v>309.44999999999987</v>
      </c>
      <c r="AC574" s="44"/>
      <c r="AD574" s="44"/>
      <c r="AE574" s="44"/>
      <c r="AF574" s="44"/>
      <c r="AG574" s="44"/>
      <c r="AH574" s="51"/>
      <c r="AI574" s="52">
        <v>1</v>
      </c>
      <c r="AJ574" s="44">
        <v>309.55</v>
      </c>
      <c r="AK574" s="44"/>
      <c r="AL574" s="44"/>
      <c r="AM574" s="44"/>
      <c r="AN574" s="44"/>
      <c r="AO574" s="44"/>
      <c r="AP574" s="51"/>
    </row>
    <row r="575" spans="1:42" ht="21" customHeight="1" thickTop="1" thickBot="1" x14ac:dyDescent="0.35">
      <c r="A575" s="63"/>
      <c r="B575" s="66"/>
      <c r="C575" s="53">
        <v>2</v>
      </c>
      <c r="D575" s="45">
        <v>308.43999999999988</v>
      </c>
      <c r="E575" s="45"/>
      <c r="F575" s="45"/>
      <c r="G575" s="45"/>
      <c r="H575" s="45"/>
      <c r="I575" s="45"/>
      <c r="J575" s="51"/>
      <c r="K575" s="53">
        <v>2</v>
      </c>
      <c r="L575" s="45">
        <v>309.26999999999992</v>
      </c>
      <c r="M575" s="45"/>
      <c r="N575" s="45"/>
      <c r="O575" s="45"/>
      <c r="P575" s="45"/>
      <c r="Q575" s="45"/>
      <c r="R575" s="51"/>
      <c r="S575" s="53">
        <v>2</v>
      </c>
      <c r="T575" s="45">
        <v>310.7299999999999</v>
      </c>
      <c r="U575" s="45"/>
      <c r="V575" s="45"/>
      <c r="W575" s="45"/>
      <c r="X575" s="45"/>
      <c r="Y575" s="45"/>
      <c r="Z575" s="51"/>
      <c r="AA575" s="53">
        <v>2</v>
      </c>
      <c r="AB575" s="45">
        <v>310.94999999999987</v>
      </c>
      <c r="AC575" s="45"/>
      <c r="AD575" s="45"/>
      <c r="AE575" s="45"/>
      <c r="AF575" s="45"/>
      <c r="AG575" s="45"/>
      <c r="AH575" s="51"/>
      <c r="AI575" s="53">
        <v>2</v>
      </c>
      <c r="AJ575" s="45">
        <v>309.47000000000003</v>
      </c>
      <c r="AK575" s="45"/>
      <c r="AL575" s="45"/>
      <c r="AM575" s="45"/>
      <c r="AN575" s="45"/>
      <c r="AO575" s="45"/>
      <c r="AP575" s="51"/>
    </row>
    <row r="576" spans="1:42" ht="21" customHeight="1" thickTop="1" thickBot="1" x14ac:dyDescent="0.35">
      <c r="A576" s="63"/>
      <c r="B576" s="66"/>
      <c r="C576" s="53">
        <v>3</v>
      </c>
      <c r="D576" s="45">
        <v>308.48</v>
      </c>
      <c r="E576" s="45"/>
      <c r="F576" s="45"/>
      <c r="G576" s="44"/>
      <c r="H576" s="44"/>
      <c r="I576" s="44"/>
      <c r="J576" s="51"/>
      <c r="K576" s="53">
        <v>3</v>
      </c>
      <c r="L576" s="45">
        <v>309.55</v>
      </c>
      <c r="M576" s="45"/>
      <c r="N576" s="45"/>
      <c r="O576" s="44"/>
      <c r="P576" s="44"/>
      <c r="Q576" s="44"/>
      <c r="R576" s="51"/>
      <c r="S576" s="53">
        <v>3</v>
      </c>
      <c r="T576" s="45">
        <v>309.8</v>
      </c>
      <c r="U576" s="45"/>
      <c r="V576" s="45"/>
      <c r="W576" s="44"/>
      <c r="X576" s="44"/>
      <c r="Y576" s="44"/>
      <c r="Z576" s="51"/>
      <c r="AA576" s="53">
        <v>3</v>
      </c>
      <c r="AB576" s="45">
        <v>309.21999999999991</v>
      </c>
      <c r="AC576" s="45"/>
      <c r="AD576" s="45"/>
      <c r="AE576" s="44"/>
      <c r="AF576" s="44"/>
      <c r="AG576" s="44"/>
      <c r="AH576" s="51"/>
      <c r="AI576" s="53">
        <v>3</v>
      </c>
      <c r="AJ576" s="45">
        <v>309.63999999999987</v>
      </c>
      <c r="AK576" s="45"/>
      <c r="AL576" s="45"/>
      <c r="AM576" s="44"/>
      <c r="AN576" s="44"/>
      <c r="AO576" s="44"/>
      <c r="AP576" s="51"/>
    </row>
    <row r="577" spans="1:42" ht="21" customHeight="1" thickTop="1" thickBot="1" x14ac:dyDescent="0.35">
      <c r="A577" s="63"/>
      <c r="B577" s="66"/>
      <c r="C577" s="53">
        <v>4</v>
      </c>
      <c r="D577" s="45">
        <v>308.33999999999997</v>
      </c>
      <c r="E577" s="45"/>
      <c r="F577" s="45"/>
      <c r="G577" s="45"/>
      <c r="H577" s="45"/>
      <c r="I577" s="45"/>
      <c r="J577" s="51"/>
      <c r="K577" s="53">
        <v>4</v>
      </c>
      <c r="L577" s="45">
        <v>309.56999999999988</v>
      </c>
      <c r="M577" s="45"/>
      <c r="N577" s="45"/>
      <c r="O577" s="45"/>
      <c r="P577" s="45"/>
      <c r="Q577" s="45"/>
      <c r="R577" s="51"/>
      <c r="S577" s="53">
        <v>4</v>
      </c>
      <c r="T577" s="45">
        <v>309.65999999999991</v>
      </c>
      <c r="U577" s="45"/>
      <c r="V577" s="45"/>
      <c r="W577" s="45"/>
      <c r="X577" s="45"/>
      <c r="Y577" s="45"/>
      <c r="Z577" s="51"/>
      <c r="AA577" s="53">
        <v>4</v>
      </c>
      <c r="AB577" s="45">
        <v>310.01999999999992</v>
      </c>
      <c r="AC577" s="45"/>
      <c r="AD577" s="45"/>
      <c r="AE577" s="45"/>
      <c r="AF577" s="45"/>
      <c r="AG577" s="45"/>
      <c r="AH577" s="51"/>
      <c r="AI577" s="53">
        <v>4</v>
      </c>
      <c r="AJ577" s="45">
        <v>310.08999999999997</v>
      </c>
      <c r="AK577" s="45"/>
      <c r="AL577" s="45"/>
      <c r="AM577" s="45"/>
      <c r="AN577" s="45"/>
      <c r="AO577" s="45"/>
      <c r="AP577" s="51"/>
    </row>
    <row r="578" spans="1:42" ht="21" customHeight="1" thickTop="1" thickBot="1" x14ac:dyDescent="0.35">
      <c r="A578" s="63"/>
      <c r="B578" s="66"/>
      <c r="C578" s="53">
        <v>5</v>
      </c>
      <c r="D578" s="45">
        <v>309.67</v>
      </c>
      <c r="E578" s="45"/>
      <c r="F578" s="45"/>
      <c r="G578" s="45"/>
      <c r="H578" s="45"/>
      <c r="I578" s="45"/>
      <c r="J578" s="51"/>
      <c r="K578" s="53">
        <v>5</v>
      </c>
      <c r="L578" s="45">
        <v>309.36</v>
      </c>
      <c r="M578" s="45"/>
      <c r="N578" s="45"/>
      <c r="O578" s="45"/>
      <c r="P578" s="45"/>
      <c r="Q578" s="45"/>
      <c r="R578" s="51"/>
      <c r="S578" s="53">
        <v>5</v>
      </c>
      <c r="T578" s="45">
        <v>311.98</v>
      </c>
      <c r="U578" s="45"/>
      <c r="V578" s="45"/>
      <c r="W578" s="45"/>
      <c r="X578" s="45"/>
      <c r="Y578" s="45"/>
      <c r="Z578" s="51"/>
      <c r="AA578" s="53">
        <v>5</v>
      </c>
      <c r="AB578" s="45">
        <v>308.80999999999989</v>
      </c>
      <c r="AC578" s="45"/>
      <c r="AD578" s="45"/>
      <c r="AE578" s="45"/>
      <c r="AF578" s="45"/>
      <c r="AG578" s="45"/>
      <c r="AH578" s="51"/>
      <c r="AI578" s="53">
        <v>5</v>
      </c>
      <c r="AJ578" s="45">
        <v>310.00999999999988</v>
      </c>
      <c r="AK578" s="45"/>
      <c r="AL578" s="45"/>
      <c r="AM578" s="45"/>
      <c r="AN578" s="45"/>
      <c r="AO578" s="45"/>
      <c r="AP578" s="51"/>
    </row>
    <row r="579" spans="1:42" ht="21" customHeight="1" thickTop="1" thickBot="1" x14ac:dyDescent="0.35">
      <c r="A579" s="63"/>
      <c r="B579" s="66"/>
      <c r="C579" s="53">
        <v>6</v>
      </c>
      <c r="D579" s="45">
        <v>309.59999999999991</v>
      </c>
      <c r="E579" s="45"/>
      <c r="F579" s="45"/>
      <c r="G579" s="45"/>
      <c r="H579" s="45"/>
      <c r="I579" s="45"/>
      <c r="J579" s="51"/>
      <c r="K579" s="53">
        <v>6</v>
      </c>
      <c r="L579" s="45">
        <v>310.13</v>
      </c>
      <c r="M579" s="45"/>
      <c r="N579" s="45"/>
      <c r="O579" s="45"/>
      <c r="P579" s="45"/>
      <c r="Q579" s="45"/>
      <c r="R579" s="51"/>
      <c r="S579" s="53">
        <v>6</v>
      </c>
      <c r="T579" s="45">
        <v>311.45</v>
      </c>
      <c r="U579" s="45"/>
      <c r="V579" s="45"/>
      <c r="W579" s="45"/>
      <c r="X579" s="45"/>
      <c r="Y579" s="45"/>
      <c r="Z579" s="51"/>
      <c r="AA579" s="53">
        <v>6</v>
      </c>
      <c r="AB579" s="45">
        <v>310.86999999999989</v>
      </c>
      <c r="AC579" s="45"/>
      <c r="AD579" s="45"/>
      <c r="AE579" s="45"/>
      <c r="AF579" s="45"/>
      <c r="AG579" s="45"/>
      <c r="AH579" s="51"/>
      <c r="AI579" s="53">
        <v>6</v>
      </c>
      <c r="AJ579" s="45">
        <v>309.58999999999992</v>
      </c>
      <c r="AK579" s="45"/>
      <c r="AL579" s="45"/>
      <c r="AM579" s="45"/>
      <c r="AN579" s="45"/>
      <c r="AO579" s="45"/>
      <c r="AP579" s="51"/>
    </row>
    <row r="580" spans="1:42" ht="21" customHeight="1" thickTop="1" thickBot="1" x14ac:dyDescent="0.35">
      <c r="A580" s="63"/>
      <c r="B580" s="66"/>
      <c r="C580" s="53">
        <v>7</v>
      </c>
      <c r="D580" s="45">
        <v>309.31999999999988</v>
      </c>
      <c r="E580" s="45"/>
      <c r="F580" s="45"/>
      <c r="G580" s="45"/>
      <c r="H580" s="45"/>
      <c r="I580" s="45"/>
      <c r="J580" s="51"/>
      <c r="K580" s="53">
        <v>7</v>
      </c>
      <c r="L580" s="45">
        <v>309.64999999999998</v>
      </c>
      <c r="M580" s="45"/>
      <c r="N580" s="45"/>
      <c r="O580" s="45"/>
      <c r="P580" s="45"/>
      <c r="Q580" s="45"/>
      <c r="R580" s="51"/>
      <c r="S580" s="53">
        <v>7</v>
      </c>
      <c r="T580" s="45">
        <v>311.61999999999989</v>
      </c>
      <c r="U580" s="45"/>
      <c r="V580" s="45"/>
      <c r="W580" s="45"/>
      <c r="X580" s="45"/>
      <c r="Y580" s="45"/>
      <c r="Z580" s="51"/>
      <c r="AA580" s="53">
        <v>7</v>
      </c>
      <c r="AB580" s="45">
        <v>311.97999999999979</v>
      </c>
      <c r="AC580" s="45"/>
      <c r="AD580" s="45"/>
      <c r="AE580" s="45"/>
      <c r="AF580" s="45"/>
      <c r="AG580" s="45"/>
      <c r="AH580" s="51"/>
      <c r="AI580" s="53">
        <v>7</v>
      </c>
      <c r="AJ580" s="45">
        <v>309.89999999999992</v>
      </c>
      <c r="AK580" s="45"/>
      <c r="AL580" s="45"/>
      <c r="AM580" s="45"/>
      <c r="AN580" s="45"/>
      <c r="AO580" s="45"/>
      <c r="AP580" s="51"/>
    </row>
    <row r="581" spans="1:42" ht="21" customHeight="1" thickTop="1" thickBot="1" x14ac:dyDescent="0.35">
      <c r="A581" s="63"/>
      <c r="B581" s="66"/>
      <c r="C581" s="53">
        <v>8</v>
      </c>
      <c r="D581" s="45">
        <v>310.37999999999988</v>
      </c>
      <c r="E581" s="45"/>
      <c r="F581" s="45"/>
      <c r="G581" s="45"/>
      <c r="H581" s="45"/>
      <c r="I581" s="45"/>
      <c r="J581" s="51"/>
      <c r="K581" s="53">
        <v>8</v>
      </c>
      <c r="L581" s="45">
        <v>309.15999999999991</v>
      </c>
      <c r="M581" s="45"/>
      <c r="N581" s="45"/>
      <c r="O581" s="45"/>
      <c r="P581" s="45"/>
      <c r="Q581" s="45"/>
      <c r="R581" s="51"/>
      <c r="S581" s="53">
        <v>8</v>
      </c>
      <c r="T581" s="45">
        <v>311.9799999999999</v>
      </c>
      <c r="U581" s="45"/>
      <c r="V581" s="45"/>
      <c r="W581" s="45"/>
      <c r="X581" s="45"/>
      <c r="Y581" s="45"/>
      <c r="Z581" s="51"/>
      <c r="AA581" s="53">
        <v>8</v>
      </c>
      <c r="AB581" s="45">
        <v>309.19999999999987</v>
      </c>
      <c r="AC581" s="45"/>
      <c r="AD581" s="45"/>
      <c r="AE581" s="45"/>
      <c r="AF581" s="45"/>
      <c r="AG581" s="45"/>
      <c r="AH581" s="51"/>
      <c r="AI581" s="53">
        <v>8</v>
      </c>
      <c r="AJ581" s="45">
        <v>309.82999999999993</v>
      </c>
      <c r="AK581" s="45"/>
      <c r="AL581" s="45"/>
      <c r="AM581" s="45"/>
      <c r="AN581" s="45"/>
      <c r="AO581" s="45"/>
      <c r="AP581" s="51"/>
    </row>
    <row r="582" spans="1:42" ht="21" customHeight="1" thickTop="1" thickBot="1" x14ac:dyDescent="0.35">
      <c r="A582" s="63"/>
      <c r="B582" s="66"/>
      <c r="C582" s="53">
        <v>9</v>
      </c>
      <c r="D582" s="45">
        <v>309.74</v>
      </c>
      <c r="E582" s="45"/>
      <c r="F582" s="45"/>
      <c r="G582" s="45"/>
      <c r="H582" s="45"/>
      <c r="I582" s="45"/>
      <c r="J582" s="51"/>
      <c r="K582" s="53">
        <v>9</v>
      </c>
      <c r="L582" s="45">
        <v>309.93</v>
      </c>
      <c r="M582" s="45"/>
      <c r="N582" s="45"/>
      <c r="O582" s="45"/>
      <c r="P582" s="45"/>
      <c r="Q582" s="45"/>
      <c r="R582" s="51"/>
      <c r="S582" s="53">
        <v>9</v>
      </c>
      <c r="T582" s="45">
        <v>311.42999999999989</v>
      </c>
      <c r="U582" s="45"/>
      <c r="V582" s="45"/>
      <c r="W582" s="45"/>
      <c r="X582" s="45"/>
      <c r="Y582" s="45"/>
      <c r="Z582" s="51"/>
      <c r="AA582" s="53">
        <v>9</v>
      </c>
      <c r="AB582" s="45">
        <v>309.3</v>
      </c>
      <c r="AC582" s="45"/>
      <c r="AD582" s="45"/>
      <c r="AE582" s="45"/>
      <c r="AF582" s="45"/>
      <c r="AG582" s="45"/>
      <c r="AH582" s="51"/>
      <c r="AI582" s="53">
        <v>9</v>
      </c>
      <c r="AJ582" s="45">
        <v>309.12999999999988</v>
      </c>
      <c r="AK582" s="45"/>
      <c r="AL582" s="45"/>
      <c r="AM582" s="45"/>
      <c r="AN582" s="45"/>
      <c r="AO582" s="45"/>
      <c r="AP582" s="51"/>
    </row>
    <row r="583" spans="1:42" ht="21" customHeight="1" thickTop="1" thickBot="1" x14ac:dyDescent="0.35">
      <c r="A583" s="63"/>
      <c r="B583" s="66"/>
      <c r="C583" s="53">
        <v>10</v>
      </c>
      <c r="D583" s="45">
        <v>309.33999999999992</v>
      </c>
      <c r="E583" s="45"/>
      <c r="F583" s="45"/>
      <c r="G583" s="45"/>
      <c r="H583" s="45"/>
      <c r="I583" s="45"/>
      <c r="J583" s="51"/>
      <c r="K583" s="53">
        <v>10</v>
      </c>
      <c r="L583" s="45">
        <v>309.61999999999989</v>
      </c>
      <c r="M583" s="45"/>
      <c r="N583" s="45"/>
      <c r="O583" s="45"/>
      <c r="P583" s="45"/>
      <c r="Q583" s="45"/>
      <c r="R583" s="51"/>
      <c r="S583" s="53">
        <v>10</v>
      </c>
      <c r="T583" s="45">
        <v>309.96999999999991</v>
      </c>
      <c r="U583" s="45"/>
      <c r="V583" s="45"/>
      <c r="W583" s="45"/>
      <c r="X583" s="45"/>
      <c r="Y583" s="45"/>
      <c r="Z583" s="51"/>
      <c r="AA583" s="53">
        <v>10</v>
      </c>
      <c r="AB583" s="45">
        <v>309.49</v>
      </c>
      <c r="AC583" s="45"/>
      <c r="AD583" s="45"/>
      <c r="AE583" s="45"/>
      <c r="AF583" s="45"/>
      <c r="AG583" s="45"/>
      <c r="AH583" s="51"/>
      <c r="AI583" s="53">
        <v>10</v>
      </c>
      <c r="AJ583" s="45">
        <v>309.90999999999991</v>
      </c>
      <c r="AK583" s="45"/>
      <c r="AL583" s="45"/>
      <c r="AM583" s="45"/>
      <c r="AN583" s="45"/>
      <c r="AO583" s="45"/>
      <c r="AP583" s="51"/>
    </row>
    <row r="584" spans="1:42" ht="21" customHeight="1" thickTop="1" thickBot="1" x14ac:dyDescent="0.35">
      <c r="A584" s="63"/>
      <c r="B584" s="66"/>
      <c r="C584" s="53"/>
      <c r="D584" s="45"/>
      <c r="E584" s="45"/>
      <c r="F584" s="45"/>
      <c r="G584" s="45"/>
      <c r="H584" s="45"/>
      <c r="I584" s="45"/>
      <c r="J584" s="51"/>
      <c r="K584" s="53"/>
      <c r="L584" s="45"/>
      <c r="M584" s="45"/>
      <c r="N584" s="45"/>
      <c r="O584" s="45"/>
      <c r="P584" s="45"/>
      <c r="Q584" s="45"/>
      <c r="R584" s="51"/>
      <c r="S584" s="53"/>
      <c r="T584" s="45"/>
      <c r="U584" s="45"/>
      <c r="V584" s="45"/>
      <c r="W584" s="45"/>
      <c r="X584" s="45"/>
      <c r="Y584" s="45"/>
      <c r="Z584" s="51"/>
      <c r="AA584" s="53"/>
      <c r="AB584" s="45"/>
      <c r="AC584" s="45"/>
      <c r="AD584" s="45"/>
      <c r="AE584" s="45"/>
      <c r="AF584" s="45"/>
      <c r="AG584" s="45"/>
      <c r="AH584" s="51"/>
      <c r="AI584" s="53"/>
      <c r="AJ584" s="45"/>
      <c r="AK584" s="45"/>
      <c r="AL584" s="45"/>
      <c r="AM584" s="45"/>
      <c r="AN584" s="45"/>
      <c r="AO584" s="45"/>
      <c r="AP584" s="51"/>
    </row>
    <row r="585" spans="1:42" ht="21" customHeight="1" thickTop="1" thickBot="1" x14ac:dyDescent="0.35">
      <c r="A585" s="63"/>
      <c r="B585" s="66"/>
      <c r="C585" s="54" t="s">
        <v>16</v>
      </c>
      <c r="D585" s="49">
        <f>MIN(D574:D583)</f>
        <v>308.33999999999997</v>
      </c>
      <c r="E585" s="45"/>
      <c r="F585" s="55" t="s">
        <v>17</v>
      </c>
      <c r="G585" s="49" t="s">
        <v>18</v>
      </c>
      <c r="H585" s="49" t="s">
        <v>19</v>
      </c>
      <c r="I585" s="45"/>
      <c r="J585" s="51"/>
      <c r="K585" s="54" t="s">
        <v>16</v>
      </c>
      <c r="L585" s="49">
        <f>MIN(L574:L583)</f>
        <v>309.15999999999991</v>
      </c>
      <c r="M585" s="45"/>
      <c r="N585" s="55" t="s">
        <v>17</v>
      </c>
      <c r="O585" s="49" t="s">
        <v>18</v>
      </c>
      <c r="P585" s="49" t="s">
        <v>19</v>
      </c>
      <c r="Q585" s="45"/>
      <c r="R585" s="51"/>
      <c r="S585" s="54" t="s">
        <v>16</v>
      </c>
      <c r="T585" s="49">
        <f>MIN(T574:T583)</f>
        <v>309.65999999999991</v>
      </c>
      <c r="U585" s="45"/>
      <c r="V585" s="55" t="s">
        <v>17</v>
      </c>
      <c r="W585" s="49" t="s">
        <v>18</v>
      </c>
      <c r="X585" s="49" t="s">
        <v>19</v>
      </c>
      <c r="Y585" s="45"/>
      <c r="Z585" s="51"/>
      <c r="AA585" s="54" t="s">
        <v>16</v>
      </c>
      <c r="AB585" s="49">
        <f>MIN(AB574:AB583)</f>
        <v>308.80999999999989</v>
      </c>
      <c r="AC585" s="45"/>
      <c r="AD585" s="55" t="s">
        <v>17</v>
      </c>
      <c r="AE585" s="49" t="s">
        <v>18</v>
      </c>
      <c r="AF585" s="49" t="s">
        <v>19</v>
      </c>
      <c r="AG585" s="45"/>
      <c r="AH585" s="51"/>
      <c r="AI585" s="54" t="s">
        <v>16</v>
      </c>
      <c r="AJ585" s="49">
        <f>MIN(AJ574:AJ583)</f>
        <v>309.12999999999988</v>
      </c>
      <c r="AK585" s="45"/>
      <c r="AL585" s="55" t="s">
        <v>17</v>
      </c>
      <c r="AM585" s="49" t="s">
        <v>18</v>
      </c>
      <c r="AN585" s="49" t="s">
        <v>19</v>
      </c>
      <c r="AO585" s="45"/>
      <c r="AP585" s="51"/>
    </row>
    <row r="586" spans="1:42" ht="21" customHeight="1" thickTop="1" thickBot="1" x14ac:dyDescent="0.35">
      <c r="A586" s="63"/>
      <c r="B586" s="66"/>
      <c r="C586" s="54" t="s">
        <v>20</v>
      </c>
      <c r="D586" s="48">
        <f>AVERAGE(D574:D583)</f>
        <v>309.21199999999988</v>
      </c>
      <c r="E586" s="47"/>
      <c r="F586" s="48">
        <f>_xlfn.STDEV.S(D574:D583) / AVERAGE(D574:D583) * 100%</f>
        <v>2.1788480335054486E-3</v>
      </c>
      <c r="G586" s="48">
        <f t="array" ref="G586">MIN((D574:D583 - MIN(D574:D583,L574:L583,T574:T583,AB574:AB583,AJ574:AJ583))/MIN(D574:D583,L574:L583,T574:T583,AB574:AB583,AJ574:AJ583)*100%)</f>
        <v>0</v>
      </c>
      <c r="H586" s="48">
        <f t="array" ref="H586">AVERAGE((D574:D583 - MIN(D574:D583,L574:L583,T574:T583,AB574:AB583,AJ574:AJ583))/MIN(D574:D583,L574:L583,T574:T583,AB574:AB583,AJ574:AJ583)*100%)</f>
        <v>2.828046961146666E-3</v>
      </c>
      <c r="I586" s="45"/>
      <c r="J586" s="51"/>
      <c r="K586" s="54" t="s">
        <v>20</v>
      </c>
      <c r="L586" s="48">
        <f>AVERAGE(L574:L583)</f>
        <v>309.58599999999996</v>
      </c>
      <c r="M586" s="47"/>
      <c r="N586" s="48">
        <f>_xlfn.STDEV.S(L574:L583) / AVERAGE(L574:L583) * 100%</f>
        <v>9.3533533862166026E-4</v>
      </c>
      <c r="O586" s="48">
        <f t="array" ref="O586">MIN((L574:L583 - MIN(D574:D583,L574:L583,T574:T583,AB574:AB583,AJ574:AJ583))/MIN(D574:D583,L574:L583,T574:T583,AB574:AB583,AJ574:AJ583)*100%)</f>
        <v>2.6594019588763586E-3</v>
      </c>
      <c r="P586" s="48">
        <f t="array" ref="P586">AVERAGE((L574:L583 - MIN(D574:D583,L574:L583,T574:T583,AB574:AB583,AJ574:AJ583))/MIN(D574:D583,L574:L583,T574:T583,AB574:AB583,AJ574:AJ583)*100%)</f>
        <v>4.0409937082440655E-3</v>
      </c>
      <c r="Q586" s="44"/>
      <c r="R586" s="51"/>
      <c r="S586" s="54" t="s">
        <v>20</v>
      </c>
      <c r="T586" s="48">
        <f>AVERAGE(T574:T583)</f>
        <v>311.07899999999995</v>
      </c>
      <c r="U586" s="47"/>
      <c r="V586" s="48">
        <f>_xlfn.STDEV.S(T574:T583) / AVERAGE(T574:T583) * 100%</f>
        <v>3.0997852103488454E-3</v>
      </c>
      <c r="W586" s="48">
        <f t="array" ref="W586">MIN((T574:T583 - MIN(D574:D583,L574:L583,T574:T583,AB574:AB583,AJ574:AJ583))/MIN(D574:D583,L574:L583,T574:T583,AB574:AB583,AJ574:AJ583)*100%)</f>
        <v>4.2809885191669467E-3</v>
      </c>
      <c r="X586" s="48">
        <f t="array" ref="X586">AVERAGE((T574:T583 - MIN(D574:D583,L574:L583,T574:T583,AB574:AB583,AJ574:AJ583))/MIN(D574:D583,L574:L583,T574:T583,AB574:AB583,AJ574:AJ583)*100%)</f>
        <v>8.8830511772717106E-3</v>
      </c>
      <c r="Y586" s="44"/>
      <c r="Z586" s="51"/>
      <c r="AA586" s="54" t="s">
        <v>20</v>
      </c>
      <c r="AB586" s="48">
        <f>AVERAGE(AB574:AB583)</f>
        <v>309.92899999999992</v>
      </c>
      <c r="AC586" s="47"/>
      <c r="AD586" s="48">
        <f>_xlfn.STDEV.S(AB574:AB583) / AVERAGE(AB574:AB583) * 100%</f>
        <v>3.2705016754547281E-3</v>
      </c>
      <c r="AE586" s="48">
        <f t="array" ref="AE586">MIN((AB574:AB583 - MIN(D574:D583,L574:L583,T574:T583,AB574:AB583,AJ574:AJ583))/MIN(D574:D583,L574:L583,T574:T583,AB574:AB583,AJ574:AJ583)*100%)</f>
        <v>1.5242913666728729E-3</v>
      </c>
      <c r="AF586" s="48">
        <f t="array" ref="AF586">AVERAGE((AB574:AB583 - MIN(D574:D583,L574:L583,T574:T583,AB574:AB583,AJ574:AJ583))/MIN(D574:D583,L574:L583,T574:T583,AB574:AB583,AJ574:AJ583)*100%)</f>
        <v>5.1534020886032641E-3</v>
      </c>
      <c r="AG586" s="44"/>
      <c r="AH586" s="51"/>
      <c r="AI586" s="54" t="s">
        <v>20</v>
      </c>
      <c r="AJ586" s="48">
        <f>AVERAGE(AJ574:AJ583)</f>
        <v>309.71199999999988</v>
      </c>
      <c r="AK586" s="47"/>
      <c r="AL586" s="48">
        <f>_xlfn.STDEV.S(AJ574:AJ583) / AVERAGE(AJ574:AJ583) * 100%</f>
        <v>9.405874230730139E-4</v>
      </c>
      <c r="AM586" s="48">
        <f t="array" ref="AM586">MIN((AJ574:AJ583 - MIN(D574:D583,L574:L583,T574:T583,AB574:AB583,AJ574:AJ583))/MIN(D574:D583,L574:L583,T574:T583,AB574:AB583,AJ574:AJ583)*100%)</f>
        <v>2.5621067652588274E-3</v>
      </c>
      <c r="AN586" s="48">
        <f t="array" ref="AN586">AVERAGE((AJ574:AJ583 - MIN(D574:D583,L574:L583,T574:T583,AB574:AB583,AJ574:AJ583))/MIN(D574:D583,L574:L583,T574:T583,AB574:AB583,AJ574:AJ583)*100%)</f>
        <v>4.4496335214372369E-3</v>
      </c>
      <c r="AO586" s="44"/>
      <c r="AP586" s="51"/>
    </row>
    <row r="587" spans="1:42" ht="21" customHeight="1" thickTop="1" thickBot="1" x14ac:dyDescent="0.35">
      <c r="A587" s="63"/>
      <c r="B587" s="67"/>
      <c r="C587" s="53"/>
      <c r="D587" s="44"/>
      <c r="E587" s="44"/>
      <c r="F587" s="44"/>
      <c r="G587" s="44"/>
      <c r="H587" s="44"/>
      <c r="I587" s="44"/>
      <c r="J587" s="51"/>
      <c r="K587" s="53"/>
      <c r="L587" s="44"/>
      <c r="M587" s="44"/>
      <c r="N587" s="44"/>
      <c r="O587" s="44"/>
      <c r="P587" s="44"/>
      <c r="Q587" s="44"/>
      <c r="R587" s="51"/>
      <c r="S587" s="53"/>
      <c r="T587" s="44"/>
      <c r="U587" s="44"/>
      <c r="V587" s="44"/>
      <c r="W587" s="44"/>
      <c r="X587" s="44"/>
      <c r="Y587" s="44"/>
      <c r="Z587" s="51"/>
      <c r="AA587" s="53"/>
      <c r="AB587" s="44"/>
      <c r="AC587" s="44"/>
      <c r="AD587" s="44"/>
      <c r="AE587" s="44"/>
      <c r="AF587" s="44"/>
      <c r="AG587" s="44"/>
      <c r="AH587" s="51"/>
      <c r="AI587" s="53"/>
      <c r="AJ587" s="44"/>
      <c r="AK587" s="44"/>
      <c r="AL587" s="44"/>
      <c r="AM587" s="44"/>
      <c r="AN587" s="44"/>
      <c r="AO587" s="44"/>
      <c r="AP587" s="51"/>
    </row>
    <row r="588" spans="1:42" ht="21" customHeight="1" thickTop="1" thickBot="1" x14ac:dyDescent="0.35">
      <c r="A588" s="63"/>
      <c r="B588" s="65" t="s">
        <v>105</v>
      </c>
      <c r="C588" s="59" t="s">
        <v>8</v>
      </c>
      <c r="D588" s="46" t="s">
        <v>9</v>
      </c>
      <c r="E588" s="46" t="s">
        <v>10</v>
      </c>
      <c r="F588" s="46" t="s">
        <v>11</v>
      </c>
      <c r="G588" s="46" t="s">
        <v>12</v>
      </c>
      <c r="H588" s="46" t="s">
        <v>13</v>
      </c>
      <c r="I588" s="46" t="s">
        <v>14</v>
      </c>
      <c r="J588" s="60" t="s">
        <v>15</v>
      </c>
      <c r="K588" s="59" t="s">
        <v>8</v>
      </c>
      <c r="L588" s="46" t="s">
        <v>9</v>
      </c>
      <c r="M588" s="46" t="s">
        <v>10</v>
      </c>
      <c r="N588" s="46" t="s">
        <v>11</v>
      </c>
      <c r="O588" s="46" t="s">
        <v>12</v>
      </c>
      <c r="P588" s="46" t="s">
        <v>13</v>
      </c>
      <c r="Q588" s="46" t="s">
        <v>14</v>
      </c>
      <c r="R588" s="60" t="s">
        <v>15</v>
      </c>
      <c r="S588" s="59" t="s">
        <v>8</v>
      </c>
      <c r="T588" s="46" t="s">
        <v>9</v>
      </c>
      <c r="U588" s="46" t="s">
        <v>10</v>
      </c>
      <c r="V588" s="46" t="s">
        <v>11</v>
      </c>
      <c r="W588" s="46" t="s">
        <v>12</v>
      </c>
      <c r="X588" s="46" t="s">
        <v>13</v>
      </c>
      <c r="Y588" s="46" t="s">
        <v>14</v>
      </c>
      <c r="Z588" s="60" t="s">
        <v>15</v>
      </c>
      <c r="AA588" s="59" t="s">
        <v>8</v>
      </c>
      <c r="AB588" s="46" t="s">
        <v>9</v>
      </c>
      <c r="AC588" s="46" t="s">
        <v>10</v>
      </c>
      <c r="AD588" s="46" t="s">
        <v>11</v>
      </c>
      <c r="AE588" s="46" t="s">
        <v>12</v>
      </c>
      <c r="AF588" s="46" t="s">
        <v>13</v>
      </c>
      <c r="AG588" s="46" t="s">
        <v>14</v>
      </c>
      <c r="AH588" s="60" t="s">
        <v>15</v>
      </c>
      <c r="AI588" s="59" t="s">
        <v>8</v>
      </c>
      <c r="AJ588" s="46" t="s">
        <v>9</v>
      </c>
      <c r="AK588" s="46" t="s">
        <v>10</v>
      </c>
      <c r="AL588" s="46" t="s">
        <v>11</v>
      </c>
      <c r="AM588" s="46" t="s">
        <v>12</v>
      </c>
      <c r="AN588" s="46" t="s">
        <v>13</v>
      </c>
      <c r="AO588" s="46" t="s">
        <v>14</v>
      </c>
      <c r="AP588" s="60" t="s">
        <v>15</v>
      </c>
    </row>
    <row r="589" spans="1:42" ht="21" customHeight="1" thickTop="1" thickBot="1" x14ac:dyDescent="0.35">
      <c r="A589" s="63"/>
      <c r="B589" s="66"/>
      <c r="C589" s="52">
        <v>1</v>
      </c>
      <c r="D589" s="44">
        <v>324.62999999999988</v>
      </c>
      <c r="E589" s="44"/>
      <c r="F589" s="44"/>
      <c r="G589" s="44"/>
      <c r="H589" s="44"/>
      <c r="I589" s="44"/>
      <c r="J589" s="51"/>
      <c r="K589" s="52">
        <v>1</v>
      </c>
      <c r="L589" s="44">
        <v>326.61999999999989</v>
      </c>
      <c r="M589" s="44"/>
      <c r="N589" s="44"/>
      <c r="O589" s="44"/>
      <c r="P589" s="44"/>
      <c r="Q589" s="44"/>
      <c r="R589" s="51"/>
      <c r="S589" s="52">
        <v>1</v>
      </c>
      <c r="T589" s="44">
        <v>328.02999999999992</v>
      </c>
      <c r="U589" s="44"/>
      <c r="V589" s="44"/>
      <c r="W589" s="44"/>
      <c r="X589" s="44"/>
      <c r="Y589" s="44"/>
      <c r="Z589" s="51"/>
      <c r="AA589" s="52">
        <v>1</v>
      </c>
      <c r="AB589" s="44">
        <v>326.0499999999999</v>
      </c>
      <c r="AC589" s="44"/>
      <c r="AD589" s="44"/>
      <c r="AE589" s="44"/>
      <c r="AF589" s="44"/>
      <c r="AG589" s="44"/>
      <c r="AH589" s="51"/>
      <c r="AI589" s="52">
        <v>1</v>
      </c>
      <c r="AJ589" s="44">
        <v>327.36999999999989</v>
      </c>
      <c r="AK589" s="44"/>
      <c r="AL589" s="44"/>
      <c r="AM589" s="44"/>
      <c r="AN589" s="44"/>
      <c r="AO589" s="44"/>
      <c r="AP589" s="51"/>
    </row>
    <row r="590" spans="1:42" ht="21" customHeight="1" thickTop="1" thickBot="1" x14ac:dyDescent="0.35">
      <c r="A590" s="63"/>
      <c r="B590" s="66"/>
      <c r="C590" s="53">
        <v>2</v>
      </c>
      <c r="D590" s="45">
        <v>324.88999999999987</v>
      </c>
      <c r="E590" s="45"/>
      <c r="F590" s="45"/>
      <c r="G590" s="45"/>
      <c r="H590" s="45"/>
      <c r="I590" s="45"/>
      <c r="J590" s="51"/>
      <c r="K590" s="53">
        <v>2</v>
      </c>
      <c r="L590" s="45">
        <v>326.47000000000003</v>
      </c>
      <c r="M590" s="45"/>
      <c r="N590" s="45"/>
      <c r="O590" s="45"/>
      <c r="P590" s="45"/>
      <c r="Q590" s="45"/>
      <c r="R590" s="51"/>
      <c r="S590" s="53">
        <v>2</v>
      </c>
      <c r="T590" s="45">
        <v>327.89999999999992</v>
      </c>
      <c r="U590" s="45"/>
      <c r="V590" s="45"/>
      <c r="W590" s="45"/>
      <c r="X590" s="45"/>
      <c r="Y590" s="45"/>
      <c r="Z590" s="51"/>
      <c r="AA590" s="53">
        <v>2</v>
      </c>
      <c r="AB590" s="45">
        <v>325.7399999999999</v>
      </c>
      <c r="AC590" s="45"/>
      <c r="AD590" s="45"/>
      <c r="AE590" s="45"/>
      <c r="AF590" s="45"/>
      <c r="AG590" s="45"/>
      <c r="AH590" s="51"/>
      <c r="AI590" s="53">
        <v>2</v>
      </c>
      <c r="AJ590" s="45">
        <v>327.62999999999988</v>
      </c>
      <c r="AK590" s="45"/>
      <c r="AL590" s="45"/>
      <c r="AM590" s="45"/>
      <c r="AN590" s="45"/>
      <c r="AO590" s="45"/>
      <c r="AP590" s="51"/>
    </row>
    <row r="591" spans="1:42" ht="21" customHeight="1" thickTop="1" thickBot="1" x14ac:dyDescent="0.35">
      <c r="A591" s="63"/>
      <c r="B591" s="66"/>
      <c r="C591" s="53">
        <v>3</v>
      </c>
      <c r="D591" s="45">
        <v>325.93999999999988</v>
      </c>
      <c r="E591" s="45"/>
      <c r="F591" s="45"/>
      <c r="G591" s="44"/>
      <c r="H591" s="44"/>
      <c r="I591" s="44"/>
      <c r="J591" s="51"/>
      <c r="K591" s="53">
        <v>3</v>
      </c>
      <c r="L591" s="45">
        <v>326.26</v>
      </c>
      <c r="M591" s="45"/>
      <c r="N591" s="45"/>
      <c r="O591" s="44"/>
      <c r="P591" s="44"/>
      <c r="Q591" s="44"/>
      <c r="R591" s="51"/>
      <c r="S591" s="53">
        <v>3</v>
      </c>
      <c r="T591" s="45">
        <v>327.9</v>
      </c>
      <c r="U591" s="45"/>
      <c r="V591" s="45"/>
      <c r="W591" s="44"/>
      <c r="X591" s="44"/>
      <c r="Y591" s="44"/>
      <c r="Z591" s="51"/>
      <c r="AA591" s="53">
        <v>3</v>
      </c>
      <c r="AB591" s="45">
        <v>325.59999999999991</v>
      </c>
      <c r="AC591" s="45"/>
      <c r="AD591" s="45"/>
      <c r="AE591" s="44"/>
      <c r="AF591" s="44"/>
      <c r="AG591" s="44"/>
      <c r="AH591" s="51"/>
      <c r="AI591" s="53">
        <v>3</v>
      </c>
      <c r="AJ591" s="45">
        <v>327.22000000000003</v>
      </c>
      <c r="AK591" s="45"/>
      <c r="AL591" s="45"/>
      <c r="AM591" s="44"/>
      <c r="AN591" s="44"/>
      <c r="AO591" s="44"/>
      <c r="AP591" s="51"/>
    </row>
    <row r="592" spans="1:42" ht="21" customHeight="1" thickTop="1" thickBot="1" x14ac:dyDescent="0.35">
      <c r="A592" s="63"/>
      <c r="B592" s="66"/>
      <c r="C592" s="53">
        <v>4</v>
      </c>
      <c r="D592" s="45">
        <v>325.82999999999993</v>
      </c>
      <c r="E592" s="45"/>
      <c r="F592" s="45"/>
      <c r="G592" s="45"/>
      <c r="H592" s="45"/>
      <c r="I592" s="45"/>
      <c r="J592" s="51"/>
      <c r="K592" s="53">
        <v>4</v>
      </c>
      <c r="L592" s="45">
        <v>326.33999999999997</v>
      </c>
      <c r="M592" s="45"/>
      <c r="N592" s="45"/>
      <c r="O592" s="45"/>
      <c r="P592" s="45"/>
      <c r="Q592" s="45"/>
      <c r="R592" s="51"/>
      <c r="S592" s="53">
        <v>4</v>
      </c>
      <c r="T592" s="45">
        <v>326.81999999999988</v>
      </c>
      <c r="U592" s="45"/>
      <c r="V592" s="45"/>
      <c r="W592" s="45"/>
      <c r="X592" s="45"/>
      <c r="Y592" s="45"/>
      <c r="Z592" s="51"/>
      <c r="AA592" s="53">
        <v>4</v>
      </c>
      <c r="AB592" s="45">
        <v>327.23</v>
      </c>
      <c r="AC592" s="45"/>
      <c r="AD592" s="45"/>
      <c r="AE592" s="45"/>
      <c r="AF592" s="45"/>
      <c r="AG592" s="45"/>
      <c r="AH592" s="51"/>
      <c r="AI592" s="53">
        <v>4</v>
      </c>
      <c r="AJ592" s="45">
        <v>327.53999999999991</v>
      </c>
      <c r="AK592" s="45"/>
      <c r="AL592" s="45"/>
      <c r="AM592" s="45"/>
      <c r="AN592" s="45"/>
      <c r="AO592" s="45"/>
      <c r="AP592" s="51"/>
    </row>
    <row r="593" spans="1:42" ht="21" customHeight="1" thickTop="1" thickBot="1" x14ac:dyDescent="0.35">
      <c r="A593" s="63"/>
      <c r="B593" s="66"/>
      <c r="C593" s="53">
        <v>5</v>
      </c>
      <c r="D593" s="45">
        <v>326.47000000000003</v>
      </c>
      <c r="E593" s="45"/>
      <c r="F593" s="45"/>
      <c r="G593" s="45"/>
      <c r="H593" s="45"/>
      <c r="I593" s="45"/>
      <c r="J593" s="51"/>
      <c r="K593" s="53">
        <v>5</v>
      </c>
      <c r="L593" s="45">
        <v>326.24999999999989</v>
      </c>
      <c r="M593" s="45"/>
      <c r="N593" s="45"/>
      <c r="O593" s="45"/>
      <c r="P593" s="45"/>
      <c r="Q593" s="45"/>
      <c r="R593" s="51"/>
      <c r="S593" s="53">
        <v>5</v>
      </c>
      <c r="T593" s="45">
        <v>327.75999999999988</v>
      </c>
      <c r="U593" s="45"/>
      <c r="V593" s="45"/>
      <c r="W593" s="45"/>
      <c r="X593" s="45"/>
      <c r="Y593" s="45"/>
      <c r="Z593" s="51"/>
      <c r="AA593" s="53">
        <v>5</v>
      </c>
      <c r="AB593" s="45">
        <v>325.74</v>
      </c>
      <c r="AC593" s="45"/>
      <c r="AD593" s="45"/>
      <c r="AE593" s="45"/>
      <c r="AF593" s="45"/>
      <c r="AG593" s="45"/>
      <c r="AH593" s="51"/>
      <c r="AI593" s="53">
        <v>5</v>
      </c>
      <c r="AJ593" s="45">
        <v>326.81999999999988</v>
      </c>
      <c r="AK593" s="45"/>
      <c r="AL593" s="45"/>
      <c r="AM593" s="45"/>
      <c r="AN593" s="45"/>
      <c r="AO593" s="45"/>
      <c r="AP593" s="51"/>
    </row>
    <row r="594" spans="1:42" ht="21" customHeight="1" thickTop="1" thickBot="1" x14ac:dyDescent="0.35">
      <c r="A594" s="63"/>
      <c r="B594" s="66"/>
      <c r="C594" s="53">
        <v>6</v>
      </c>
      <c r="D594" s="45">
        <v>325.80999999999989</v>
      </c>
      <c r="E594" s="45"/>
      <c r="F594" s="45"/>
      <c r="G594" s="45"/>
      <c r="H594" s="45"/>
      <c r="I594" s="45"/>
      <c r="J594" s="51"/>
      <c r="K594" s="53">
        <v>6</v>
      </c>
      <c r="L594" s="45">
        <v>325.52999999999992</v>
      </c>
      <c r="M594" s="45"/>
      <c r="N594" s="45"/>
      <c r="O594" s="45"/>
      <c r="P594" s="45"/>
      <c r="Q594" s="45"/>
      <c r="R594" s="51"/>
      <c r="S594" s="53">
        <v>6</v>
      </c>
      <c r="T594" s="45">
        <v>326.79000000000002</v>
      </c>
      <c r="U594" s="45"/>
      <c r="V594" s="45"/>
      <c r="W594" s="45"/>
      <c r="X594" s="45"/>
      <c r="Y594" s="45"/>
      <c r="Z594" s="51"/>
      <c r="AA594" s="53">
        <v>6</v>
      </c>
      <c r="AB594" s="45">
        <v>325.52999999999992</v>
      </c>
      <c r="AC594" s="45"/>
      <c r="AD594" s="45"/>
      <c r="AE594" s="45"/>
      <c r="AF594" s="45"/>
      <c r="AG594" s="45"/>
      <c r="AH594" s="51"/>
      <c r="AI594" s="53">
        <v>6</v>
      </c>
      <c r="AJ594" s="45">
        <v>327.18999999999988</v>
      </c>
      <c r="AK594" s="45"/>
      <c r="AL594" s="45"/>
      <c r="AM594" s="45"/>
      <c r="AN594" s="45"/>
      <c r="AO594" s="45"/>
      <c r="AP594" s="51"/>
    </row>
    <row r="595" spans="1:42" ht="21" customHeight="1" thickTop="1" thickBot="1" x14ac:dyDescent="0.35">
      <c r="A595" s="63"/>
      <c r="B595" s="66"/>
      <c r="C595" s="53">
        <v>7</v>
      </c>
      <c r="D595" s="45">
        <v>325.82999999999993</v>
      </c>
      <c r="E595" s="45"/>
      <c r="F595" s="45"/>
      <c r="G595" s="45"/>
      <c r="H595" s="45"/>
      <c r="I595" s="45"/>
      <c r="J595" s="51"/>
      <c r="K595" s="53">
        <v>7</v>
      </c>
      <c r="L595" s="45">
        <v>325.92999999999989</v>
      </c>
      <c r="M595" s="45"/>
      <c r="N595" s="45"/>
      <c r="O595" s="45"/>
      <c r="P595" s="45"/>
      <c r="Q595" s="45"/>
      <c r="R595" s="51"/>
      <c r="S595" s="53">
        <v>7</v>
      </c>
      <c r="T595" s="45">
        <v>328.02</v>
      </c>
      <c r="U595" s="45"/>
      <c r="V595" s="45"/>
      <c r="W595" s="45"/>
      <c r="X595" s="45"/>
      <c r="Y595" s="45"/>
      <c r="Z595" s="51"/>
      <c r="AA595" s="53">
        <v>7</v>
      </c>
      <c r="AB595" s="45">
        <v>325.17999999999989</v>
      </c>
      <c r="AC595" s="45"/>
      <c r="AD595" s="45"/>
      <c r="AE595" s="45"/>
      <c r="AF595" s="45"/>
      <c r="AG595" s="45"/>
      <c r="AH595" s="51"/>
      <c r="AI595" s="53">
        <v>7</v>
      </c>
      <c r="AJ595" s="45">
        <v>327.61999999999989</v>
      </c>
      <c r="AK595" s="45"/>
      <c r="AL595" s="45"/>
      <c r="AM595" s="45"/>
      <c r="AN595" s="45"/>
      <c r="AO595" s="45"/>
      <c r="AP595" s="51"/>
    </row>
    <row r="596" spans="1:42" ht="21" customHeight="1" thickTop="1" thickBot="1" x14ac:dyDescent="0.35">
      <c r="A596" s="63"/>
      <c r="B596" s="66"/>
      <c r="C596" s="53">
        <v>8</v>
      </c>
      <c r="D596" s="45">
        <v>325.7399999999999</v>
      </c>
      <c r="E596" s="45"/>
      <c r="F596" s="45"/>
      <c r="G596" s="45"/>
      <c r="H596" s="45"/>
      <c r="I596" s="45"/>
      <c r="J596" s="51"/>
      <c r="K596" s="53">
        <v>8</v>
      </c>
      <c r="L596" s="45">
        <v>326.32999999999993</v>
      </c>
      <c r="M596" s="45"/>
      <c r="N596" s="45"/>
      <c r="O596" s="45"/>
      <c r="P596" s="45"/>
      <c r="Q596" s="45"/>
      <c r="R596" s="51"/>
      <c r="S596" s="53">
        <v>8</v>
      </c>
      <c r="T596" s="45">
        <v>327.30999999999989</v>
      </c>
      <c r="U596" s="45"/>
      <c r="V596" s="45"/>
      <c r="W596" s="45"/>
      <c r="X596" s="45"/>
      <c r="Y596" s="45"/>
      <c r="Z596" s="51"/>
      <c r="AA596" s="53">
        <v>8</v>
      </c>
      <c r="AB596" s="45">
        <v>325.83</v>
      </c>
      <c r="AC596" s="45"/>
      <c r="AD596" s="45"/>
      <c r="AE596" s="45"/>
      <c r="AF596" s="45"/>
      <c r="AG596" s="45"/>
      <c r="AH596" s="51"/>
      <c r="AI596" s="53">
        <v>8</v>
      </c>
      <c r="AJ596" s="45">
        <v>326.81999999999988</v>
      </c>
      <c r="AK596" s="45"/>
      <c r="AL596" s="45"/>
      <c r="AM596" s="45"/>
      <c r="AN596" s="45"/>
      <c r="AO596" s="45"/>
      <c r="AP596" s="51"/>
    </row>
    <row r="597" spans="1:42" ht="21" customHeight="1" thickTop="1" thickBot="1" x14ac:dyDescent="0.35">
      <c r="A597" s="63"/>
      <c r="B597" s="66"/>
      <c r="C597" s="53">
        <v>9</v>
      </c>
      <c r="D597" s="45">
        <v>325.7999999999999</v>
      </c>
      <c r="E597" s="45"/>
      <c r="F597" s="45"/>
      <c r="G597" s="45"/>
      <c r="H597" s="45"/>
      <c r="I597" s="45"/>
      <c r="J597" s="51"/>
      <c r="K597" s="53">
        <v>9</v>
      </c>
      <c r="L597" s="45">
        <v>325.76999999999992</v>
      </c>
      <c r="M597" s="45"/>
      <c r="N597" s="45"/>
      <c r="O597" s="45"/>
      <c r="P597" s="45"/>
      <c r="Q597" s="45"/>
      <c r="R597" s="51"/>
      <c r="S597" s="53">
        <v>9</v>
      </c>
      <c r="T597" s="45">
        <v>326.92999999999989</v>
      </c>
      <c r="U597" s="45"/>
      <c r="V597" s="45"/>
      <c r="W597" s="45"/>
      <c r="X597" s="45"/>
      <c r="Y597" s="45"/>
      <c r="Z597" s="51"/>
      <c r="AA597" s="53">
        <v>9</v>
      </c>
      <c r="AB597" s="45">
        <v>325.80999999999989</v>
      </c>
      <c r="AC597" s="45"/>
      <c r="AD597" s="45"/>
      <c r="AE597" s="45"/>
      <c r="AF597" s="45"/>
      <c r="AG597" s="45"/>
      <c r="AH597" s="51"/>
      <c r="AI597" s="53">
        <v>9</v>
      </c>
      <c r="AJ597" s="45">
        <v>326.86999999999989</v>
      </c>
      <c r="AK597" s="45"/>
      <c r="AL597" s="45"/>
      <c r="AM597" s="45"/>
      <c r="AN597" s="45"/>
      <c r="AO597" s="45"/>
      <c r="AP597" s="51"/>
    </row>
    <row r="598" spans="1:42" ht="21" customHeight="1" thickTop="1" thickBot="1" x14ac:dyDescent="0.35">
      <c r="A598" s="63"/>
      <c r="B598" s="66"/>
      <c r="C598" s="53">
        <v>10</v>
      </c>
      <c r="D598" s="45">
        <v>325.17999999999989</v>
      </c>
      <c r="E598" s="45"/>
      <c r="F598" s="45"/>
      <c r="G598" s="45"/>
      <c r="H598" s="45"/>
      <c r="I598" s="45"/>
      <c r="J598" s="51"/>
      <c r="K598" s="53">
        <v>10</v>
      </c>
      <c r="L598" s="45">
        <v>327.26</v>
      </c>
      <c r="M598" s="45"/>
      <c r="N598" s="45"/>
      <c r="O598" s="45"/>
      <c r="P598" s="45"/>
      <c r="Q598" s="45"/>
      <c r="R598" s="51"/>
      <c r="S598" s="53">
        <v>10</v>
      </c>
      <c r="T598" s="45">
        <v>328.3</v>
      </c>
      <c r="U598" s="45"/>
      <c r="V598" s="45"/>
      <c r="W598" s="45"/>
      <c r="X598" s="45"/>
      <c r="Y598" s="45"/>
      <c r="Z598" s="51"/>
      <c r="AA598" s="53">
        <v>10</v>
      </c>
      <c r="AB598" s="45">
        <v>327.36</v>
      </c>
      <c r="AC598" s="45"/>
      <c r="AD598" s="45"/>
      <c r="AE598" s="45"/>
      <c r="AF598" s="45"/>
      <c r="AG598" s="45"/>
      <c r="AH598" s="51"/>
      <c r="AI598" s="53">
        <v>10</v>
      </c>
      <c r="AJ598" s="45">
        <v>327.54000000000002</v>
      </c>
      <c r="AK598" s="45"/>
      <c r="AL598" s="45"/>
      <c r="AM598" s="45"/>
      <c r="AN598" s="45"/>
      <c r="AO598" s="45"/>
      <c r="AP598" s="51"/>
    </row>
    <row r="599" spans="1:42" ht="21" customHeight="1" thickTop="1" thickBot="1" x14ac:dyDescent="0.35">
      <c r="A599" s="63"/>
      <c r="B599" s="66"/>
      <c r="C599" s="53"/>
      <c r="D599" s="45"/>
      <c r="E599" s="45"/>
      <c r="F599" s="45"/>
      <c r="G599" s="45"/>
      <c r="H599" s="45"/>
      <c r="I599" s="45"/>
      <c r="J599" s="51"/>
      <c r="K599" s="53"/>
      <c r="L599" s="45"/>
      <c r="M599" s="45"/>
      <c r="N599" s="45"/>
      <c r="O599" s="45"/>
      <c r="P599" s="45"/>
      <c r="Q599" s="45"/>
      <c r="R599" s="51"/>
      <c r="S599" s="53"/>
      <c r="T599" s="45"/>
      <c r="U599" s="45"/>
      <c r="V599" s="45"/>
      <c r="W599" s="45"/>
      <c r="X599" s="45"/>
      <c r="Y599" s="45"/>
      <c r="Z599" s="51"/>
      <c r="AA599" s="53"/>
      <c r="AB599" s="45"/>
      <c r="AC599" s="45"/>
      <c r="AD599" s="45"/>
      <c r="AE599" s="45"/>
      <c r="AF599" s="45"/>
      <c r="AG599" s="45"/>
      <c r="AH599" s="51"/>
      <c r="AI599" s="53"/>
      <c r="AJ599" s="45"/>
      <c r="AK599" s="45"/>
      <c r="AL599" s="45"/>
      <c r="AM599" s="45"/>
      <c r="AN599" s="45"/>
      <c r="AO599" s="45"/>
      <c r="AP599" s="51"/>
    </row>
    <row r="600" spans="1:42" ht="21" customHeight="1" thickTop="1" thickBot="1" x14ac:dyDescent="0.35">
      <c r="A600" s="63"/>
      <c r="B600" s="66"/>
      <c r="C600" s="54" t="s">
        <v>16</v>
      </c>
      <c r="D600" s="49">
        <f>MIN(D589:D598)</f>
        <v>324.62999999999988</v>
      </c>
      <c r="E600" s="45"/>
      <c r="F600" s="55" t="s">
        <v>17</v>
      </c>
      <c r="G600" s="49" t="s">
        <v>18</v>
      </c>
      <c r="H600" s="49" t="s">
        <v>19</v>
      </c>
      <c r="I600" s="45"/>
      <c r="J600" s="51"/>
      <c r="K600" s="54" t="s">
        <v>16</v>
      </c>
      <c r="L600" s="49">
        <f>MIN(L589:L598)</f>
        <v>325.52999999999992</v>
      </c>
      <c r="M600" s="45"/>
      <c r="N600" s="55" t="s">
        <v>17</v>
      </c>
      <c r="O600" s="49" t="s">
        <v>18</v>
      </c>
      <c r="P600" s="49" t="s">
        <v>19</v>
      </c>
      <c r="Q600" s="45"/>
      <c r="R600" s="51"/>
      <c r="S600" s="54" t="s">
        <v>16</v>
      </c>
      <c r="T600" s="49">
        <f>MIN(T589:T598)</f>
        <v>326.79000000000002</v>
      </c>
      <c r="U600" s="45"/>
      <c r="V600" s="55" t="s">
        <v>17</v>
      </c>
      <c r="W600" s="49" t="s">
        <v>18</v>
      </c>
      <c r="X600" s="49" t="s">
        <v>19</v>
      </c>
      <c r="Y600" s="45"/>
      <c r="Z600" s="51"/>
      <c r="AA600" s="54" t="s">
        <v>16</v>
      </c>
      <c r="AB600" s="49">
        <f>MIN(AB589:AB598)</f>
        <v>325.17999999999989</v>
      </c>
      <c r="AC600" s="45"/>
      <c r="AD600" s="55" t="s">
        <v>17</v>
      </c>
      <c r="AE600" s="49" t="s">
        <v>18</v>
      </c>
      <c r="AF600" s="49" t="s">
        <v>19</v>
      </c>
      <c r="AG600" s="45"/>
      <c r="AH600" s="51"/>
      <c r="AI600" s="54" t="s">
        <v>16</v>
      </c>
      <c r="AJ600" s="49">
        <f>MIN(AJ589:AJ598)</f>
        <v>326.81999999999988</v>
      </c>
      <c r="AK600" s="45"/>
      <c r="AL600" s="55" t="s">
        <v>17</v>
      </c>
      <c r="AM600" s="49" t="s">
        <v>18</v>
      </c>
      <c r="AN600" s="49" t="s">
        <v>19</v>
      </c>
      <c r="AO600" s="45"/>
      <c r="AP600" s="51"/>
    </row>
    <row r="601" spans="1:42" ht="21" customHeight="1" thickTop="1" thickBot="1" x14ac:dyDescent="0.35">
      <c r="A601" s="63"/>
      <c r="B601" s="66"/>
      <c r="C601" s="54" t="s">
        <v>20</v>
      </c>
      <c r="D601" s="48">
        <f>AVERAGE(D589:D598)</f>
        <v>325.61199999999991</v>
      </c>
      <c r="E601" s="47"/>
      <c r="F601" s="48">
        <f>_xlfn.STDEV.S(D589:D598) / AVERAGE(D589:D598) * 100%</f>
        <v>1.6827430329397475E-3</v>
      </c>
      <c r="G601" s="48">
        <f t="array" ref="G601">MIN((D589:D598 - MIN(D589:D598,L589:L598,T589:T598,AB589:AB598,AJ589:AJ598))/MIN(D589:D598,L589:L598,T589:T598,AB589:AB598,AJ589:AJ598)*100%)</f>
        <v>0</v>
      </c>
      <c r="H601" s="48">
        <f t="array" ref="H601">AVERAGE((D589:D598 - MIN(D589:D598,L589:L598,T589:T598,AB589:AB598,AJ589:AJ598))/MIN(D589:D598,L589:L598,T589:T598,AB589:AB598,AJ589:AJ598)*100%)</f>
        <v>3.0249822875274253E-3</v>
      </c>
      <c r="I601" s="45"/>
      <c r="J601" s="51"/>
      <c r="K601" s="54" t="s">
        <v>20</v>
      </c>
      <c r="L601" s="48">
        <f>AVERAGE(L589:L598)</f>
        <v>326.27599999999995</v>
      </c>
      <c r="M601" s="47"/>
      <c r="N601" s="48">
        <f>_xlfn.STDEV.S(L589:L598) / AVERAGE(L589:L598) * 100%</f>
        <v>1.4678941797619095E-3</v>
      </c>
      <c r="O601" s="48">
        <f t="array" ref="O601">MIN((L589:L598 - MIN(D589:D598,L589:L598,T589:T598,AB589:AB598,AJ589:AJ598))/MIN(D589:D598,L589:L598,T589:T598,AB589:AB598,AJ589:AJ598)*100%)</f>
        <v>2.772387025228828E-3</v>
      </c>
      <c r="P601" s="48">
        <f t="array" ref="P601">AVERAGE((L589:L598 - MIN(D589:D598,L589:L598,T589:T598,AB589:AB598,AJ589:AJ598))/MIN(D589:D598,L589:L598,T589:T598,AB589:AB598,AJ589:AJ598)*100%)</f>
        <v>5.0703878261407175E-3</v>
      </c>
      <c r="Q601" s="44"/>
      <c r="R601" s="51"/>
      <c r="S601" s="54" t="s">
        <v>20</v>
      </c>
      <c r="T601" s="48">
        <f>AVERAGE(T589:T598)</f>
        <v>327.57599999999991</v>
      </c>
      <c r="U601" s="47"/>
      <c r="V601" s="48">
        <f>_xlfn.STDEV.S(T589:T598) / AVERAGE(T589:T598) * 100%</f>
        <v>1.7174553450314965E-3</v>
      </c>
      <c r="W601" s="48">
        <f t="array" ref="W601">MIN((T589:T598 - MIN(D589:D598,L589:L598,T589:T598,AB589:AB598,AJ589:AJ598))/MIN(D589:D598,L589:L598,T589:T598,AB589:AB598,AJ589:AJ598)*100%)</f>
        <v>6.6537288605493621E-3</v>
      </c>
      <c r="X601" s="48">
        <f t="array" ref="X601">AVERAGE((T589:T598 - MIN(D589:D598,L589:L598,T589:T598,AB589:AB598,AJ589:AJ598))/MIN(D589:D598,L589:L598,T589:T598,AB589:AB598,AJ589:AJ598)*100%)</f>
        <v>9.0749468625821884E-3</v>
      </c>
      <c r="Y601" s="44"/>
      <c r="Z601" s="51"/>
      <c r="AA601" s="54" t="s">
        <v>20</v>
      </c>
      <c r="AB601" s="48">
        <f>AVERAGE(AB589:AB598)</f>
        <v>326.00699999999995</v>
      </c>
      <c r="AC601" s="47"/>
      <c r="AD601" s="48">
        <f>_xlfn.STDEV.S(AB589:AB598) / AVERAGE(AB589:AB598) * 100%</f>
        <v>2.1972488937012052E-3</v>
      </c>
      <c r="AE601" s="48">
        <f t="array" ref="AE601">MIN((AB589:AB598 - MIN(D589:D598,L589:L598,T589:T598,AB589:AB598,AJ589:AJ598))/MIN(D589:D598,L589:L598,T589:T598,AB589:AB598,AJ589:AJ598)*100%)</f>
        <v>1.694236515417588E-3</v>
      </c>
      <c r="AF601" s="48">
        <f t="array" ref="AF601">AVERAGE((AB589:AB598 - MIN(D589:D598,L589:L598,T589:T598,AB589:AB598,AJ589:AJ598))/MIN(D589:D598,L589:L598,T589:T598,AB589:AB598,AJ589:AJ598)*100%)</f>
        <v>4.2417521486001336E-3</v>
      </c>
      <c r="AG601" s="44"/>
      <c r="AH601" s="51"/>
      <c r="AI601" s="54" t="s">
        <v>20</v>
      </c>
      <c r="AJ601" s="48">
        <f>AVERAGE(AJ589:AJ598)</f>
        <v>327.26199999999989</v>
      </c>
      <c r="AK601" s="47"/>
      <c r="AL601" s="48">
        <f>_xlfn.STDEV.S(AJ589:AJ598) / AVERAGE(AJ589:AJ598) * 100%</f>
        <v>1.0089115233507325E-3</v>
      </c>
      <c r="AM601" s="48">
        <f t="array" ref="AM601">MIN((AJ589:AJ598 - MIN(D589:D598,L589:L598,T589:T598,AB589:AB598,AJ589:AJ598))/MIN(D589:D598,L589:L598,T589:T598,AB589:AB598,AJ589:AJ598)*100%)</f>
        <v>6.7461417613898858E-3</v>
      </c>
      <c r="AN601" s="48">
        <f t="array" ref="AN601">AVERAGE((AJ589:AJ598 - MIN(D589:D598,L589:L598,T589:T598,AB589:AB598,AJ589:AJ598))/MIN(D589:D598,L589:L598,T589:T598,AB589:AB598,AJ589:AJ598)*100%)</f>
        <v>8.1076918337801025E-3</v>
      </c>
      <c r="AO601" s="44"/>
      <c r="AP601" s="51"/>
    </row>
    <row r="602" spans="1:42" ht="21" customHeight="1" thickTop="1" thickBot="1" x14ac:dyDescent="0.35">
      <c r="A602" s="64"/>
      <c r="B602" s="67"/>
      <c r="C602" s="53"/>
      <c r="D602" s="44"/>
      <c r="E602" s="44"/>
      <c r="F602" s="44"/>
      <c r="G602" s="44"/>
      <c r="H602" s="44"/>
      <c r="I602" s="44"/>
      <c r="J602" s="51"/>
      <c r="K602" s="53"/>
      <c r="L602" s="44"/>
      <c r="M602" s="44"/>
      <c r="N602" s="44"/>
      <c r="O602" s="44"/>
      <c r="P602" s="44"/>
      <c r="Q602" s="44"/>
      <c r="R602" s="51"/>
      <c r="S602" s="53"/>
      <c r="T602" s="44"/>
      <c r="U602" s="44"/>
      <c r="V602" s="44"/>
      <c r="W602" s="44"/>
      <c r="X602" s="44"/>
      <c r="Y602" s="44"/>
      <c r="Z602" s="51"/>
      <c r="AA602" s="53"/>
      <c r="AB602" s="44"/>
      <c r="AC602" s="44"/>
      <c r="AD602" s="44"/>
      <c r="AE602" s="44"/>
      <c r="AF602" s="44"/>
      <c r="AG602" s="44"/>
      <c r="AH602" s="51"/>
      <c r="AI602" s="53"/>
      <c r="AJ602" s="44"/>
      <c r="AK602" s="44"/>
      <c r="AL602" s="44"/>
      <c r="AM602" s="44"/>
      <c r="AN602" s="44"/>
      <c r="AO602" s="44"/>
      <c r="AP602" s="51"/>
    </row>
    <row r="603" spans="1:42" ht="14.5" customHeight="1" thickTop="1" x14ac:dyDescent="0.3"/>
  </sheetData>
  <mergeCells count="52">
    <mergeCell ref="A483:A602"/>
    <mergeCell ref="A1:A2"/>
    <mergeCell ref="AI1:AP2"/>
    <mergeCell ref="B453:B467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03"/>
  <sheetViews>
    <sheetView zoomScale="85" zoomScaleNormal="85" workbookViewId="0">
      <selection activeCell="B3" sqref="B3:B17"/>
    </sheetView>
  </sheetViews>
  <sheetFormatPr defaultRowHeight="14" x14ac:dyDescent="0.3"/>
  <cols>
    <col min="2" max="2" width="31.33203125" customWidth="1"/>
    <col min="3" max="3" width="15.9140625" bestFit="1" customWidth="1"/>
    <col min="4" max="4" width="16" bestFit="1" customWidth="1"/>
    <col min="5" max="5" width="18.08203125" bestFit="1" customWidth="1"/>
    <col min="6" max="6" width="35.25" bestFit="1" customWidth="1"/>
    <col min="7" max="7" width="17.83203125" bestFit="1" customWidth="1"/>
    <col min="8" max="8" width="17.58203125" bestFit="1" customWidth="1"/>
    <col min="9" max="9" width="18.08203125" bestFit="1" customWidth="1"/>
    <col min="10" max="10" width="6.83203125" bestFit="1" customWidth="1"/>
    <col min="11" max="11" width="15.9140625" bestFit="1" customWidth="1"/>
    <col min="12" max="12" width="16" bestFit="1" customWidth="1"/>
    <col min="13" max="13" width="18.08203125" bestFit="1" customWidth="1"/>
    <col min="14" max="14" width="35.25" bestFit="1" customWidth="1"/>
    <col min="15" max="15" width="17.58203125" bestFit="1" customWidth="1"/>
    <col min="16" max="16" width="8.5" customWidth="1"/>
    <col min="17" max="17" width="1.25" customWidth="1"/>
    <col min="18" max="18" width="6.83203125" hidden="1" customWidth="1"/>
    <col min="19" max="19" width="15.9140625" hidden="1" customWidth="1"/>
    <col min="20" max="20" width="16" hidden="1" customWidth="1"/>
    <col min="21" max="21" width="18.08203125" hidden="1" customWidth="1"/>
    <col min="22" max="22" width="35.25" hidden="1" customWidth="1"/>
    <col min="23" max="23" width="8.5" hidden="1" customWidth="1"/>
    <col min="24" max="24" width="8.58203125" customWidth="1"/>
    <col min="25" max="25" width="2.08203125" customWidth="1"/>
    <col min="26" max="26" width="6.83203125" hidden="1" customWidth="1"/>
    <col min="27" max="27" width="15.9140625" hidden="1" customWidth="1"/>
    <col min="28" max="28" width="16" hidden="1" customWidth="1"/>
    <col min="29" max="29" width="18.08203125" hidden="1" customWidth="1"/>
    <col min="30" max="30" width="35.25" hidden="1" customWidth="1"/>
    <col min="31" max="31" width="8.25" hidden="1" customWidth="1"/>
    <col min="32" max="32" width="8.25" customWidth="1"/>
    <col min="33" max="33" width="1.1640625" customWidth="1"/>
    <col min="34" max="34" width="6.83203125" hidden="1" customWidth="1"/>
    <col min="35" max="35" width="15.9140625" hidden="1" customWidth="1"/>
    <col min="36" max="36" width="16" style="42" hidden="1" customWidth="1"/>
    <col min="37" max="37" width="18.08203125" hidden="1" customWidth="1"/>
    <col min="38" max="38" width="35.25" hidden="1" customWidth="1"/>
    <col min="39" max="39" width="17.83203125" hidden="1" customWidth="1"/>
    <col min="40" max="40" width="8.1640625" customWidth="1"/>
  </cols>
  <sheetData>
    <row r="1" spans="1:42" ht="15" customHeight="1" thickTop="1" thickBot="1" x14ac:dyDescent="0.35">
      <c r="A1" s="75" t="s">
        <v>25</v>
      </c>
      <c r="B1" s="74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5" customHeight="1" thickTop="1" thickBot="1" x14ac:dyDescent="0.35">
      <c r="A2" s="76"/>
      <c r="B2" s="66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65" t="s">
        <v>106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66"/>
      <c r="C4" s="52">
        <v>1</v>
      </c>
      <c r="D4" s="44">
        <v>406.05999999999977</v>
      </c>
      <c r="E4" s="44"/>
      <c r="F4" s="44"/>
      <c r="G4" s="44"/>
      <c r="H4" s="44"/>
      <c r="I4" s="44"/>
      <c r="J4" s="51"/>
      <c r="K4" s="52">
        <v>1</v>
      </c>
      <c r="L4" s="44">
        <v>406.53999999999979</v>
      </c>
      <c r="M4" s="44"/>
      <c r="N4" s="44"/>
      <c r="O4" s="44"/>
      <c r="P4" s="44"/>
      <c r="Q4" s="44"/>
      <c r="R4" s="51"/>
      <c r="S4" s="52">
        <v>1</v>
      </c>
      <c r="T4" s="44">
        <v>404.76999999999992</v>
      </c>
      <c r="U4" s="44"/>
      <c r="V4" s="44"/>
      <c r="W4" s="44"/>
      <c r="X4" s="44"/>
      <c r="Y4" s="44"/>
      <c r="Z4" s="51"/>
      <c r="AA4" s="52">
        <v>1</v>
      </c>
      <c r="AB4" s="44">
        <v>407.19999999999982</v>
      </c>
      <c r="AC4" s="44"/>
      <c r="AD4" s="44"/>
      <c r="AE4" s="44"/>
      <c r="AF4" s="44"/>
      <c r="AG4" s="44"/>
      <c r="AH4" s="51"/>
      <c r="AI4" s="52">
        <v>1</v>
      </c>
      <c r="AJ4" s="44">
        <v>405.27999999999992</v>
      </c>
      <c r="AK4" s="44"/>
      <c r="AL4" s="44"/>
      <c r="AM4" s="44"/>
      <c r="AN4" s="44"/>
      <c r="AO4" s="44"/>
      <c r="AP4" s="51"/>
    </row>
    <row r="5" spans="1:42" ht="21" customHeight="1" thickTop="1" thickBot="1" x14ac:dyDescent="0.35">
      <c r="A5" s="63"/>
      <c r="B5" s="66"/>
      <c r="C5" s="53">
        <v>2</v>
      </c>
      <c r="D5" s="45">
        <v>407.1699999999999</v>
      </c>
      <c r="E5" s="45"/>
      <c r="F5" s="45"/>
      <c r="G5" s="45"/>
      <c r="H5" s="45"/>
      <c r="I5" s="45"/>
      <c r="J5" s="51"/>
      <c r="K5" s="53">
        <v>2</v>
      </c>
      <c r="L5" s="45">
        <v>407.52999999999992</v>
      </c>
      <c r="M5" s="45"/>
      <c r="N5" s="45"/>
      <c r="O5" s="45"/>
      <c r="P5" s="45"/>
      <c r="Q5" s="45"/>
      <c r="R5" s="51"/>
      <c r="S5" s="53">
        <v>2</v>
      </c>
      <c r="T5" s="45">
        <v>406.54999999999978</v>
      </c>
      <c r="U5" s="45"/>
      <c r="V5" s="45"/>
      <c r="W5" s="45"/>
      <c r="X5" s="45"/>
      <c r="Y5" s="45"/>
      <c r="Z5" s="51"/>
      <c r="AA5" s="53">
        <v>2</v>
      </c>
      <c r="AB5" s="45">
        <v>406.31999999999988</v>
      </c>
      <c r="AC5" s="45"/>
      <c r="AD5" s="45"/>
      <c r="AE5" s="45"/>
      <c r="AF5" s="45"/>
      <c r="AG5" s="45"/>
      <c r="AH5" s="51"/>
      <c r="AI5" s="53">
        <v>2</v>
      </c>
      <c r="AJ5" s="45">
        <v>405.29</v>
      </c>
      <c r="AK5" s="45"/>
      <c r="AL5" s="45"/>
      <c r="AM5" s="45"/>
      <c r="AN5" s="45"/>
      <c r="AO5" s="45"/>
      <c r="AP5" s="51"/>
    </row>
    <row r="6" spans="1:42" ht="21" customHeight="1" thickTop="1" thickBot="1" x14ac:dyDescent="0.35">
      <c r="A6" s="63"/>
      <c r="B6" s="66"/>
      <c r="C6" s="53">
        <v>3</v>
      </c>
      <c r="D6" s="45">
        <v>406.84999999999991</v>
      </c>
      <c r="E6" s="45"/>
      <c r="F6" s="45"/>
      <c r="G6" s="44"/>
      <c r="H6" s="44"/>
      <c r="I6" s="44"/>
      <c r="J6" s="51"/>
      <c r="K6" s="53">
        <v>3</v>
      </c>
      <c r="L6" s="45">
        <v>407.02999999999992</v>
      </c>
      <c r="M6" s="45"/>
      <c r="N6" s="45"/>
      <c r="O6" s="44"/>
      <c r="P6" s="44"/>
      <c r="Q6" s="44"/>
      <c r="R6" s="51"/>
      <c r="S6" s="53">
        <v>3</v>
      </c>
      <c r="T6" s="45">
        <v>405.98999999999978</v>
      </c>
      <c r="U6" s="45"/>
      <c r="V6" s="45"/>
      <c r="W6" s="44"/>
      <c r="X6" s="44"/>
      <c r="Y6" s="44"/>
      <c r="Z6" s="51"/>
      <c r="AA6" s="53">
        <v>3</v>
      </c>
      <c r="AB6" s="45">
        <v>406.24999999999977</v>
      </c>
      <c r="AC6" s="45"/>
      <c r="AD6" s="45"/>
      <c r="AE6" s="44"/>
      <c r="AF6" s="44"/>
      <c r="AG6" s="44"/>
      <c r="AH6" s="51"/>
      <c r="AI6" s="53">
        <v>3</v>
      </c>
      <c r="AJ6" s="45">
        <v>404.84999999999991</v>
      </c>
      <c r="AK6" s="45"/>
      <c r="AL6" s="45"/>
      <c r="AM6" s="44"/>
      <c r="AN6" s="44"/>
      <c r="AO6" s="44"/>
      <c r="AP6" s="51"/>
    </row>
    <row r="7" spans="1:42" ht="21" customHeight="1" thickTop="1" thickBot="1" x14ac:dyDescent="0.35">
      <c r="A7" s="63"/>
      <c r="B7" s="66"/>
      <c r="C7" s="53">
        <v>4</v>
      </c>
      <c r="D7" s="45">
        <v>407.06999999999988</v>
      </c>
      <c r="E7" s="45"/>
      <c r="F7" s="45"/>
      <c r="G7" s="45"/>
      <c r="H7" s="45"/>
      <c r="I7" s="45"/>
      <c r="J7" s="51"/>
      <c r="K7" s="53">
        <v>4</v>
      </c>
      <c r="L7" s="45">
        <v>406.13999999999987</v>
      </c>
      <c r="M7" s="45"/>
      <c r="N7" s="45"/>
      <c r="O7" s="45"/>
      <c r="P7" s="45"/>
      <c r="Q7" s="45"/>
      <c r="R7" s="51"/>
      <c r="S7" s="53">
        <v>4</v>
      </c>
      <c r="T7" s="45">
        <v>405.26999999999992</v>
      </c>
      <c r="U7" s="45"/>
      <c r="V7" s="45"/>
      <c r="W7" s="45"/>
      <c r="X7" s="45"/>
      <c r="Y7" s="45"/>
      <c r="Z7" s="51"/>
      <c r="AA7" s="53">
        <v>4</v>
      </c>
      <c r="AB7" s="45">
        <v>407.07999999999981</v>
      </c>
      <c r="AC7" s="45"/>
      <c r="AD7" s="45"/>
      <c r="AE7" s="45"/>
      <c r="AF7" s="45"/>
      <c r="AG7" s="45"/>
      <c r="AH7" s="51"/>
      <c r="AI7" s="53">
        <v>4</v>
      </c>
      <c r="AJ7" s="45">
        <v>405.11999999999989</v>
      </c>
      <c r="AK7" s="45"/>
      <c r="AL7" s="45"/>
      <c r="AM7" s="45"/>
      <c r="AN7" s="45"/>
      <c r="AO7" s="45"/>
      <c r="AP7" s="51"/>
    </row>
    <row r="8" spans="1:42" ht="21" customHeight="1" thickTop="1" thickBot="1" x14ac:dyDescent="0.35">
      <c r="A8" s="63"/>
      <c r="B8" s="66"/>
      <c r="C8" s="53">
        <v>5</v>
      </c>
      <c r="D8" s="45">
        <v>406.97999999999979</v>
      </c>
      <c r="E8" s="45"/>
      <c r="F8" s="45"/>
      <c r="G8" s="45"/>
      <c r="H8" s="45"/>
      <c r="I8" s="45"/>
      <c r="J8" s="51"/>
      <c r="K8" s="53">
        <v>5</v>
      </c>
      <c r="L8" s="45">
        <v>406.9699999999998</v>
      </c>
      <c r="M8" s="45"/>
      <c r="N8" s="45"/>
      <c r="O8" s="45"/>
      <c r="P8" s="45"/>
      <c r="Q8" s="45"/>
      <c r="R8" s="51"/>
      <c r="S8" s="53">
        <v>5</v>
      </c>
      <c r="T8" s="45">
        <v>406.94999999999987</v>
      </c>
      <c r="U8" s="45"/>
      <c r="V8" s="45"/>
      <c r="W8" s="45"/>
      <c r="X8" s="45"/>
      <c r="Y8" s="45"/>
      <c r="Z8" s="51"/>
      <c r="AA8" s="53">
        <v>5</v>
      </c>
      <c r="AB8" s="45">
        <v>407.49999999999989</v>
      </c>
      <c r="AC8" s="45"/>
      <c r="AD8" s="45"/>
      <c r="AE8" s="45"/>
      <c r="AF8" s="45"/>
      <c r="AG8" s="45"/>
      <c r="AH8" s="51"/>
      <c r="AI8" s="53">
        <v>5</v>
      </c>
      <c r="AJ8" s="45">
        <v>405.94999999999987</v>
      </c>
      <c r="AK8" s="45"/>
      <c r="AL8" s="45"/>
      <c r="AM8" s="45"/>
      <c r="AN8" s="45"/>
      <c r="AO8" s="45"/>
      <c r="AP8" s="51"/>
    </row>
    <row r="9" spans="1:42" ht="21" customHeight="1" thickTop="1" thickBot="1" x14ac:dyDescent="0.35">
      <c r="A9" s="63"/>
      <c r="B9" s="66"/>
      <c r="C9" s="53">
        <v>6</v>
      </c>
      <c r="D9" s="45">
        <v>406.53999999999979</v>
      </c>
      <c r="E9" s="45"/>
      <c r="F9" s="45"/>
      <c r="G9" s="45"/>
      <c r="H9" s="45"/>
      <c r="I9" s="45"/>
      <c r="J9" s="51"/>
      <c r="K9" s="53">
        <v>6</v>
      </c>
      <c r="L9" s="45">
        <v>407.99999999999989</v>
      </c>
      <c r="M9" s="45"/>
      <c r="N9" s="45"/>
      <c r="O9" s="45"/>
      <c r="P9" s="45"/>
      <c r="Q9" s="45"/>
      <c r="R9" s="51"/>
      <c r="S9" s="53">
        <v>6</v>
      </c>
      <c r="T9" s="45">
        <v>406.77999999999992</v>
      </c>
      <c r="U9" s="45"/>
      <c r="V9" s="45"/>
      <c r="W9" s="45"/>
      <c r="X9" s="45"/>
      <c r="Y9" s="45"/>
      <c r="Z9" s="51"/>
      <c r="AA9" s="53">
        <v>6</v>
      </c>
      <c r="AB9" s="45">
        <v>407.70999999999992</v>
      </c>
      <c r="AC9" s="45"/>
      <c r="AD9" s="45"/>
      <c r="AE9" s="45"/>
      <c r="AF9" s="45"/>
      <c r="AG9" s="45"/>
      <c r="AH9" s="51"/>
      <c r="AI9" s="53">
        <v>6</v>
      </c>
      <c r="AJ9" s="45">
        <v>405.28</v>
      </c>
      <c r="AK9" s="45"/>
      <c r="AL9" s="45"/>
      <c r="AM9" s="45"/>
      <c r="AN9" s="45"/>
      <c r="AO9" s="45"/>
      <c r="AP9" s="51"/>
    </row>
    <row r="10" spans="1:42" ht="21" customHeight="1" thickTop="1" thickBot="1" x14ac:dyDescent="0.35">
      <c r="A10" s="63"/>
      <c r="B10" s="66"/>
      <c r="C10" s="53">
        <v>7</v>
      </c>
      <c r="D10" s="45">
        <v>406.73999999999978</v>
      </c>
      <c r="E10" s="45"/>
      <c r="F10" s="45"/>
      <c r="G10" s="45"/>
      <c r="H10" s="45"/>
      <c r="I10" s="45"/>
      <c r="J10" s="51"/>
      <c r="K10" s="53">
        <v>7</v>
      </c>
      <c r="L10" s="45">
        <v>406.06999999999982</v>
      </c>
      <c r="M10" s="45"/>
      <c r="N10" s="45"/>
      <c r="O10" s="45"/>
      <c r="P10" s="45"/>
      <c r="Q10" s="45"/>
      <c r="R10" s="51"/>
      <c r="S10" s="53">
        <v>7</v>
      </c>
      <c r="T10" s="45">
        <v>405.51999999999992</v>
      </c>
      <c r="U10" s="45"/>
      <c r="V10" s="45"/>
      <c r="W10" s="45"/>
      <c r="X10" s="45"/>
      <c r="Y10" s="45"/>
      <c r="Z10" s="51"/>
      <c r="AA10" s="53">
        <v>7</v>
      </c>
      <c r="AB10" s="45">
        <v>407.25999999999988</v>
      </c>
      <c r="AC10" s="45"/>
      <c r="AD10" s="45"/>
      <c r="AE10" s="45"/>
      <c r="AF10" s="45"/>
      <c r="AG10" s="45"/>
      <c r="AH10" s="51"/>
      <c r="AI10" s="53">
        <v>7</v>
      </c>
      <c r="AJ10" s="45">
        <v>405.18999999999988</v>
      </c>
      <c r="AK10" s="45"/>
      <c r="AL10" s="45"/>
      <c r="AM10" s="45"/>
      <c r="AN10" s="45"/>
      <c r="AO10" s="45"/>
      <c r="AP10" s="51"/>
    </row>
    <row r="11" spans="1:42" ht="21" customHeight="1" thickTop="1" thickBot="1" x14ac:dyDescent="0.35">
      <c r="A11" s="63"/>
      <c r="B11" s="66"/>
      <c r="C11" s="53">
        <v>8</v>
      </c>
      <c r="D11" s="45">
        <v>405.96999999999991</v>
      </c>
      <c r="E11" s="45"/>
      <c r="F11" s="45"/>
      <c r="G11" s="45"/>
      <c r="H11" s="45"/>
      <c r="I11" s="45"/>
      <c r="J11" s="51"/>
      <c r="K11" s="53">
        <v>8</v>
      </c>
      <c r="L11" s="45">
        <v>407.43999999999988</v>
      </c>
      <c r="M11" s="45"/>
      <c r="N11" s="45"/>
      <c r="O11" s="45"/>
      <c r="P11" s="45"/>
      <c r="Q11" s="45"/>
      <c r="R11" s="51"/>
      <c r="S11" s="53">
        <v>8</v>
      </c>
      <c r="T11" s="45">
        <v>404.96999999999991</v>
      </c>
      <c r="U11" s="45"/>
      <c r="V11" s="45"/>
      <c r="W11" s="45"/>
      <c r="X11" s="45"/>
      <c r="Y11" s="45"/>
      <c r="Z11" s="51"/>
      <c r="AA11" s="53">
        <v>8</v>
      </c>
      <c r="AB11" s="45">
        <v>407.52999999999992</v>
      </c>
      <c r="AC11" s="45"/>
      <c r="AD11" s="45"/>
      <c r="AE11" s="45"/>
      <c r="AF11" s="45"/>
      <c r="AG11" s="45"/>
      <c r="AH11" s="51"/>
      <c r="AI11" s="53">
        <v>8</v>
      </c>
      <c r="AJ11" s="45">
        <v>406.80999999999989</v>
      </c>
      <c r="AK11" s="45"/>
      <c r="AL11" s="45"/>
      <c r="AM11" s="45"/>
      <c r="AN11" s="45"/>
      <c r="AO11" s="45"/>
      <c r="AP11" s="51"/>
    </row>
    <row r="12" spans="1:42" ht="21" customHeight="1" thickTop="1" thickBot="1" x14ac:dyDescent="0.35">
      <c r="A12" s="63"/>
      <c r="B12" s="66"/>
      <c r="C12" s="53">
        <v>9</v>
      </c>
      <c r="D12" s="45">
        <v>406.57999999999993</v>
      </c>
      <c r="E12" s="45"/>
      <c r="F12" s="45"/>
      <c r="G12" s="45"/>
      <c r="H12" s="45"/>
      <c r="I12" s="45"/>
      <c r="J12" s="51"/>
      <c r="K12" s="53">
        <v>9</v>
      </c>
      <c r="L12" s="45">
        <v>407.62999999999982</v>
      </c>
      <c r="M12" s="45"/>
      <c r="N12" s="45"/>
      <c r="O12" s="45"/>
      <c r="P12" s="45"/>
      <c r="Q12" s="45"/>
      <c r="R12" s="51"/>
      <c r="S12" s="53">
        <v>9</v>
      </c>
      <c r="T12" s="45">
        <v>406.76999999999992</v>
      </c>
      <c r="U12" s="45"/>
      <c r="V12" s="45"/>
      <c r="W12" s="45"/>
      <c r="X12" s="45"/>
      <c r="Y12" s="45"/>
      <c r="Z12" s="51"/>
      <c r="AA12" s="53">
        <v>9</v>
      </c>
      <c r="AB12" s="45">
        <v>407.52999999999992</v>
      </c>
      <c r="AC12" s="45"/>
      <c r="AD12" s="45"/>
      <c r="AE12" s="45"/>
      <c r="AF12" s="45"/>
      <c r="AG12" s="45"/>
      <c r="AH12" s="51"/>
      <c r="AI12" s="53">
        <v>9</v>
      </c>
      <c r="AJ12" s="45">
        <v>406.05999999999989</v>
      </c>
      <c r="AK12" s="45"/>
      <c r="AL12" s="45"/>
      <c r="AM12" s="45"/>
      <c r="AN12" s="45"/>
      <c r="AO12" s="45"/>
      <c r="AP12" s="51"/>
    </row>
    <row r="13" spans="1:42" ht="21" customHeight="1" thickTop="1" thickBot="1" x14ac:dyDescent="0.35">
      <c r="A13" s="63"/>
      <c r="B13" s="66"/>
      <c r="C13" s="53">
        <v>10</v>
      </c>
      <c r="D13" s="45">
        <v>406.40999999999991</v>
      </c>
      <c r="E13" s="45"/>
      <c r="F13" s="45"/>
      <c r="G13" s="45"/>
      <c r="H13" s="45"/>
      <c r="I13" s="45"/>
      <c r="J13" s="51"/>
      <c r="K13" s="53">
        <v>10</v>
      </c>
      <c r="L13" s="45">
        <v>407.22999999999979</v>
      </c>
      <c r="M13" s="45"/>
      <c r="N13" s="45"/>
      <c r="O13" s="45"/>
      <c r="P13" s="45"/>
      <c r="Q13" s="45"/>
      <c r="R13" s="51"/>
      <c r="S13" s="53">
        <v>10</v>
      </c>
      <c r="T13" s="45">
        <v>405.26999999999992</v>
      </c>
      <c r="U13" s="45"/>
      <c r="V13" s="45"/>
      <c r="W13" s="45"/>
      <c r="X13" s="45"/>
      <c r="Y13" s="45"/>
      <c r="Z13" s="51"/>
      <c r="AA13" s="53">
        <v>10</v>
      </c>
      <c r="AB13" s="45">
        <v>409.06999999999982</v>
      </c>
      <c r="AC13" s="45"/>
      <c r="AD13" s="45"/>
      <c r="AE13" s="45"/>
      <c r="AF13" s="45"/>
      <c r="AG13" s="45"/>
      <c r="AH13" s="51"/>
      <c r="AI13" s="53">
        <v>10</v>
      </c>
      <c r="AJ13" s="45">
        <v>405.77999999999992</v>
      </c>
      <c r="AK13" s="45"/>
      <c r="AL13" s="45"/>
      <c r="AM13" s="45"/>
      <c r="AN13" s="45"/>
      <c r="AO13" s="45"/>
      <c r="AP13" s="51"/>
    </row>
    <row r="14" spans="1:42" ht="21" customHeight="1" thickTop="1" thickBot="1" x14ac:dyDescent="0.35">
      <c r="A14" s="63"/>
      <c r="B14" s="66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66"/>
      <c r="C15" s="54" t="s">
        <v>16</v>
      </c>
      <c r="D15" s="49">
        <f>MIN(D4:D13)</f>
        <v>405.96999999999991</v>
      </c>
      <c r="E15" s="45"/>
      <c r="F15" s="55" t="s">
        <v>17</v>
      </c>
      <c r="G15" s="49" t="s">
        <v>18</v>
      </c>
      <c r="H15" s="49" t="s">
        <v>19</v>
      </c>
      <c r="I15" s="45"/>
      <c r="J15" s="51"/>
      <c r="K15" s="54" t="s">
        <v>16</v>
      </c>
      <c r="L15" s="49">
        <f>MIN(L4:L13)</f>
        <v>406.06999999999982</v>
      </c>
      <c r="M15" s="45"/>
      <c r="N15" s="55" t="s">
        <v>17</v>
      </c>
      <c r="O15" s="49" t="s">
        <v>18</v>
      </c>
      <c r="P15" s="49" t="s">
        <v>19</v>
      </c>
      <c r="Q15" s="45"/>
      <c r="R15" s="51"/>
      <c r="S15" s="54" t="s">
        <v>16</v>
      </c>
      <c r="T15" s="49">
        <f>MIN(T4:T13)</f>
        <v>404.76999999999992</v>
      </c>
      <c r="U15" s="45"/>
      <c r="V15" s="55" t="s">
        <v>17</v>
      </c>
      <c r="W15" s="49" t="s">
        <v>18</v>
      </c>
      <c r="X15" s="49" t="s">
        <v>19</v>
      </c>
      <c r="Y15" s="45"/>
      <c r="Z15" s="51"/>
      <c r="AA15" s="54" t="s">
        <v>16</v>
      </c>
      <c r="AB15" s="49">
        <f>MIN(AB4:AB13)</f>
        <v>406.24999999999977</v>
      </c>
      <c r="AC15" s="45"/>
      <c r="AD15" s="55" t="s">
        <v>17</v>
      </c>
      <c r="AE15" s="49" t="s">
        <v>18</v>
      </c>
      <c r="AF15" s="49" t="s">
        <v>19</v>
      </c>
      <c r="AG15" s="45"/>
      <c r="AH15" s="51"/>
      <c r="AI15" s="54" t="s">
        <v>16</v>
      </c>
      <c r="AJ15" s="49">
        <f>MIN(AJ4:AJ13)</f>
        <v>404.84999999999991</v>
      </c>
      <c r="AK15" s="45"/>
      <c r="AL15" s="55" t="s">
        <v>17</v>
      </c>
      <c r="AM15" s="49" t="s">
        <v>18</v>
      </c>
      <c r="AN15" s="49" t="s">
        <v>19</v>
      </c>
      <c r="AO15" s="45"/>
      <c r="AP15" s="51"/>
    </row>
    <row r="16" spans="1:42" ht="21" customHeight="1" thickTop="1" thickBot="1" x14ac:dyDescent="0.35">
      <c r="A16" s="63"/>
      <c r="B16" s="66"/>
      <c r="C16" s="54" t="s">
        <v>20</v>
      </c>
      <c r="D16" s="48">
        <f>AVERAGE(D4:D13)</f>
        <v>406.63699999999983</v>
      </c>
      <c r="E16" s="47"/>
      <c r="F16" s="48">
        <f>_xlfn.STDEV.S(D4:D13) / AVERAGE(D4:D13) * 100%</f>
        <v>9.9967308890647547E-4</v>
      </c>
      <c r="G16" s="48">
        <f t="array" ref="G16">MIN((D4:D13 - MIN(D4:D13,L4:L13,T4:T13,AB4:AB13,AJ4:AJ13))/MIN(D4:D13,L4:L13,T4:T13,AB4:AB13,AJ4:AJ13)*100%)</f>
        <v>2.9646465894211252E-3</v>
      </c>
      <c r="H16" s="48">
        <f t="array" ref="H16">AVERAGE((D4:D13 - MIN(D4:D13,L4:L13,T4:T13,AB4:AB13,AJ4:AJ13))/MIN(D4:D13,L4:L13,T4:T13,AB4:AB13,AJ4:AJ13)*100%)</f>
        <v>4.6124959853742469E-3</v>
      </c>
      <c r="I16" s="45"/>
      <c r="J16" s="51"/>
      <c r="K16" s="54" t="s">
        <v>20</v>
      </c>
      <c r="L16" s="48">
        <f>AVERAGE(L4:L13)</f>
        <v>407.05799999999982</v>
      </c>
      <c r="M16" s="47"/>
      <c r="N16" s="48">
        <f>_xlfn.STDEV.S(L4:L13) / AVERAGE(L4:L13) * 100%</f>
        <v>1.5769760793890319E-3</v>
      </c>
      <c r="O16" s="48">
        <f t="array" ref="O16">MIN((L4:L13 - MIN(D4:D13,L4:L13,T4:T13,AB4:AB13,AJ4:AJ13))/MIN(D4:D13,L4:L13,T4:T13,AB4:AB13,AJ4:AJ13)*100%)</f>
        <v>3.2117004718726634E-3</v>
      </c>
      <c r="P16" s="48">
        <f t="array" ref="P16">AVERAGE((L4:L13 - MIN(D4:D13,L4:L13,T4:T13,AB4:AB13,AJ4:AJ13))/MIN(D4:D13,L4:L13,T4:T13,AB4:AB13,AJ4:AJ13)*100%)</f>
        <v>5.6525928304961481E-3</v>
      </c>
      <c r="Q16" s="44"/>
      <c r="R16" s="51"/>
      <c r="S16" s="54" t="s">
        <v>20</v>
      </c>
      <c r="T16" s="48">
        <f>AVERAGE(T4:T13)</f>
        <v>405.8839999999999</v>
      </c>
      <c r="U16" s="47"/>
      <c r="V16" s="48">
        <f>_xlfn.STDEV.S(T4:T13) / AVERAGE(T4:T13) * 100%</f>
        <v>2.0352888942363027E-3</v>
      </c>
      <c r="W16" s="48">
        <f t="array" ref="W16">MIN((T4:T13 - MIN(D4:D13,L4:L13,T4:T13,AB4:AB13,AJ4:AJ13))/MIN(D4:D13,L4:L13,T4:T13,AB4:AB13,AJ4:AJ13)*100%)</f>
        <v>0</v>
      </c>
      <c r="X16" s="48">
        <f t="array" ref="X16">AVERAGE((T4:T13 - MIN(D4:D13,L4:L13,T4:T13,AB4:AB13,AJ4:AJ13))/MIN(D4:D13,L4:L13,T4:T13,AB4:AB13,AJ4:AJ13)*100%)</f>
        <v>2.7521802505125498E-3</v>
      </c>
      <c r="Y16" s="44"/>
      <c r="Z16" s="51"/>
      <c r="AA16" s="54" t="s">
        <v>20</v>
      </c>
      <c r="AB16" s="48">
        <f>AVERAGE(AB4:AB13)</f>
        <v>407.34499999999986</v>
      </c>
      <c r="AC16" s="47"/>
      <c r="AD16" s="48">
        <f>_xlfn.STDEV.S(AB4:AB13) / AVERAGE(AB4:AB13) * 100%</f>
        <v>1.9277083422216722E-3</v>
      </c>
      <c r="AE16" s="48">
        <f t="array" ref="AE16">MIN((AB4:AB13 - MIN(D4:D13,L4:L13,T4:T13,AB4:AB13,AJ4:AJ13))/MIN(D4:D13,L4:L13,T4:T13,AB4:AB13,AJ4:AJ13)*100%)</f>
        <v>3.6563974602857128E-3</v>
      </c>
      <c r="AF16" s="48">
        <f t="array" ref="AF16">AVERAGE((AB4:AB13 - MIN(D4:D13,L4:L13,T4:T13,AB4:AB13,AJ4:AJ13))/MIN(D4:D13,L4:L13,T4:T13,AB4:AB13,AJ4:AJ13)*100%)</f>
        <v>6.361637473132736E-3</v>
      </c>
      <c r="AG16" s="44"/>
      <c r="AH16" s="51"/>
      <c r="AI16" s="54" t="s">
        <v>20</v>
      </c>
      <c r="AJ16" s="48">
        <f>AVERAGE(AJ4:AJ13)</f>
        <v>405.56099999999992</v>
      </c>
      <c r="AK16" s="47"/>
      <c r="AL16" s="48">
        <f>_xlfn.STDEV.S(AJ4:AJ13) / AVERAGE(AJ4:AJ13) * 100%</f>
        <v>1.4418058152081824E-3</v>
      </c>
      <c r="AM16" s="48">
        <f t="array" ref="AM16">MIN((AJ4:AJ13 - MIN(D4:D13,L4:L13,T4:T13,AB4:AB13,AJ4:AJ13))/MIN(D4:D13,L4:L13,T4:T13,AB4:AB13,AJ4:AJ13)*100%)</f>
        <v>1.9764310596137089E-4</v>
      </c>
      <c r="AN16" s="48">
        <f t="array" ref="AN16">AVERAGE((AJ4:AJ13 - MIN(D4:D13,L4:L13,T4:T13,AB4:AB13,AJ4:AJ13))/MIN(D4:D13,L4:L13,T4:T13,AB4:AB13,AJ4:AJ13)*100%)</f>
        <v>1.9541962101934213E-3</v>
      </c>
      <c r="AO16" s="44"/>
      <c r="AP16" s="51"/>
    </row>
    <row r="17" spans="1:42" ht="21" customHeight="1" thickTop="1" thickBot="1" x14ac:dyDescent="0.35">
      <c r="A17" s="63"/>
      <c r="B17" s="67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3"/>
      <c r="B18" s="65" t="s">
        <v>107</v>
      </c>
      <c r="C18" s="59" t="s">
        <v>8</v>
      </c>
      <c r="D18" s="46" t="s">
        <v>9</v>
      </c>
      <c r="E18" s="46" t="s">
        <v>10</v>
      </c>
      <c r="F18" s="46" t="s">
        <v>11</v>
      </c>
      <c r="G18" s="46" t="s">
        <v>12</v>
      </c>
      <c r="H18" s="46" t="s">
        <v>13</v>
      </c>
      <c r="I18" s="46" t="s">
        <v>14</v>
      </c>
      <c r="J18" s="60" t="s">
        <v>15</v>
      </c>
      <c r="K18" s="59" t="s">
        <v>8</v>
      </c>
      <c r="L18" s="46" t="s">
        <v>9</v>
      </c>
      <c r="M18" s="46" t="s">
        <v>10</v>
      </c>
      <c r="N18" s="46" t="s">
        <v>11</v>
      </c>
      <c r="O18" s="46" t="s">
        <v>12</v>
      </c>
      <c r="P18" s="46" t="s">
        <v>13</v>
      </c>
      <c r="Q18" s="46" t="s">
        <v>14</v>
      </c>
      <c r="R18" s="60" t="s">
        <v>15</v>
      </c>
      <c r="S18" s="59" t="s">
        <v>8</v>
      </c>
      <c r="T18" s="46" t="s">
        <v>9</v>
      </c>
      <c r="U18" s="46" t="s">
        <v>10</v>
      </c>
      <c r="V18" s="46" t="s">
        <v>11</v>
      </c>
      <c r="W18" s="46" t="s">
        <v>12</v>
      </c>
      <c r="X18" s="46" t="s">
        <v>13</v>
      </c>
      <c r="Y18" s="46" t="s">
        <v>14</v>
      </c>
      <c r="Z18" s="60" t="s">
        <v>15</v>
      </c>
      <c r="AA18" s="59" t="s">
        <v>8</v>
      </c>
      <c r="AB18" s="46" t="s">
        <v>9</v>
      </c>
      <c r="AC18" s="46" t="s">
        <v>10</v>
      </c>
      <c r="AD18" s="46" t="s">
        <v>11</v>
      </c>
      <c r="AE18" s="46" t="s">
        <v>12</v>
      </c>
      <c r="AF18" s="46" t="s">
        <v>13</v>
      </c>
      <c r="AG18" s="46" t="s">
        <v>14</v>
      </c>
      <c r="AH18" s="60" t="s">
        <v>15</v>
      </c>
      <c r="AI18" s="59" t="s">
        <v>8</v>
      </c>
      <c r="AJ18" s="46" t="s">
        <v>9</v>
      </c>
      <c r="AK18" s="46" t="s">
        <v>10</v>
      </c>
      <c r="AL18" s="46" t="s">
        <v>11</v>
      </c>
      <c r="AM18" s="46" t="s">
        <v>12</v>
      </c>
      <c r="AN18" s="46" t="s">
        <v>13</v>
      </c>
      <c r="AO18" s="46" t="s">
        <v>14</v>
      </c>
      <c r="AP18" s="60" t="s">
        <v>15</v>
      </c>
    </row>
    <row r="19" spans="1:42" ht="21" customHeight="1" thickTop="1" thickBot="1" x14ac:dyDescent="0.35">
      <c r="A19" s="63"/>
      <c r="B19" s="66"/>
      <c r="C19" s="52">
        <v>1</v>
      </c>
      <c r="D19" s="44">
        <v>447.7999999999999</v>
      </c>
      <c r="E19" s="44"/>
      <c r="F19" s="44"/>
      <c r="G19" s="44"/>
      <c r="H19" s="44"/>
      <c r="I19" s="44"/>
      <c r="J19" s="51"/>
      <c r="K19" s="52">
        <v>1</v>
      </c>
      <c r="L19" s="44">
        <v>446.82999999999993</v>
      </c>
      <c r="M19" s="44"/>
      <c r="N19" s="44"/>
      <c r="O19" s="44"/>
      <c r="P19" s="44"/>
      <c r="Q19" s="44"/>
      <c r="R19" s="51"/>
      <c r="S19" s="52">
        <v>1</v>
      </c>
      <c r="T19" s="44">
        <v>446.83999999999992</v>
      </c>
      <c r="U19" s="44"/>
      <c r="V19" s="44"/>
      <c r="W19" s="44"/>
      <c r="X19" s="44"/>
      <c r="Y19" s="44"/>
      <c r="Z19" s="51"/>
      <c r="AA19" s="52">
        <v>1</v>
      </c>
      <c r="AB19" s="44">
        <v>446.94999999999987</v>
      </c>
      <c r="AC19" s="44"/>
      <c r="AD19" s="44"/>
      <c r="AE19" s="44"/>
      <c r="AF19" s="44"/>
      <c r="AG19" s="44"/>
      <c r="AH19" s="51"/>
      <c r="AI19" s="52">
        <v>1</v>
      </c>
      <c r="AJ19" s="44">
        <v>447.24999999999989</v>
      </c>
      <c r="AK19" s="44"/>
      <c r="AL19" s="44"/>
      <c r="AM19" s="44"/>
      <c r="AN19" s="44"/>
      <c r="AO19" s="44"/>
      <c r="AP19" s="51"/>
    </row>
    <row r="20" spans="1:42" ht="21" customHeight="1" thickTop="1" thickBot="1" x14ac:dyDescent="0.35">
      <c r="A20" s="63"/>
      <c r="B20" s="66"/>
      <c r="C20" s="53">
        <v>2</v>
      </c>
      <c r="D20" s="45">
        <v>446.31999999999988</v>
      </c>
      <c r="E20" s="45"/>
      <c r="F20" s="45"/>
      <c r="G20" s="45"/>
      <c r="H20" s="45"/>
      <c r="I20" s="45"/>
      <c r="J20" s="51"/>
      <c r="K20" s="53">
        <v>2</v>
      </c>
      <c r="L20" s="45">
        <v>446.36999999999978</v>
      </c>
      <c r="M20" s="45"/>
      <c r="N20" s="45"/>
      <c r="O20" s="45"/>
      <c r="P20" s="45"/>
      <c r="Q20" s="45"/>
      <c r="R20" s="51"/>
      <c r="S20" s="53">
        <v>2</v>
      </c>
      <c r="T20" s="45">
        <v>447.13999999999987</v>
      </c>
      <c r="U20" s="45"/>
      <c r="V20" s="45"/>
      <c r="W20" s="45"/>
      <c r="X20" s="45"/>
      <c r="Y20" s="45"/>
      <c r="Z20" s="51"/>
      <c r="AA20" s="53">
        <v>2</v>
      </c>
      <c r="AB20" s="45">
        <v>447.81999999999982</v>
      </c>
      <c r="AC20" s="45"/>
      <c r="AD20" s="45"/>
      <c r="AE20" s="45"/>
      <c r="AF20" s="45"/>
      <c r="AG20" s="45"/>
      <c r="AH20" s="51"/>
      <c r="AI20" s="53">
        <v>2</v>
      </c>
      <c r="AJ20" s="45">
        <v>446.55999999999989</v>
      </c>
      <c r="AK20" s="45"/>
      <c r="AL20" s="45"/>
      <c r="AM20" s="45"/>
      <c r="AN20" s="45"/>
      <c r="AO20" s="45"/>
      <c r="AP20" s="51"/>
    </row>
    <row r="21" spans="1:42" ht="21" customHeight="1" thickTop="1" thickBot="1" x14ac:dyDescent="0.35">
      <c r="A21" s="63"/>
      <c r="B21" s="66"/>
      <c r="C21" s="53">
        <v>3</v>
      </c>
      <c r="D21" s="45">
        <v>445.5499999999999</v>
      </c>
      <c r="E21" s="45"/>
      <c r="F21" s="45"/>
      <c r="G21" s="44"/>
      <c r="H21" s="44"/>
      <c r="I21" s="44"/>
      <c r="J21" s="51"/>
      <c r="K21" s="53">
        <v>3</v>
      </c>
      <c r="L21" s="45">
        <v>447.44999999999987</v>
      </c>
      <c r="M21" s="45"/>
      <c r="N21" s="45"/>
      <c r="O21" s="44"/>
      <c r="P21" s="44"/>
      <c r="Q21" s="44"/>
      <c r="R21" s="51"/>
      <c r="S21" s="53">
        <v>3</v>
      </c>
      <c r="T21" s="45">
        <v>447.78999999999979</v>
      </c>
      <c r="U21" s="45"/>
      <c r="V21" s="45"/>
      <c r="W21" s="44"/>
      <c r="X21" s="44"/>
      <c r="Y21" s="44"/>
      <c r="Z21" s="51"/>
      <c r="AA21" s="53">
        <v>3</v>
      </c>
      <c r="AB21" s="45">
        <v>445.57999999999981</v>
      </c>
      <c r="AC21" s="45"/>
      <c r="AD21" s="45"/>
      <c r="AE21" s="44"/>
      <c r="AF21" s="44"/>
      <c r="AG21" s="44"/>
      <c r="AH21" s="51"/>
      <c r="AI21" s="53">
        <v>3</v>
      </c>
      <c r="AJ21" s="45">
        <v>445.19999999999987</v>
      </c>
      <c r="AK21" s="45"/>
      <c r="AL21" s="45"/>
      <c r="AM21" s="44"/>
      <c r="AN21" s="44"/>
      <c r="AO21" s="44"/>
      <c r="AP21" s="51"/>
    </row>
    <row r="22" spans="1:42" ht="21" customHeight="1" thickTop="1" thickBot="1" x14ac:dyDescent="0.35">
      <c r="A22" s="63"/>
      <c r="B22" s="66"/>
      <c r="C22" s="53">
        <v>4</v>
      </c>
      <c r="D22" s="45">
        <v>447.56999999999988</v>
      </c>
      <c r="E22" s="45"/>
      <c r="F22" s="45"/>
      <c r="G22" s="45"/>
      <c r="H22" s="45"/>
      <c r="I22" s="45"/>
      <c r="J22" s="51"/>
      <c r="K22" s="53">
        <v>4</v>
      </c>
      <c r="L22" s="45">
        <v>446.77999999999992</v>
      </c>
      <c r="M22" s="45"/>
      <c r="N22" s="45"/>
      <c r="O22" s="45"/>
      <c r="P22" s="45"/>
      <c r="Q22" s="45"/>
      <c r="R22" s="51"/>
      <c r="S22" s="53">
        <v>4</v>
      </c>
      <c r="T22" s="45">
        <v>447.9199999999999</v>
      </c>
      <c r="U22" s="45"/>
      <c r="V22" s="45"/>
      <c r="W22" s="45"/>
      <c r="X22" s="45"/>
      <c r="Y22" s="45"/>
      <c r="Z22" s="51"/>
      <c r="AA22" s="53">
        <v>4</v>
      </c>
      <c r="AB22" s="45">
        <v>446.24999999999977</v>
      </c>
      <c r="AC22" s="45"/>
      <c r="AD22" s="45"/>
      <c r="AE22" s="45"/>
      <c r="AF22" s="45"/>
      <c r="AG22" s="45"/>
      <c r="AH22" s="51"/>
      <c r="AI22" s="53">
        <v>4</v>
      </c>
      <c r="AJ22" s="45">
        <v>445.87999999999982</v>
      </c>
      <c r="AK22" s="45"/>
      <c r="AL22" s="45"/>
      <c r="AM22" s="45"/>
      <c r="AN22" s="45"/>
      <c r="AO22" s="45"/>
      <c r="AP22" s="51"/>
    </row>
    <row r="23" spans="1:42" ht="21" customHeight="1" thickTop="1" thickBot="1" x14ac:dyDescent="0.35">
      <c r="A23" s="63"/>
      <c r="B23" s="66"/>
      <c r="C23" s="53">
        <v>5</v>
      </c>
      <c r="D23" s="45">
        <v>445.95999999999992</v>
      </c>
      <c r="E23" s="45"/>
      <c r="F23" s="45"/>
      <c r="G23" s="45"/>
      <c r="H23" s="45"/>
      <c r="I23" s="45"/>
      <c r="J23" s="51"/>
      <c r="K23" s="53">
        <v>5</v>
      </c>
      <c r="L23" s="45">
        <v>446.95999999999992</v>
      </c>
      <c r="M23" s="45"/>
      <c r="N23" s="45"/>
      <c r="O23" s="45"/>
      <c r="P23" s="45"/>
      <c r="Q23" s="45"/>
      <c r="R23" s="51"/>
      <c r="S23" s="53">
        <v>5</v>
      </c>
      <c r="T23" s="45">
        <v>449.2399999999999</v>
      </c>
      <c r="U23" s="45"/>
      <c r="V23" s="45"/>
      <c r="W23" s="45"/>
      <c r="X23" s="45"/>
      <c r="Y23" s="45"/>
      <c r="Z23" s="51"/>
      <c r="AA23" s="53">
        <v>5</v>
      </c>
      <c r="AB23" s="45">
        <v>447.83999999999992</v>
      </c>
      <c r="AC23" s="45"/>
      <c r="AD23" s="45"/>
      <c r="AE23" s="45"/>
      <c r="AF23" s="45"/>
      <c r="AG23" s="45"/>
      <c r="AH23" s="51"/>
      <c r="AI23" s="53">
        <v>5</v>
      </c>
      <c r="AJ23" s="45">
        <v>446.55999999999989</v>
      </c>
      <c r="AK23" s="45"/>
      <c r="AL23" s="45"/>
      <c r="AM23" s="45"/>
      <c r="AN23" s="45"/>
      <c r="AO23" s="45"/>
      <c r="AP23" s="51"/>
    </row>
    <row r="24" spans="1:42" ht="21" customHeight="1" thickTop="1" thickBot="1" x14ac:dyDescent="0.35">
      <c r="A24" s="63"/>
      <c r="B24" s="66"/>
      <c r="C24" s="53">
        <v>6</v>
      </c>
      <c r="D24" s="45">
        <v>447.66999999999979</v>
      </c>
      <c r="E24" s="45"/>
      <c r="F24" s="45"/>
      <c r="G24" s="45"/>
      <c r="H24" s="45"/>
      <c r="I24" s="45"/>
      <c r="J24" s="51"/>
      <c r="K24" s="53">
        <v>6</v>
      </c>
      <c r="L24" s="45">
        <v>447.08999999999992</v>
      </c>
      <c r="M24" s="45"/>
      <c r="N24" s="45"/>
      <c r="O24" s="45"/>
      <c r="P24" s="45"/>
      <c r="Q24" s="45"/>
      <c r="R24" s="51"/>
      <c r="S24" s="53">
        <v>6</v>
      </c>
      <c r="T24" s="45">
        <v>445.88999999999987</v>
      </c>
      <c r="U24" s="45"/>
      <c r="V24" s="45"/>
      <c r="W24" s="45"/>
      <c r="X24" s="45"/>
      <c r="Y24" s="45"/>
      <c r="Z24" s="51"/>
      <c r="AA24" s="53">
        <v>6</v>
      </c>
      <c r="AB24" s="45">
        <v>447.29999999999978</v>
      </c>
      <c r="AC24" s="45"/>
      <c r="AD24" s="45"/>
      <c r="AE24" s="45"/>
      <c r="AF24" s="45"/>
      <c r="AG24" s="45"/>
      <c r="AH24" s="51"/>
      <c r="AI24" s="53">
        <v>6</v>
      </c>
      <c r="AJ24" s="45">
        <v>446.55999999999977</v>
      </c>
      <c r="AK24" s="45"/>
      <c r="AL24" s="45"/>
      <c r="AM24" s="45"/>
      <c r="AN24" s="45"/>
      <c r="AO24" s="45"/>
      <c r="AP24" s="51"/>
    </row>
    <row r="25" spans="1:42" ht="21" customHeight="1" thickTop="1" thickBot="1" x14ac:dyDescent="0.35">
      <c r="A25" s="63"/>
      <c r="B25" s="66"/>
      <c r="C25" s="53">
        <v>7</v>
      </c>
      <c r="D25" s="45">
        <v>444.86999999999989</v>
      </c>
      <c r="E25" s="45"/>
      <c r="F25" s="45"/>
      <c r="G25" s="45"/>
      <c r="H25" s="45"/>
      <c r="I25" s="45"/>
      <c r="J25" s="51"/>
      <c r="K25" s="53">
        <v>7</v>
      </c>
      <c r="L25" s="45">
        <v>446.4899999999999</v>
      </c>
      <c r="M25" s="45"/>
      <c r="N25" s="45"/>
      <c r="O25" s="45"/>
      <c r="P25" s="45"/>
      <c r="Q25" s="45"/>
      <c r="R25" s="51"/>
      <c r="S25" s="53">
        <v>7</v>
      </c>
      <c r="T25" s="45">
        <v>445.95999999999992</v>
      </c>
      <c r="U25" s="45"/>
      <c r="V25" s="45"/>
      <c r="W25" s="45"/>
      <c r="X25" s="45"/>
      <c r="Y25" s="45"/>
      <c r="Z25" s="51"/>
      <c r="AA25" s="53">
        <v>7</v>
      </c>
      <c r="AB25" s="45">
        <v>447.83999999999992</v>
      </c>
      <c r="AC25" s="45"/>
      <c r="AD25" s="45"/>
      <c r="AE25" s="45"/>
      <c r="AF25" s="45"/>
      <c r="AG25" s="45"/>
      <c r="AH25" s="51"/>
      <c r="AI25" s="53">
        <v>7</v>
      </c>
      <c r="AJ25" s="45">
        <v>446.43999999999988</v>
      </c>
      <c r="AK25" s="45"/>
      <c r="AL25" s="45"/>
      <c r="AM25" s="45"/>
      <c r="AN25" s="45"/>
      <c r="AO25" s="45"/>
      <c r="AP25" s="51"/>
    </row>
    <row r="26" spans="1:42" ht="21" customHeight="1" thickTop="1" thickBot="1" x14ac:dyDescent="0.35">
      <c r="A26" s="63"/>
      <c r="B26" s="66"/>
      <c r="C26" s="53">
        <v>8</v>
      </c>
      <c r="D26" s="45">
        <v>447.62999999999988</v>
      </c>
      <c r="E26" s="45"/>
      <c r="F26" s="45"/>
      <c r="G26" s="45"/>
      <c r="H26" s="45"/>
      <c r="I26" s="45"/>
      <c r="J26" s="51"/>
      <c r="K26" s="53">
        <v>8</v>
      </c>
      <c r="L26" s="45">
        <v>446.70999999999992</v>
      </c>
      <c r="M26" s="45"/>
      <c r="N26" s="45"/>
      <c r="O26" s="45"/>
      <c r="P26" s="45"/>
      <c r="Q26" s="45"/>
      <c r="R26" s="51"/>
      <c r="S26" s="53">
        <v>8</v>
      </c>
      <c r="T26" s="45">
        <v>445.43999999999983</v>
      </c>
      <c r="U26" s="45"/>
      <c r="V26" s="45"/>
      <c r="W26" s="45"/>
      <c r="X26" s="45"/>
      <c r="Y26" s="45"/>
      <c r="Z26" s="51"/>
      <c r="AA26" s="53">
        <v>8</v>
      </c>
      <c r="AB26" s="45">
        <v>446.45999999999981</v>
      </c>
      <c r="AC26" s="45"/>
      <c r="AD26" s="45"/>
      <c r="AE26" s="45"/>
      <c r="AF26" s="45"/>
      <c r="AG26" s="45"/>
      <c r="AH26" s="51"/>
      <c r="AI26" s="53">
        <v>8</v>
      </c>
      <c r="AJ26" s="45">
        <v>445.28999999999979</v>
      </c>
      <c r="AK26" s="45"/>
      <c r="AL26" s="45"/>
      <c r="AM26" s="45"/>
      <c r="AN26" s="45"/>
      <c r="AO26" s="45"/>
      <c r="AP26" s="51"/>
    </row>
    <row r="27" spans="1:42" ht="21" customHeight="1" thickTop="1" thickBot="1" x14ac:dyDescent="0.35">
      <c r="A27" s="63"/>
      <c r="B27" s="66"/>
      <c r="C27" s="53">
        <v>9</v>
      </c>
      <c r="D27" s="45">
        <v>446.32999999999993</v>
      </c>
      <c r="E27" s="45"/>
      <c r="F27" s="45"/>
      <c r="G27" s="45"/>
      <c r="H27" s="45"/>
      <c r="I27" s="45"/>
      <c r="J27" s="51"/>
      <c r="K27" s="53">
        <v>9</v>
      </c>
      <c r="L27" s="45">
        <v>447.43999999999988</v>
      </c>
      <c r="M27" s="45"/>
      <c r="N27" s="45"/>
      <c r="O27" s="45"/>
      <c r="P27" s="45"/>
      <c r="Q27" s="45"/>
      <c r="R27" s="51"/>
      <c r="S27" s="53">
        <v>9</v>
      </c>
      <c r="T27" s="45">
        <v>445.91999999999979</v>
      </c>
      <c r="U27" s="45"/>
      <c r="V27" s="45"/>
      <c r="W27" s="45"/>
      <c r="X27" s="45"/>
      <c r="Y27" s="45"/>
      <c r="Z27" s="51"/>
      <c r="AA27" s="53">
        <v>9</v>
      </c>
      <c r="AB27" s="45">
        <v>446.13999999999982</v>
      </c>
      <c r="AC27" s="45"/>
      <c r="AD27" s="45"/>
      <c r="AE27" s="45"/>
      <c r="AF27" s="45"/>
      <c r="AG27" s="45"/>
      <c r="AH27" s="51"/>
      <c r="AI27" s="53">
        <v>9</v>
      </c>
      <c r="AJ27" s="45">
        <v>445.61999999999989</v>
      </c>
      <c r="AK27" s="45"/>
      <c r="AL27" s="45"/>
      <c r="AM27" s="45"/>
      <c r="AN27" s="45"/>
      <c r="AO27" s="45"/>
      <c r="AP27" s="51"/>
    </row>
    <row r="28" spans="1:42" ht="21" customHeight="1" thickTop="1" thickBot="1" x14ac:dyDescent="0.35">
      <c r="A28" s="63"/>
      <c r="B28" s="66"/>
      <c r="C28" s="53">
        <v>10</v>
      </c>
      <c r="D28" s="45">
        <v>445.96999999999991</v>
      </c>
      <c r="E28" s="45"/>
      <c r="F28" s="45"/>
      <c r="G28" s="45"/>
      <c r="H28" s="45"/>
      <c r="I28" s="45"/>
      <c r="J28" s="51"/>
      <c r="K28" s="53">
        <v>10</v>
      </c>
      <c r="L28" s="45">
        <v>447.79999999999978</v>
      </c>
      <c r="M28" s="45"/>
      <c r="N28" s="45"/>
      <c r="O28" s="45"/>
      <c r="P28" s="45"/>
      <c r="Q28" s="45"/>
      <c r="R28" s="51"/>
      <c r="S28" s="53">
        <v>10</v>
      </c>
      <c r="T28" s="45">
        <v>447.18999999999988</v>
      </c>
      <c r="U28" s="45"/>
      <c r="V28" s="45"/>
      <c r="W28" s="45"/>
      <c r="X28" s="45"/>
      <c r="Y28" s="45"/>
      <c r="Z28" s="51"/>
      <c r="AA28" s="53">
        <v>10</v>
      </c>
      <c r="AB28" s="45">
        <v>446.89999999999992</v>
      </c>
      <c r="AC28" s="45"/>
      <c r="AD28" s="45"/>
      <c r="AE28" s="45"/>
      <c r="AF28" s="45"/>
      <c r="AG28" s="45"/>
      <c r="AH28" s="51"/>
      <c r="AI28" s="53">
        <v>10</v>
      </c>
      <c r="AJ28" s="45">
        <v>447.02999999999992</v>
      </c>
      <c r="AK28" s="45"/>
      <c r="AL28" s="45"/>
      <c r="AM28" s="45"/>
      <c r="AN28" s="45"/>
      <c r="AO28" s="45"/>
      <c r="AP28" s="51"/>
    </row>
    <row r="29" spans="1:42" ht="21" customHeight="1" thickTop="1" thickBot="1" x14ac:dyDescent="0.35">
      <c r="A29" s="63"/>
      <c r="B29" s="66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66"/>
      <c r="C30" s="54" t="s">
        <v>16</v>
      </c>
      <c r="D30" s="49">
        <f>MIN(D19:D28)</f>
        <v>444.86999999999989</v>
      </c>
      <c r="E30" s="45"/>
      <c r="F30" s="55" t="s">
        <v>17</v>
      </c>
      <c r="G30" s="49" t="s">
        <v>18</v>
      </c>
      <c r="H30" s="49" t="s">
        <v>19</v>
      </c>
      <c r="I30" s="45"/>
      <c r="J30" s="51"/>
      <c r="K30" s="54" t="s">
        <v>16</v>
      </c>
      <c r="L30" s="49">
        <f>MIN(L19:L28)</f>
        <v>446.36999999999978</v>
      </c>
      <c r="M30" s="45"/>
      <c r="N30" s="55" t="s">
        <v>17</v>
      </c>
      <c r="O30" s="49" t="s">
        <v>18</v>
      </c>
      <c r="P30" s="49" t="s">
        <v>19</v>
      </c>
      <c r="Q30" s="45"/>
      <c r="R30" s="51"/>
      <c r="S30" s="54" t="s">
        <v>16</v>
      </c>
      <c r="T30" s="49">
        <f>MIN(T19:T28)</f>
        <v>445.43999999999983</v>
      </c>
      <c r="U30" s="45"/>
      <c r="V30" s="55" t="s">
        <v>17</v>
      </c>
      <c r="W30" s="49" t="s">
        <v>18</v>
      </c>
      <c r="X30" s="49" t="s">
        <v>19</v>
      </c>
      <c r="Y30" s="45"/>
      <c r="Z30" s="51"/>
      <c r="AA30" s="54" t="s">
        <v>16</v>
      </c>
      <c r="AB30" s="49">
        <f>MIN(AB19:AB28)</f>
        <v>445.57999999999981</v>
      </c>
      <c r="AC30" s="45"/>
      <c r="AD30" s="55" t="s">
        <v>17</v>
      </c>
      <c r="AE30" s="49" t="s">
        <v>18</v>
      </c>
      <c r="AF30" s="49" t="s">
        <v>19</v>
      </c>
      <c r="AG30" s="45"/>
      <c r="AH30" s="51"/>
      <c r="AI30" s="54" t="s">
        <v>16</v>
      </c>
      <c r="AJ30" s="49">
        <f>MIN(AJ19:AJ28)</f>
        <v>445.19999999999987</v>
      </c>
      <c r="AK30" s="45"/>
      <c r="AL30" s="55" t="s">
        <v>17</v>
      </c>
      <c r="AM30" s="49" t="s">
        <v>18</v>
      </c>
      <c r="AN30" s="49" t="s">
        <v>19</v>
      </c>
      <c r="AO30" s="45"/>
      <c r="AP30" s="51"/>
    </row>
    <row r="31" spans="1:42" ht="21" customHeight="1" thickTop="1" thickBot="1" x14ac:dyDescent="0.35">
      <c r="A31" s="63"/>
      <c r="B31" s="66"/>
      <c r="C31" s="54" t="s">
        <v>20</v>
      </c>
      <c r="D31" s="48">
        <f>AVERAGE(D19:D28)</f>
        <v>446.56699999999989</v>
      </c>
      <c r="E31" s="47"/>
      <c r="F31" s="48">
        <f>_xlfn.STDEV.S(D19:D28) / AVERAGE(D19:D28) * 100%</f>
        <v>2.3162366932741162E-3</v>
      </c>
      <c r="G31" s="48">
        <f t="array" ref="G31">MIN((D19:D28 - MIN(D19:D28,L19:L28,T19:T28,AB19:AB28,AJ19:AJ28))/MIN(D19:D28,L19:L28,T19:T28,AB19:AB28,AJ19:AJ28)*100%)</f>
        <v>0</v>
      </c>
      <c r="H31" s="48">
        <f t="array" ref="H31">AVERAGE((D19:D28 - MIN(D19:D28,L19:L28,T19:T28,AB19:AB28,AJ19:AJ28))/MIN(D19:D28,L19:L28,T19:T28,AB19:AB28,AJ19:AJ28)*100%)</f>
        <v>3.8145975228718446E-3</v>
      </c>
      <c r="I31" s="45"/>
      <c r="J31" s="51"/>
      <c r="K31" s="54" t="s">
        <v>20</v>
      </c>
      <c r="L31" s="48">
        <f>AVERAGE(L19:L28)</f>
        <v>446.9919999999999</v>
      </c>
      <c r="M31" s="47"/>
      <c r="N31" s="48">
        <f>_xlfn.STDEV.S(L19:L28) / AVERAGE(L19:L28) * 100%</f>
        <v>1.0180068137740418E-3</v>
      </c>
      <c r="O31" s="48">
        <f t="array" ref="O31">MIN((L19:L28 - MIN(D19:D28,L19:L28,T19:T28,AB19:AB28,AJ19:AJ28))/MIN(D19:D28,L19:L28,T19:T28,AB19:AB28,AJ19:AJ28)*100%)</f>
        <v>3.3717715287609564E-3</v>
      </c>
      <c r="P31" s="48">
        <f t="array" ref="P31">AVERAGE((L19:L28 - MIN(D19:D28,L19:L28,T19:T28,AB19:AB28,AJ19:AJ28))/MIN(D19:D28,L19:L28,T19:T28,AB19:AB28,AJ19:AJ28)*100%)</f>
        <v>4.7699327893541751E-3</v>
      </c>
      <c r="Q31" s="44"/>
      <c r="R31" s="51"/>
      <c r="S31" s="54" t="s">
        <v>20</v>
      </c>
      <c r="T31" s="48">
        <f>AVERAGE(T19:T28)</f>
        <v>446.93299999999988</v>
      </c>
      <c r="U31" s="47"/>
      <c r="V31" s="48">
        <f>_xlfn.STDEV.S(T19:T28) / AVERAGE(T19:T28) * 100%</f>
        <v>2.6303604452353304E-3</v>
      </c>
      <c r="W31" s="48">
        <f t="array" ref="W31">MIN((T19:T28 - MIN(D19:D28,L19:L28,T19:T28,AB19:AB28,AJ19:AJ28))/MIN(D19:D28,L19:L28,T19:T28,AB19:AB28,AJ19:AJ28)*100%)</f>
        <v>1.2812731809291175E-3</v>
      </c>
      <c r="X31" s="48">
        <f t="array" ref="X31">AVERAGE((T19:T28 - MIN(D19:D28,L19:L28,T19:T28,AB19:AB28,AJ19:AJ28))/MIN(D19:D28,L19:L28,T19:T28,AB19:AB28,AJ19:AJ28)*100%)</f>
        <v>4.6373097758895358E-3</v>
      </c>
      <c r="Y31" s="44"/>
      <c r="Z31" s="51"/>
      <c r="AA31" s="54" t="s">
        <v>20</v>
      </c>
      <c r="AB31" s="48">
        <f>AVERAGE(AB19:AB28)</f>
        <v>446.9079999999999</v>
      </c>
      <c r="AC31" s="47"/>
      <c r="AD31" s="48">
        <f>_xlfn.STDEV.S(AB19:AB28) / AVERAGE(AB19:AB28) * 100%</f>
        <v>1.7825346802315134E-3</v>
      </c>
      <c r="AE31" s="48">
        <f t="array" ref="AE31">MIN((AB19:AB28 - MIN(D19:D28,L19:L28,T19:T28,AB19:AB28,AJ19:AJ28))/MIN(D19:D28,L19:L28,T19:T28,AB19:AB28,AJ19:AJ28)*100%)</f>
        <v>1.5959718569467998E-3</v>
      </c>
      <c r="AF31" s="48">
        <f t="array" ref="AF31">AVERAGE((AB19:AB28 - MIN(D19:D28,L19:L28,T19:T28,AB19:AB28,AJ19:AJ28))/MIN(D19:D28,L19:L28,T19:T28,AB19:AB28,AJ19:AJ28)*100%)</f>
        <v>4.5811135837434628E-3</v>
      </c>
      <c r="AG31" s="44"/>
      <c r="AH31" s="51"/>
      <c r="AI31" s="54" t="s">
        <v>20</v>
      </c>
      <c r="AJ31" s="48">
        <f>AVERAGE(AJ19:AJ28)</f>
        <v>446.23899999999992</v>
      </c>
      <c r="AK31" s="47"/>
      <c r="AL31" s="48">
        <f>_xlfn.STDEV.S(AJ19:AJ28) / AVERAGE(AJ19:AJ28) * 100%</f>
        <v>1.5827405379059559E-3</v>
      </c>
      <c r="AM31" s="48">
        <f t="array" ref="AM31">MIN((AJ19:AJ28 - MIN(D19:D28,L19:L28,T19:T28,AB19:AB28,AJ19:AJ28))/MIN(D19:D28,L19:L28,T19:T28,AB19:AB28,AJ19:AJ28)*100%)</f>
        <v>7.4178973632743085E-4</v>
      </c>
      <c r="AN31" s="48">
        <f t="array" ref="AN31">AVERAGE((AJ19:AJ28 - MIN(D19:D28,L19:L28,T19:T28,AB19:AB28,AJ19:AJ28))/MIN(D19:D28,L19:L28,T19:T28,AB19:AB28,AJ19:AJ28)*100%)</f>
        <v>3.0773034819160014E-3</v>
      </c>
      <c r="AO31" s="44"/>
      <c r="AP31" s="51"/>
    </row>
    <row r="32" spans="1:42" ht="21" customHeight="1" thickTop="1" thickBot="1" x14ac:dyDescent="0.35">
      <c r="A32" s="63"/>
      <c r="B32" s="67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3"/>
      <c r="B33" s="65" t="s">
        <v>108</v>
      </c>
      <c r="C33" s="59" t="s">
        <v>8</v>
      </c>
      <c r="D33" s="46" t="s">
        <v>9</v>
      </c>
      <c r="E33" s="46" t="s">
        <v>10</v>
      </c>
      <c r="F33" s="46" t="s">
        <v>11</v>
      </c>
      <c r="G33" s="46" t="s">
        <v>12</v>
      </c>
      <c r="H33" s="46" t="s">
        <v>13</v>
      </c>
      <c r="I33" s="46" t="s">
        <v>14</v>
      </c>
      <c r="J33" s="60" t="s">
        <v>15</v>
      </c>
      <c r="K33" s="59" t="s">
        <v>8</v>
      </c>
      <c r="L33" s="46" t="s">
        <v>9</v>
      </c>
      <c r="M33" s="46" t="s">
        <v>10</v>
      </c>
      <c r="N33" s="46" t="s">
        <v>11</v>
      </c>
      <c r="O33" s="46" t="s">
        <v>12</v>
      </c>
      <c r="P33" s="46" t="s">
        <v>13</v>
      </c>
      <c r="Q33" s="46" t="s">
        <v>14</v>
      </c>
      <c r="R33" s="60" t="s">
        <v>15</v>
      </c>
      <c r="S33" s="59" t="s">
        <v>8</v>
      </c>
      <c r="T33" s="46" t="s">
        <v>9</v>
      </c>
      <c r="U33" s="46" t="s">
        <v>10</v>
      </c>
      <c r="V33" s="46" t="s">
        <v>11</v>
      </c>
      <c r="W33" s="46" t="s">
        <v>12</v>
      </c>
      <c r="X33" s="46" t="s">
        <v>13</v>
      </c>
      <c r="Y33" s="46" t="s">
        <v>14</v>
      </c>
      <c r="Z33" s="60" t="s">
        <v>15</v>
      </c>
      <c r="AA33" s="59" t="s">
        <v>8</v>
      </c>
      <c r="AB33" s="46" t="s">
        <v>9</v>
      </c>
      <c r="AC33" s="46" t="s">
        <v>10</v>
      </c>
      <c r="AD33" s="46" t="s">
        <v>11</v>
      </c>
      <c r="AE33" s="46" t="s">
        <v>12</v>
      </c>
      <c r="AF33" s="46" t="s">
        <v>13</v>
      </c>
      <c r="AG33" s="46" t="s">
        <v>14</v>
      </c>
      <c r="AH33" s="60" t="s">
        <v>15</v>
      </c>
      <c r="AI33" s="59" t="s">
        <v>8</v>
      </c>
      <c r="AJ33" s="46" t="s">
        <v>9</v>
      </c>
      <c r="AK33" s="46" t="s">
        <v>10</v>
      </c>
      <c r="AL33" s="46" t="s">
        <v>11</v>
      </c>
      <c r="AM33" s="46" t="s">
        <v>12</v>
      </c>
      <c r="AN33" s="46" t="s">
        <v>13</v>
      </c>
      <c r="AO33" s="46" t="s">
        <v>14</v>
      </c>
      <c r="AP33" s="60" t="s">
        <v>15</v>
      </c>
    </row>
    <row r="34" spans="1:42" ht="21" customHeight="1" thickTop="1" thickBot="1" x14ac:dyDescent="0.35">
      <c r="A34" s="63"/>
      <c r="B34" s="66"/>
      <c r="C34" s="52">
        <v>1</v>
      </c>
      <c r="D34" s="44">
        <v>462.78999999999979</v>
      </c>
      <c r="E34" s="44"/>
      <c r="F34" s="44"/>
      <c r="G34" s="44"/>
      <c r="H34" s="44"/>
      <c r="I34" s="44"/>
      <c r="J34" s="51"/>
      <c r="K34" s="52">
        <v>1</v>
      </c>
      <c r="L34" s="44">
        <v>462.01999999999981</v>
      </c>
      <c r="M34" s="44"/>
      <c r="N34" s="44"/>
      <c r="O34" s="44"/>
      <c r="P34" s="44"/>
      <c r="Q34" s="44"/>
      <c r="R34" s="51"/>
      <c r="S34" s="52">
        <v>1</v>
      </c>
      <c r="T34" s="44">
        <v>461.82999999999981</v>
      </c>
      <c r="U34" s="44"/>
      <c r="V34" s="44"/>
      <c r="W34" s="44"/>
      <c r="X34" s="44"/>
      <c r="Y34" s="44"/>
      <c r="Z34" s="51"/>
      <c r="AA34" s="52">
        <v>1</v>
      </c>
      <c r="AB34" s="44">
        <v>463.82999999999993</v>
      </c>
      <c r="AC34" s="44"/>
      <c r="AD34" s="44"/>
      <c r="AE34" s="44"/>
      <c r="AF34" s="44"/>
      <c r="AG34" s="44"/>
      <c r="AH34" s="51"/>
      <c r="AI34" s="52">
        <v>1</v>
      </c>
      <c r="AJ34" s="44">
        <v>461.90999999999991</v>
      </c>
      <c r="AK34" s="44"/>
      <c r="AL34" s="44"/>
      <c r="AM34" s="44"/>
      <c r="AN34" s="44"/>
      <c r="AO34" s="44"/>
      <c r="AP34" s="51"/>
    </row>
    <row r="35" spans="1:42" ht="21" customHeight="1" thickTop="1" thickBot="1" x14ac:dyDescent="0.35">
      <c r="A35" s="63"/>
      <c r="B35" s="66"/>
      <c r="C35" s="53">
        <v>2</v>
      </c>
      <c r="D35" s="45">
        <v>463.50999999999982</v>
      </c>
      <c r="E35" s="45"/>
      <c r="F35" s="45"/>
      <c r="G35" s="45"/>
      <c r="H35" s="45"/>
      <c r="I35" s="45"/>
      <c r="J35" s="51"/>
      <c r="K35" s="53">
        <v>2</v>
      </c>
      <c r="L35" s="45">
        <v>463.32999999999993</v>
      </c>
      <c r="M35" s="45"/>
      <c r="N35" s="45"/>
      <c r="O35" s="45"/>
      <c r="P35" s="45"/>
      <c r="Q35" s="45"/>
      <c r="R35" s="51"/>
      <c r="S35" s="53">
        <v>2</v>
      </c>
      <c r="T35" s="45">
        <v>461.32999999999993</v>
      </c>
      <c r="U35" s="45"/>
      <c r="V35" s="45"/>
      <c r="W35" s="45"/>
      <c r="X35" s="45"/>
      <c r="Y35" s="45"/>
      <c r="Z35" s="51"/>
      <c r="AA35" s="53">
        <v>2</v>
      </c>
      <c r="AB35" s="45">
        <v>465.18999999999988</v>
      </c>
      <c r="AC35" s="45"/>
      <c r="AD35" s="45"/>
      <c r="AE35" s="45"/>
      <c r="AF35" s="45"/>
      <c r="AG35" s="45"/>
      <c r="AH35" s="51"/>
      <c r="AI35" s="53">
        <v>2</v>
      </c>
      <c r="AJ35" s="45">
        <v>461.5999999999998</v>
      </c>
      <c r="AK35" s="45"/>
      <c r="AL35" s="45"/>
      <c r="AM35" s="45"/>
      <c r="AN35" s="45"/>
      <c r="AO35" s="45"/>
      <c r="AP35" s="51"/>
    </row>
    <row r="36" spans="1:42" ht="21" customHeight="1" thickTop="1" thickBot="1" x14ac:dyDescent="0.35">
      <c r="A36" s="63"/>
      <c r="B36" s="66"/>
      <c r="C36" s="53">
        <v>3</v>
      </c>
      <c r="D36" s="45">
        <v>464.04999999999978</v>
      </c>
      <c r="E36" s="45"/>
      <c r="F36" s="45"/>
      <c r="G36" s="44"/>
      <c r="H36" s="44"/>
      <c r="I36" s="44"/>
      <c r="J36" s="51"/>
      <c r="K36" s="53">
        <v>3</v>
      </c>
      <c r="L36" s="45">
        <v>463.42999999999978</v>
      </c>
      <c r="M36" s="45"/>
      <c r="N36" s="45"/>
      <c r="O36" s="44"/>
      <c r="P36" s="44"/>
      <c r="Q36" s="44"/>
      <c r="R36" s="51"/>
      <c r="S36" s="53">
        <v>3</v>
      </c>
      <c r="T36" s="45">
        <v>463.55999999999977</v>
      </c>
      <c r="U36" s="45"/>
      <c r="V36" s="45"/>
      <c r="W36" s="44"/>
      <c r="X36" s="44"/>
      <c r="Y36" s="44"/>
      <c r="Z36" s="51"/>
      <c r="AA36" s="53">
        <v>3</v>
      </c>
      <c r="AB36" s="45">
        <v>463.17999999999978</v>
      </c>
      <c r="AC36" s="45"/>
      <c r="AD36" s="45"/>
      <c r="AE36" s="44"/>
      <c r="AF36" s="44"/>
      <c r="AG36" s="44"/>
      <c r="AH36" s="51"/>
      <c r="AI36" s="53">
        <v>3</v>
      </c>
      <c r="AJ36" s="45">
        <v>462.09999999999991</v>
      </c>
      <c r="AK36" s="45"/>
      <c r="AL36" s="45"/>
      <c r="AM36" s="44"/>
      <c r="AN36" s="44"/>
      <c r="AO36" s="44"/>
      <c r="AP36" s="51"/>
    </row>
    <row r="37" spans="1:42" ht="21" customHeight="1" thickTop="1" thickBot="1" x14ac:dyDescent="0.35">
      <c r="A37" s="63"/>
      <c r="B37" s="66"/>
      <c r="C37" s="53">
        <v>4</v>
      </c>
      <c r="D37" s="45">
        <v>463.79999999999978</v>
      </c>
      <c r="E37" s="45"/>
      <c r="F37" s="45"/>
      <c r="G37" s="45"/>
      <c r="H37" s="45"/>
      <c r="I37" s="45"/>
      <c r="J37" s="51"/>
      <c r="K37" s="53">
        <v>4</v>
      </c>
      <c r="L37" s="45">
        <v>463.21999999999991</v>
      </c>
      <c r="M37" s="45"/>
      <c r="N37" s="45"/>
      <c r="O37" s="45"/>
      <c r="P37" s="45"/>
      <c r="Q37" s="45"/>
      <c r="R37" s="51"/>
      <c r="S37" s="53">
        <v>4</v>
      </c>
      <c r="T37" s="45">
        <v>462.50999999999982</v>
      </c>
      <c r="U37" s="45"/>
      <c r="V37" s="45"/>
      <c r="W37" s="45"/>
      <c r="X37" s="45"/>
      <c r="Y37" s="45"/>
      <c r="Z37" s="51"/>
      <c r="AA37" s="53">
        <v>4</v>
      </c>
      <c r="AB37" s="45">
        <v>462.65999999999991</v>
      </c>
      <c r="AC37" s="45"/>
      <c r="AD37" s="45"/>
      <c r="AE37" s="45"/>
      <c r="AF37" s="45"/>
      <c r="AG37" s="45"/>
      <c r="AH37" s="51"/>
      <c r="AI37" s="53">
        <v>4</v>
      </c>
      <c r="AJ37" s="45">
        <v>461.87999999999988</v>
      </c>
      <c r="AK37" s="45"/>
      <c r="AL37" s="45"/>
      <c r="AM37" s="45"/>
      <c r="AN37" s="45"/>
      <c r="AO37" s="45"/>
      <c r="AP37" s="51"/>
    </row>
    <row r="38" spans="1:42" ht="21" customHeight="1" thickTop="1" thickBot="1" x14ac:dyDescent="0.35">
      <c r="A38" s="63"/>
      <c r="B38" s="66"/>
      <c r="C38" s="53">
        <v>5</v>
      </c>
      <c r="D38" s="45">
        <v>463.71999999999991</v>
      </c>
      <c r="E38" s="45"/>
      <c r="F38" s="45"/>
      <c r="G38" s="45"/>
      <c r="H38" s="45"/>
      <c r="I38" s="45"/>
      <c r="J38" s="51"/>
      <c r="K38" s="53">
        <v>5</v>
      </c>
      <c r="L38" s="45">
        <v>462.18999999999988</v>
      </c>
      <c r="M38" s="45"/>
      <c r="N38" s="45"/>
      <c r="O38" s="45"/>
      <c r="P38" s="45"/>
      <c r="Q38" s="45"/>
      <c r="R38" s="51"/>
      <c r="S38" s="53">
        <v>5</v>
      </c>
      <c r="T38" s="45">
        <v>462.97999999999979</v>
      </c>
      <c r="U38" s="45"/>
      <c r="V38" s="45"/>
      <c r="W38" s="45"/>
      <c r="X38" s="45"/>
      <c r="Y38" s="45"/>
      <c r="Z38" s="51"/>
      <c r="AA38" s="53">
        <v>5</v>
      </c>
      <c r="AB38" s="45">
        <v>462.70999999999981</v>
      </c>
      <c r="AC38" s="45"/>
      <c r="AD38" s="45"/>
      <c r="AE38" s="45"/>
      <c r="AF38" s="45"/>
      <c r="AG38" s="45"/>
      <c r="AH38" s="51"/>
      <c r="AI38" s="53">
        <v>5</v>
      </c>
      <c r="AJ38" s="45">
        <v>461.62999999999982</v>
      </c>
      <c r="AK38" s="45"/>
      <c r="AL38" s="45"/>
      <c r="AM38" s="45"/>
      <c r="AN38" s="45"/>
      <c r="AO38" s="45"/>
      <c r="AP38" s="51"/>
    </row>
    <row r="39" spans="1:42" ht="21" customHeight="1" thickTop="1" thickBot="1" x14ac:dyDescent="0.35">
      <c r="A39" s="63"/>
      <c r="B39" s="66"/>
      <c r="C39" s="53">
        <v>6</v>
      </c>
      <c r="D39" s="45">
        <v>462.1599999999998</v>
      </c>
      <c r="E39" s="45"/>
      <c r="F39" s="45"/>
      <c r="G39" s="45"/>
      <c r="H39" s="45"/>
      <c r="I39" s="45"/>
      <c r="J39" s="51"/>
      <c r="K39" s="53">
        <v>6</v>
      </c>
      <c r="L39" s="45">
        <v>463.15999999999991</v>
      </c>
      <c r="M39" s="45"/>
      <c r="N39" s="45"/>
      <c r="O39" s="45"/>
      <c r="P39" s="45"/>
      <c r="Q39" s="45"/>
      <c r="R39" s="51"/>
      <c r="S39" s="53">
        <v>6</v>
      </c>
      <c r="T39" s="45">
        <v>463.86999999999978</v>
      </c>
      <c r="U39" s="45"/>
      <c r="V39" s="45"/>
      <c r="W39" s="45"/>
      <c r="X39" s="45"/>
      <c r="Y39" s="45"/>
      <c r="Z39" s="51"/>
      <c r="AA39" s="53">
        <v>6</v>
      </c>
      <c r="AB39" s="45">
        <v>464.45999999999981</v>
      </c>
      <c r="AC39" s="45"/>
      <c r="AD39" s="45"/>
      <c r="AE39" s="45"/>
      <c r="AF39" s="45"/>
      <c r="AG39" s="45"/>
      <c r="AH39" s="51"/>
      <c r="AI39" s="53">
        <v>6</v>
      </c>
      <c r="AJ39" s="45">
        <v>461.24999999999977</v>
      </c>
      <c r="AK39" s="45"/>
      <c r="AL39" s="45"/>
      <c r="AM39" s="45"/>
      <c r="AN39" s="45"/>
      <c r="AO39" s="45"/>
      <c r="AP39" s="51"/>
    </row>
    <row r="40" spans="1:42" ht="21" customHeight="1" thickTop="1" thickBot="1" x14ac:dyDescent="0.35">
      <c r="A40" s="63"/>
      <c r="B40" s="66"/>
      <c r="C40" s="53">
        <v>7</v>
      </c>
      <c r="D40" s="45">
        <v>462.97999999999979</v>
      </c>
      <c r="E40" s="45"/>
      <c r="F40" s="45"/>
      <c r="G40" s="45"/>
      <c r="H40" s="45"/>
      <c r="I40" s="45"/>
      <c r="J40" s="51"/>
      <c r="K40" s="53">
        <v>7</v>
      </c>
      <c r="L40" s="45">
        <v>463.06999999999988</v>
      </c>
      <c r="M40" s="45"/>
      <c r="N40" s="45"/>
      <c r="O40" s="45"/>
      <c r="P40" s="45"/>
      <c r="Q40" s="45"/>
      <c r="R40" s="51"/>
      <c r="S40" s="53">
        <v>7</v>
      </c>
      <c r="T40" s="45">
        <v>461.77999999999992</v>
      </c>
      <c r="U40" s="45"/>
      <c r="V40" s="45"/>
      <c r="W40" s="45"/>
      <c r="X40" s="45"/>
      <c r="Y40" s="45"/>
      <c r="Z40" s="51"/>
      <c r="AA40" s="53">
        <v>7</v>
      </c>
      <c r="AB40" s="45">
        <v>462.12999999999982</v>
      </c>
      <c r="AC40" s="45"/>
      <c r="AD40" s="45"/>
      <c r="AE40" s="45"/>
      <c r="AF40" s="45"/>
      <c r="AG40" s="45"/>
      <c r="AH40" s="51"/>
      <c r="AI40" s="53">
        <v>7</v>
      </c>
      <c r="AJ40" s="45">
        <v>461.83999999999992</v>
      </c>
      <c r="AK40" s="45"/>
      <c r="AL40" s="45"/>
      <c r="AM40" s="45"/>
      <c r="AN40" s="45"/>
      <c r="AO40" s="45"/>
      <c r="AP40" s="51"/>
    </row>
    <row r="41" spans="1:42" ht="21" customHeight="1" thickTop="1" thickBot="1" x14ac:dyDescent="0.35">
      <c r="A41" s="63"/>
      <c r="B41" s="66"/>
      <c r="C41" s="53">
        <v>8</v>
      </c>
      <c r="D41" s="45">
        <v>461.8399999999998</v>
      </c>
      <c r="E41" s="45"/>
      <c r="F41" s="45"/>
      <c r="G41" s="45"/>
      <c r="H41" s="45"/>
      <c r="I41" s="45"/>
      <c r="J41" s="51"/>
      <c r="K41" s="53">
        <v>8</v>
      </c>
      <c r="L41" s="45">
        <v>463.80999999999977</v>
      </c>
      <c r="M41" s="45"/>
      <c r="N41" s="45"/>
      <c r="O41" s="45"/>
      <c r="P41" s="45"/>
      <c r="Q41" s="45"/>
      <c r="R41" s="51"/>
      <c r="S41" s="53">
        <v>8</v>
      </c>
      <c r="T41" s="45">
        <v>462.07999999999993</v>
      </c>
      <c r="U41" s="45"/>
      <c r="V41" s="45"/>
      <c r="W41" s="45"/>
      <c r="X41" s="45"/>
      <c r="Y41" s="45"/>
      <c r="Z41" s="51"/>
      <c r="AA41" s="53">
        <v>8</v>
      </c>
      <c r="AB41" s="45">
        <v>462.12999999999982</v>
      </c>
      <c r="AC41" s="45"/>
      <c r="AD41" s="45"/>
      <c r="AE41" s="45"/>
      <c r="AF41" s="45"/>
      <c r="AG41" s="45"/>
      <c r="AH41" s="51"/>
      <c r="AI41" s="53">
        <v>8</v>
      </c>
      <c r="AJ41" s="45">
        <v>461.28999999999979</v>
      </c>
      <c r="AK41" s="45"/>
      <c r="AL41" s="45"/>
      <c r="AM41" s="45"/>
      <c r="AN41" s="45"/>
      <c r="AO41" s="45"/>
      <c r="AP41" s="51"/>
    </row>
    <row r="42" spans="1:42" ht="21" customHeight="1" thickTop="1" thickBot="1" x14ac:dyDescent="0.35">
      <c r="A42" s="63"/>
      <c r="B42" s="66"/>
      <c r="C42" s="53">
        <v>9</v>
      </c>
      <c r="D42" s="45">
        <v>462.12999999999982</v>
      </c>
      <c r="E42" s="45"/>
      <c r="F42" s="45"/>
      <c r="G42" s="45"/>
      <c r="H42" s="45"/>
      <c r="I42" s="45"/>
      <c r="J42" s="51"/>
      <c r="K42" s="53">
        <v>9</v>
      </c>
      <c r="L42" s="45">
        <v>464.14999999999981</v>
      </c>
      <c r="M42" s="45"/>
      <c r="N42" s="45"/>
      <c r="O42" s="45"/>
      <c r="P42" s="45"/>
      <c r="Q42" s="45"/>
      <c r="R42" s="51"/>
      <c r="S42" s="53">
        <v>9</v>
      </c>
      <c r="T42" s="45">
        <v>461.11999999999978</v>
      </c>
      <c r="U42" s="45"/>
      <c r="V42" s="45"/>
      <c r="W42" s="45"/>
      <c r="X42" s="45"/>
      <c r="Y42" s="45"/>
      <c r="Z42" s="51"/>
      <c r="AA42" s="53">
        <v>9</v>
      </c>
      <c r="AB42" s="45">
        <v>461.93999999999983</v>
      </c>
      <c r="AC42" s="45"/>
      <c r="AD42" s="45"/>
      <c r="AE42" s="45"/>
      <c r="AF42" s="45"/>
      <c r="AG42" s="45"/>
      <c r="AH42" s="51"/>
      <c r="AI42" s="53">
        <v>9</v>
      </c>
      <c r="AJ42" s="45">
        <v>461.8599999999999</v>
      </c>
      <c r="AK42" s="45"/>
      <c r="AL42" s="45"/>
      <c r="AM42" s="45"/>
      <c r="AN42" s="45"/>
      <c r="AO42" s="45"/>
      <c r="AP42" s="51"/>
    </row>
    <row r="43" spans="1:42" ht="21" customHeight="1" thickTop="1" thickBot="1" x14ac:dyDescent="0.35">
      <c r="A43" s="63"/>
      <c r="B43" s="66"/>
      <c r="C43" s="53">
        <v>10</v>
      </c>
      <c r="D43" s="45">
        <v>463.80999999999977</v>
      </c>
      <c r="E43" s="45"/>
      <c r="F43" s="45"/>
      <c r="G43" s="45"/>
      <c r="H43" s="45"/>
      <c r="I43" s="45"/>
      <c r="J43" s="51"/>
      <c r="K43" s="53">
        <v>10</v>
      </c>
      <c r="L43" s="45">
        <v>462.79999999999978</v>
      </c>
      <c r="M43" s="45"/>
      <c r="N43" s="45"/>
      <c r="O43" s="45"/>
      <c r="P43" s="45"/>
      <c r="Q43" s="45"/>
      <c r="R43" s="51"/>
      <c r="S43" s="53">
        <v>10</v>
      </c>
      <c r="T43" s="45">
        <v>461.09999999999991</v>
      </c>
      <c r="U43" s="45"/>
      <c r="V43" s="45"/>
      <c r="W43" s="45"/>
      <c r="X43" s="45"/>
      <c r="Y43" s="45"/>
      <c r="Z43" s="51"/>
      <c r="AA43" s="53">
        <v>10</v>
      </c>
      <c r="AB43" s="45">
        <v>463.0899999999998</v>
      </c>
      <c r="AC43" s="45"/>
      <c r="AD43" s="45"/>
      <c r="AE43" s="45"/>
      <c r="AF43" s="45"/>
      <c r="AG43" s="45"/>
      <c r="AH43" s="51"/>
      <c r="AI43" s="53">
        <v>10</v>
      </c>
      <c r="AJ43" s="45">
        <v>461.80999999999977</v>
      </c>
      <c r="AK43" s="45"/>
      <c r="AL43" s="45"/>
      <c r="AM43" s="45"/>
      <c r="AN43" s="45"/>
      <c r="AO43" s="45"/>
      <c r="AP43" s="51"/>
    </row>
    <row r="44" spans="1:42" ht="21" customHeight="1" thickTop="1" thickBot="1" x14ac:dyDescent="0.35">
      <c r="A44" s="63"/>
      <c r="B44" s="66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66"/>
      <c r="C45" s="54" t="s">
        <v>16</v>
      </c>
      <c r="D45" s="49">
        <f>MIN(D34:D43)</f>
        <v>461.8399999999998</v>
      </c>
      <c r="E45" s="45"/>
      <c r="F45" s="55" t="s">
        <v>17</v>
      </c>
      <c r="G45" s="49" t="s">
        <v>18</v>
      </c>
      <c r="H45" s="49" t="s">
        <v>19</v>
      </c>
      <c r="I45" s="45"/>
      <c r="J45" s="51"/>
      <c r="K45" s="54" t="s">
        <v>16</v>
      </c>
      <c r="L45" s="49">
        <f>MIN(L34:L43)</f>
        <v>462.01999999999981</v>
      </c>
      <c r="M45" s="45"/>
      <c r="N45" s="55" t="s">
        <v>17</v>
      </c>
      <c r="O45" s="49" t="s">
        <v>18</v>
      </c>
      <c r="P45" s="49" t="s">
        <v>19</v>
      </c>
      <c r="Q45" s="45"/>
      <c r="R45" s="51"/>
      <c r="S45" s="54" t="s">
        <v>16</v>
      </c>
      <c r="T45" s="49">
        <f>MIN(T34:T43)</f>
        <v>461.09999999999991</v>
      </c>
      <c r="U45" s="45"/>
      <c r="V45" s="55" t="s">
        <v>17</v>
      </c>
      <c r="W45" s="49" t="s">
        <v>18</v>
      </c>
      <c r="X45" s="49" t="s">
        <v>19</v>
      </c>
      <c r="Y45" s="45"/>
      <c r="Z45" s="51"/>
      <c r="AA45" s="54" t="s">
        <v>16</v>
      </c>
      <c r="AB45" s="49">
        <f>MIN(AB34:AB43)</f>
        <v>461.93999999999983</v>
      </c>
      <c r="AC45" s="45"/>
      <c r="AD45" s="55" t="s">
        <v>17</v>
      </c>
      <c r="AE45" s="49" t="s">
        <v>18</v>
      </c>
      <c r="AF45" s="49" t="s">
        <v>19</v>
      </c>
      <c r="AG45" s="45"/>
      <c r="AH45" s="51"/>
      <c r="AI45" s="54" t="s">
        <v>16</v>
      </c>
      <c r="AJ45" s="49">
        <f>MIN(AJ34:AJ43)</f>
        <v>461.24999999999977</v>
      </c>
      <c r="AK45" s="45"/>
      <c r="AL45" s="55" t="s">
        <v>17</v>
      </c>
      <c r="AM45" s="49" t="s">
        <v>18</v>
      </c>
      <c r="AN45" s="49" t="s">
        <v>19</v>
      </c>
      <c r="AO45" s="45"/>
      <c r="AP45" s="51"/>
    </row>
    <row r="46" spans="1:42" ht="21" customHeight="1" thickTop="1" thickBot="1" x14ac:dyDescent="0.35">
      <c r="A46" s="63"/>
      <c r="B46" s="66"/>
      <c r="C46" s="54" t="s">
        <v>20</v>
      </c>
      <c r="D46" s="48">
        <f>AVERAGE(D34:D43)</f>
        <v>463.07899999999972</v>
      </c>
      <c r="E46" s="47"/>
      <c r="F46" s="48">
        <f>_xlfn.STDEV.S(D34:D43) / AVERAGE(D34:D43) * 100%</f>
        <v>1.7583779564201004E-3</v>
      </c>
      <c r="G46" s="48">
        <f t="array" ref="G46">MIN((D34:D43 - MIN(D34:D43,L34:L43,T34:T43,AB34:AB43,AJ34:AJ43))/MIN(D34:D43,L34:L43,T34:T43,AB34:AB43,AJ34:AJ43)*100%)</f>
        <v>1.6048579483840719E-3</v>
      </c>
      <c r="H46" s="48">
        <f t="array" ref="H46">AVERAGE((D34:D43 - MIN(D34:D43,L34:L43,T34:T43,AB34:AB43,AJ34:AJ43))/MIN(D34:D43,L34:L43,T34:T43,AB34:AB43,AJ34:AJ43)*100%)</f>
        <v>4.2919106484491428E-3</v>
      </c>
      <c r="I46" s="45"/>
      <c r="J46" s="51"/>
      <c r="K46" s="54" t="s">
        <v>20</v>
      </c>
      <c r="L46" s="48">
        <f>AVERAGE(L34:L43)</f>
        <v>463.11799999999994</v>
      </c>
      <c r="M46" s="47"/>
      <c r="N46" s="48">
        <f>_xlfn.STDEV.S(L34:L43) / AVERAGE(L34:L43) * 100%</f>
        <v>1.4156690999336686E-3</v>
      </c>
      <c r="O46" s="48">
        <f t="array" ref="O46">MIN((L34:L43 - MIN(D34:D43,L34:L43,T34:T43,AB34:AB43,AJ34:AJ43))/MIN(D34:D43,L34:L43,T34:T43,AB34:AB43,AJ34:AJ43)*100%)</f>
        <v>1.9952288006937812E-3</v>
      </c>
      <c r="P46" s="48">
        <f t="array" ref="P46">AVERAGE((L34:L43 - MIN(D34:D43,L34:L43,T34:T43,AB34:AB43,AJ34:AJ43))/MIN(D34:D43,L34:L43,T34:T43,AB34:AB43,AJ34:AJ43)*100%)</f>
        <v>4.3764909997829936E-3</v>
      </c>
      <c r="Q46" s="44"/>
      <c r="R46" s="51"/>
      <c r="S46" s="54" t="s">
        <v>20</v>
      </c>
      <c r="T46" s="48">
        <f>AVERAGE(T34:T43)</f>
        <v>462.21599999999978</v>
      </c>
      <c r="U46" s="47"/>
      <c r="V46" s="48">
        <f>_xlfn.STDEV.S(T34:T43) / AVERAGE(T34:T43) * 100%</f>
        <v>2.1394918514722702E-3</v>
      </c>
      <c r="W46" s="48">
        <f t="array" ref="W46">MIN((T34:T43 - MIN(D34:D43,L34:L43,T34:T43,AB34:AB43,AJ34:AJ43))/MIN(D34:D43,L34:L43,T34:T43,AB34:AB43,AJ34:AJ43)*100%)</f>
        <v>0</v>
      </c>
      <c r="X46" s="48">
        <f t="array" ref="X46">AVERAGE((T34:T43 - MIN(D34:D43,L34:L43,T34:T43,AB34:AB43,AJ34:AJ43))/MIN(D34:D43,L34:L43,T34:T43,AB34:AB43,AJ34:AJ43)*100%)</f>
        <v>2.4202992843199616E-3</v>
      </c>
      <c r="Y46" s="44"/>
      <c r="Z46" s="51"/>
      <c r="AA46" s="54" t="s">
        <v>20</v>
      </c>
      <c r="AB46" s="48">
        <f>AVERAGE(AB34:AB43)</f>
        <v>463.13199999999978</v>
      </c>
      <c r="AC46" s="47"/>
      <c r="AD46" s="48">
        <f>_xlfn.STDEV.S(AB34:AB43) / AVERAGE(AB34:AB43) * 100%</f>
        <v>2.3121338013840182E-3</v>
      </c>
      <c r="AE46" s="48">
        <f t="array" ref="AE46">MIN((AB34:AB43 - MIN(D34:D43,L34:L43,T34:T43,AB34:AB43,AJ34:AJ43))/MIN(D34:D43,L34:L43,T34:T43,AB34:AB43,AJ34:AJ43)*100%)</f>
        <v>1.8217306441117292E-3</v>
      </c>
      <c r="AF46" s="48">
        <f t="array" ref="AF46">AVERAGE((AB34:AB43 - MIN(D34:D43,L34:L43,T34:T43,AB34:AB43,AJ34:AJ43))/MIN(D34:D43,L34:L43,T34:T43,AB34:AB43,AJ34:AJ43)*100%)</f>
        <v>4.4068531771848437E-3</v>
      </c>
      <c r="AG46" s="44"/>
      <c r="AH46" s="51"/>
      <c r="AI46" s="54" t="s">
        <v>20</v>
      </c>
      <c r="AJ46" s="48">
        <f>AVERAGE(AJ34:AJ43)</f>
        <v>461.71699999999981</v>
      </c>
      <c r="AK46" s="47"/>
      <c r="AL46" s="48">
        <f>_xlfn.STDEV.S(AJ34:AJ43) / AVERAGE(AJ34:AJ43) * 100%</f>
        <v>5.9375583404303565E-4</v>
      </c>
      <c r="AM46" s="48">
        <f t="array" ref="AM46">MIN((AJ34:AJ43 - MIN(D34:D43,L34:L43,T34:T43,AB34:AB43,AJ34:AJ43))/MIN(D34:D43,L34:L43,T34:T43,AB34:AB43,AJ34:AJ43)*100%)</f>
        <v>3.2530904359111604E-4</v>
      </c>
      <c r="AN46" s="48">
        <f t="array" ref="AN46">AVERAGE((AJ34:AJ43 - MIN(D34:D43,L34:L43,T34:T43,AB34:AB43,AJ34:AJ43))/MIN(D34:D43,L34:L43,T34:T43,AB34:AB43,AJ34:AJ43)*100%)</f>
        <v>1.3381045326392089E-3</v>
      </c>
      <c r="AO46" s="44"/>
      <c r="AP46" s="51"/>
    </row>
    <row r="47" spans="1:42" ht="21" customHeight="1" thickTop="1" thickBot="1" x14ac:dyDescent="0.35">
      <c r="A47" s="63"/>
      <c r="B47" s="67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3"/>
      <c r="B48" s="65" t="s">
        <v>109</v>
      </c>
      <c r="C48" s="59" t="s">
        <v>8</v>
      </c>
      <c r="D48" s="46" t="s">
        <v>9</v>
      </c>
      <c r="E48" s="46" t="s">
        <v>10</v>
      </c>
      <c r="F48" s="46" t="s">
        <v>11</v>
      </c>
      <c r="G48" s="46" t="s">
        <v>12</v>
      </c>
      <c r="H48" s="46" t="s">
        <v>13</v>
      </c>
      <c r="I48" s="46" t="s">
        <v>14</v>
      </c>
      <c r="J48" s="60" t="s">
        <v>15</v>
      </c>
      <c r="K48" s="59" t="s">
        <v>8</v>
      </c>
      <c r="L48" s="46" t="s">
        <v>9</v>
      </c>
      <c r="M48" s="46" t="s">
        <v>10</v>
      </c>
      <c r="N48" s="46" t="s">
        <v>11</v>
      </c>
      <c r="O48" s="46" t="s">
        <v>12</v>
      </c>
      <c r="P48" s="46" t="s">
        <v>13</v>
      </c>
      <c r="Q48" s="46" t="s">
        <v>14</v>
      </c>
      <c r="R48" s="60" t="s">
        <v>15</v>
      </c>
      <c r="S48" s="59" t="s">
        <v>8</v>
      </c>
      <c r="T48" s="46" t="s">
        <v>9</v>
      </c>
      <c r="U48" s="46" t="s">
        <v>10</v>
      </c>
      <c r="V48" s="46" t="s">
        <v>11</v>
      </c>
      <c r="W48" s="46" t="s">
        <v>12</v>
      </c>
      <c r="X48" s="46" t="s">
        <v>13</v>
      </c>
      <c r="Y48" s="46" t="s">
        <v>14</v>
      </c>
      <c r="Z48" s="60" t="s">
        <v>15</v>
      </c>
      <c r="AA48" s="59" t="s">
        <v>8</v>
      </c>
      <c r="AB48" s="46" t="s">
        <v>9</v>
      </c>
      <c r="AC48" s="46" t="s">
        <v>10</v>
      </c>
      <c r="AD48" s="46" t="s">
        <v>11</v>
      </c>
      <c r="AE48" s="46" t="s">
        <v>12</v>
      </c>
      <c r="AF48" s="46" t="s">
        <v>13</v>
      </c>
      <c r="AG48" s="46" t="s">
        <v>14</v>
      </c>
      <c r="AH48" s="60" t="s">
        <v>15</v>
      </c>
      <c r="AI48" s="59" t="s">
        <v>8</v>
      </c>
      <c r="AJ48" s="46" t="s">
        <v>9</v>
      </c>
      <c r="AK48" s="46" t="s">
        <v>10</v>
      </c>
      <c r="AL48" s="46" t="s">
        <v>11</v>
      </c>
      <c r="AM48" s="46" t="s">
        <v>12</v>
      </c>
      <c r="AN48" s="46" t="s">
        <v>13</v>
      </c>
      <c r="AO48" s="46" t="s">
        <v>14</v>
      </c>
      <c r="AP48" s="60" t="s">
        <v>15</v>
      </c>
    </row>
    <row r="49" spans="1:42" ht="21" customHeight="1" thickTop="1" thickBot="1" x14ac:dyDescent="0.35">
      <c r="A49" s="63"/>
      <c r="B49" s="66"/>
      <c r="C49" s="52">
        <v>1</v>
      </c>
      <c r="D49" s="44">
        <v>486.08999999999992</v>
      </c>
      <c r="E49" s="44"/>
      <c r="F49" s="44"/>
      <c r="G49" s="44"/>
      <c r="H49" s="44"/>
      <c r="I49" s="44"/>
      <c r="J49" s="51"/>
      <c r="K49" s="52">
        <v>1</v>
      </c>
      <c r="L49" s="44">
        <v>487.5299999999998</v>
      </c>
      <c r="M49" s="44"/>
      <c r="N49" s="44"/>
      <c r="O49" s="44"/>
      <c r="P49" s="44"/>
      <c r="Q49" s="44"/>
      <c r="R49" s="51"/>
      <c r="S49" s="52">
        <v>1</v>
      </c>
      <c r="T49" s="44">
        <v>487.3399999999998</v>
      </c>
      <c r="U49" s="44"/>
      <c r="V49" s="44"/>
      <c r="W49" s="44"/>
      <c r="X49" s="44"/>
      <c r="Y49" s="44"/>
      <c r="Z49" s="51"/>
      <c r="AA49" s="52">
        <v>1</v>
      </c>
      <c r="AB49" s="44">
        <v>487.13999999999982</v>
      </c>
      <c r="AC49" s="44"/>
      <c r="AD49" s="44"/>
      <c r="AE49" s="44"/>
      <c r="AF49" s="44"/>
      <c r="AG49" s="44"/>
      <c r="AH49" s="51"/>
      <c r="AI49" s="52">
        <v>1</v>
      </c>
      <c r="AJ49" s="44">
        <v>485.63999999999982</v>
      </c>
      <c r="AK49" s="44"/>
      <c r="AL49" s="44"/>
      <c r="AM49" s="44"/>
      <c r="AN49" s="44"/>
      <c r="AO49" s="44"/>
      <c r="AP49" s="51"/>
    </row>
    <row r="50" spans="1:42" ht="21" customHeight="1" thickTop="1" thickBot="1" x14ac:dyDescent="0.35">
      <c r="A50" s="63"/>
      <c r="B50" s="66"/>
      <c r="C50" s="53">
        <v>2</v>
      </c>
      <c r="D50" s="45">
        <v>487.34999999999991</v>
      </c>
      <c r="E50" s="45"/>
      <c r="F50" s="45"/>
      <c r="G50" s="45"/>
      <c r="H50" s="45"/>
      <c r="I50" s="45"/>
      <c r="J50" s="51"/>
      <c r="K50" s="53">
        <v>2</v>
      </c>
      <c r="L50" s="45">
        <v>487.28999999999979</v>
      </c>
      <c r="M50" s="45"/>
      <c r="N50" s="45"/>
      <c r="O50" s="45"/>
      <c r="P50" s="45"/>
      <c r="Q50" s="45"/>
      <c r="R50" s="51"/>
      <c r="S50" s="53">
        <v>2</v>
      </c>
      <c r="T50" s="45">
        <v>487.64999999999981</v>
      </c>
      <c r="U50" s="45"/>
      <c r="V50" s="45"/>
      <c r="W50" s="45"/>
      <c r="X50" s="45"/>
      <c r="Y50" s="45"/>
      <c r="Z50" s="51"/>
      <c r="AA50" s="53">
        <v>2</v>
      </c>
      <c r="AB50" s="45">
        <v>488.78999999999991</v>
      </c>
      <c r="AC50" s="45"/>
      <c r="AD50" s="45"/>
      <c r="AE50" s="45"/>
      <c r="AF50" s="45"/>
      <c r="AG50" s="45"/>
      <c r="AH50" s="51"/>
      <c r="AI50" s="53">
        <v>2</v>
      </c>
      <c r="AJ50" s="45">
        <v>486.09999999999991</v>
      </c>
      <c r="AK50" s="45"/>
      <c r="AL50" s="45"/>
      <c r="AM50" s="45"/>
      <c r="AN50" s="45"/>
      <c r="AO50" s="45"/>
      <c r="AP50" s="51"/>
    </row>
    <row r="51" spans="1:42" ht="21" customHeight="1" thickTop="1" thickBot="1" x14ac:dyDescent="0.35">
      <c r="A51" s="63"/>
      <c r="B51" s="66"/>
      <c r="C51" s="53">
        <v>3</v>
      </c>
      <c r="D51" s="45">
        <v>485.5999999999998</v>
      </c>
      <c r="E51" s="45"/>
      <c r="F51" s="45"/>
      <c r="G51" s="44"/>
      <c r="H51" s="44"/>
      <c r="I51" s="44"/>
      <c r="J51" s="51"/>
      <c r="K51" s="53">
        <v>3</v>
      </c>
      <c r="L51" s="45">
        <v>487.8499999999998</v>
      </c>
      <c r="M51" s="45"/>
      <c r="N51" s="45"/>
      <c r="O51" s="44"/>
      <c r="P51" s="44"/>
      <c r="Q51" s="44"/>
      <c r="R51" s="51"/>
      <c r="S51" s="53">
        <v>3</v>
      </c>
      <c r="T51" s="45">
        <v>488.2999999999999</v>
      </c>
      <c r="U51" s="45"/>
      <c r="V51" s="45"/>
      <c r="W51" s="44"/>
      <c r="X51" s="44"/>
      <c r="Y51" s="44"/>
      <c r="Z51" s="51"/>
      <c r="AA51" s="53">
        <v>3</v>
      </c>
      <c r="AB51" s="45">
        <v>487.32999999999981</v>
      </c>
      <c r="AC51" s="45"/>
      <c r="AD51" s="45"/>
      <c r="AE51" s="44"/>
      <c r="AF51" s="44"/>
      <c r="AG51" s="44"/>
      <c r="AH51" s="51"/>
      <c r="AI51" s="53">
        <v>3</v>
      </c>
      <c r="AJ51" s="45">
        <v>487.48999999999978</v>
      </c>
      <c r="AK51" s="45"/>
      <c r="AL51" s="45"/>
      <c r="AM51" s="44"/>
      <c r="AN51" s="44"/>
      <c r="AO51" s="44"/>
      <c r="AP51" s="51"/>
    </row>
    <row r="52" spans="1:42" ht="21" customHeight="1" thickTop="1" thickBot="1" x14ac:dyDescent="0.35">
      <c r="A52" s="63"/>
      <c r="B52" s="66"/>
      <c r="C52" s="53">
        <v>4</v>
      </c>
      <c r="D52" s="45">
        <v>487.02999999999992</v>
      </c>
      <c r="E52" s="45"/>
      <c r="F52" s="45"/>
      <c r="G52" s="45"/>
      <c r="H52" s="45"/>
      <c r="I52" s="45"/>
      <c r="J52" s="51"/>
      <c r="K52" s="53">
        <v>4</v>
      </c>
      <c r="L52" s="45">
        <v>487.69999999999982</v>
      </c>
      <c r="M52" s="45"/>
      <c r="N52" s="45"/>
      <c r="O52" s="45"/>
      <c r="P52" s="45"/>
      <c r="Q52" s="45"/>
      <c r="R52" s="51"/>
      <c r="S52" s="53">
        <v>4</v>
      </c>
      <c r="T52" s="45">
        <v>487.2799999999998</v>
      </c>
      <c r="U52" s="45"/>
      <c r="V52" s="45"/>
      <c r="W52" s="45"/>
      <c r="X52" s="45"/>
      <c r="Y52" s="45"/>
      <c r="Z52" s="51"/>
      <c r="AA52" s="53">
        <v>4</v>
      </c>
      <c r="AB52" s="45">
        <v>487.96999999999991</v>
      </c>
      <c r="AC52" s="45"/>
      <c r="AD52" s="45"/>
      <c r="AE52" s="45"/>
      <c r="AF52" s="45"/>
      <c r="AG52" s="45"/>
      <c r="AH52" s="51"/>
      <c r="AI52" s="53">
        <v>4</v>
      </c>
      <c r="AJ52" s="45">
        <v>485.70999999999981</v>
      </c>
      <c r="AK52" s="45"/>
      <c r="AL52" s="45"/>
      <c r="AM52" s="45"/>
      <c r="AN52" s="45"/>
      <c r="AO52" s="45"/>
      <c r="AP52" s="51"/>
    </row>
    <row r="53" spans="1:42" ht="21" customHeight="1" thickTop="1" thickBot="1" x14ac:dyDescent="0.35">
      <c r="A53" s="63"/>
      <c r="B53" s="66"/>
      <c r="C53" s="53">
        <v>5</v>
      </c>
      <c r="D53" s="45">
        <v>487.81999999999982</v>
      </c>
      <c r="E53" s="45"/>
      <c r="F53" s="45"/>
      <c r="G53" s="45"/>
      <c r="H53" s="45"/>
      <c r="I53" s="45"/>
      <c r="J53" s="51"/>
      <c r="K53" s="53">
        <v>5</v>
      </c>
      <c r="L53" s="45">
        <v>487.38999999999987</v>
      </c>
      <c r="M53" s="45"/>
      <c r="N53" s="45"/>
      <c r="O53" s="45"/>
      <c r="P53" s="45"/>
      <c r="Q53" s="45"/>
      <c r="R53" s="51"/>
      <c r="S53" s="53">
        <v>5</v>
      </c>
      <c r="T53" s="45">
        <v>487.23999999999978</v>
      </c>
      <c r="U53" s="45"/>
      <c r="V53" s="45"/>
      <c r="W53" s="45"/>
      <c r="X53" s="45"/>
      <c r="Y53" s="45"/>
      <c r="Z53" s="51"/>
      <c r="AA53" s="53">
        <v>5</v>
      </c>
      <c r="AB53" s="45">
        <v>487.12999999999982</v>
      </c>
      <c r="AC53" s="45"/>
      <c r="AD53" s="45"/>
      <c r="AE53" s="45"/>
      <c r="AF53" s="45"/>
      <c r="AG53" s="45"/>
      <c r="AH53" s="51"/>
      <c r="AI53" s="53">
        <v>5</v>
      </c>
      <c r="AJ53" s="45">
        <v>486.60999999999979</v>
      </c>
      <c r="AK53" s="45"/>
      <c r="AL53" s="45"/>
      <c r="AM53" s="45"/>
      <c r="AN53" s="45"/>
      <c r="AO53" s="45"/>
      <c r="AP53" s="51"/>
    </row>
    <row r="54" spans="1:42" ht="21" customHeight="1" thickTop="1" thickBot="1" x14ac:dyDescent="0.35">
      <c r="A54" s="63"/>
      <c r="B54" s="66"/>
      <c r="C54" s="53">
        <v>6</v>
      </c>
      <c r="D54" s="45">
        <v>487.24999999999977</v>
      </c>
      <c r="E54" s="45"/>
      <c r="F54" s="45"/>
      <c r="G54" s="45"/>
      <c r="H54" s="45"/>
      <c r="I54" s="45"/>
      <c r="J54" s="51"/>
      <c r="K54" s="53">
        <v>6</v>
      </c>
      <c r="L54" s="45">
        <v>487.89999999999992</v>
      </c>
      <c r="M54" s="45"/>
      <c r="N54" s="45"/>
      <c r="O54" s="45"/>
      <c r="P54" s="45"/>
      <c r="Q54" s="45"/>
      <c r="R54" s="51"/>
      <c r="S54" s="53">
        <v>6</v>
      </c>
      <c r="T54" s="45">
        <v>487.00999999999982</v>
      </c>
      <c r="U54" s="45"/>
      <c r="V54" s="45"/>
      <c r="W54" s="45"/>
      <c r="X54" s="45"/>
      <c r="Y54" s="45"/>
      <c r="Z54" s="51"/>
      <c r="AA54" s="53">
        <v>6</v>
      </c>
      <c r="AB54" s="45">
        <v>488.61999999999978</v>
      </c>
      <c r="AC54" s="45"/>
      <c r="AD54" s="45"/>
      <c r="AE54" s="45"/>
      <c r="AF54" s="45"/>
      <c r="AG54" s="45"/>
      <c r="AH54" s="51"/>
      <c r="AI54" s="53">
        <v>6</v>
      </c>
      <c r="AJ54" s="45">
        <v>486.01999999999981</v>
      </c>
      <c r="AK54" s="45"/>
      <c r="AL54" s="45"/>
      <c r="AM54" s="45"/>
      <c r="AN54" s="45"/>
      <c r="AO54" s="45"/>
      <c r="AP54" s="51"/>
    </row>
    <row r="55" spans="1:42" ht="21" customHeight="1" thickTop="1" thickBot="1" x14ac:dyDescent="0.35">
      <c r="A55" s="63"/>
      <c r="B55" s="66"/>
      <c r="C55" s="53">
        <v>7</v>
      </c>
      <c r="D55" s="45">
        <v>488.00999999999982</v>
      </c>
      <c r="E55" s="45"/>
      <c r="F55" s="45"/>
      <c r="G55" s="45"/>
      <c r="H55" s="45"/>
      <c r="I55" s="45"/>
      <c r="J55" s="51"/>
      <c r="K55" s="53">
        <v>7</v>
      </c>
      <c r="L55" s="45">
        <v>487.00999999999988</v>
      </c>
      <c r="M55" s="45"/>
      <c r="N55" s="45"/>
      <c r="O55" s="45"/>
      <c r="P55" s="45"/>
      <c r="Q55" s="45"/>
      <c r="R55" s="51"/>
      <c r="S55" s="53">
        <v>7</v>
      </c>
      <c r="T55" s="45">
        <v>488.07999999999981</v>
      </c>
      <c r="U55" s="45"/>
      <c r="V55" s="45"/>
      <c r="W55" s="45"/>
      <c r="X55" s="45"/>
      <c r="Y55" s="45"/>
      <c r="Z55" s="51"/>
      <c r="AA55" s="53">
        <v>7</v>
      </c>
      <c r="AB55" s="45">
        <v>487.2799999999998</v>
      </c>
      <c r="AC55" s="45"/>
      <c r="AD55" s="45"/>
      <c r="AE55" s="45"/>
      <c r="AF55" s="45"/>
      <c r="AG55" s="45"/>
      <c r="AH55" s="51"/>
      <c r="AI55" s="53">
        <v>7</v>
      </c>
      <c r="AJ55" s="45">
        <v>486.80999999999977</v>
      </c>
      <c r="AK55" s="45"/>
      <c r="AL55" s="45"/>
      <c r="AM55" s="45"/>
      <c r="AN55" s="45"/>
      <c r="AO55" s="45"/>
      <c r="AP55" s="51"/>
    </row>
    <row r="56" spans="1:42" ht="21" customHeight="1" thickTop="1" thickBot="1" x14ac:dyDescent="0.35">
      <c r="A56" s="63"/>
      <c r="B56" s="66"/>
      <c r="C56" s="53">
        <v>8</v>
      </c>
      <c r="D56" s="45">
        <v>487.57999999999981</v>
      </c>
      <c r="E56" s="45"/>
      <c r="F56" s="45"/>
      <c r="G56" s="45"/>
      <c r="H56" s="45"/>
      <c r="I56" s="45"/>
      <c r="J56" s="51"/>
      <c r="K56" s="53">
        <v>8</v>
      </c>
      <c r="L56" s="45">
        <v>487.8499999999998</v>
      </c>
      <c r="M56" s="45"/>
      <c r="N56" s="45"/>
      <c r="O56" s="45"/>
      <c r="P56" s="45"/>
      <c r="Q56" s="45"/>
      <c r="R56" s="51"/>
      <c r="S56" s="53">
        <v>8</v>
      </c>
      <c r="T56" s="45">
        <v>489.8399999999998</v>
      </c>
      <c r="U56" s="45"/>
      <c r="V56" s="45"/>
      <c r="W56" s="45"/>
      <c r="X56" s="45"/>
      <c r="Y56" s="45"/>
      <c r="Z56" s="51"/>
      <c r="AA56" s="53">
        <v>8</v>
      </c>
      <c r="AB56" s="45">
        <v>487.00999999999988</v>
      </c>
      <c r="AC56" s="45"/>
      <c r="AD56" s="45"/>
      <c r="AE56" s="45"/>
      <c r="AF56" s="45"/>
      <c r="AG56" s="45"/>
      <c r="AH56" s="51"/>
      <c r="AI56" s="53">
        <v>8</v>
      </c>
      <c r="AJ56" s="45">
        <v>486.97999999999979</v>
      </c>
      <c r="AK56" s="45"/>
      <c r="AL56" s="45"/>
      <c r="AM56" s="45"/>
      <c r="AN56" s="45"/>
      <c r="AO56" s="45"/>
      <c r="AP56" s="51"/>
    </row>
    <row r="57" spans="1:42" ht="21" customHeight="1" thickTop="1" thickBot="1" x14ac:dyDescent="0.35">
      <c r="A57" s="63"/>
      <c r="B57" s="66"/>
      <c r="C57" s="53">
        <v>9</v>
      </c>
      <c r="D57" s="45">
        <v>485.74999999999977</v>
      </c>
      <c r="E57" s="45"/>
      <c r="F57" s="45"/>
      <c r="G57" s="45"/>
      <c r="H57" s="45"/>
      <c r="I57" s="45"/>
      <c r="J57" s="51"/>
      <c r="K57" s="53">
        <v>9</v>
      </c>
      <c r="L57" s="45">
        <v>487.45999999999981</v>
      </c>
      <c r="M57" s="45"/>
      <c r="N57" s="45"/>
      <c r="O57" s="45"/>
      <c r="P57" s="45"/>
      <c r="Q57" s="45"/>
      <c r="R57" s="51"/>
      <c r="S57" s="53">
        <v>9</v>
      </c>
      <c r="T57" s="45">
        <v>489.39999999999992</v>
      </c>
      <c r="U57" s="45"/>
      <c r="V57" s="45"/>
      <c r="W57" s="45"/>
      <c r="X57" s="45"/>
      <c r="Y57" s="45"/>
      <c r="Z57" s="51"/>
      <c r="AA57" s="53">
        <v>9</v>
      </c>
      <c r="AB57" s="45">
        <v>488.79999999999978</v>
      </c>
      <c r="AC57" s="45"/>
      <c r="AD57" s="45"/>
      <c r="AE57" s="45"/>
      <c r="AF57" s="45"/>
      <c r="AG57" s="45"/>
      <c r="AH57" s="51"/>
      <c r="AI57" s="53">
        <v>9</v>
      </c>
      <c r="AJ57" s="45">
        <v>486.18999999999983</v>
      </c>
      <c r="AK57" s="45"/>
      <c r="AL57" s="45"/>
      <c r="AM57" s="45"/>
      <c r="AN57" s="45"/>
      <c r="AO57" s="45"/>
      <c r="AP57" s="51"/>
    </row>
    <row r="58" spans="1:42" ht="21" customHeight="1" thickTop="1" thickBot="1" x14ac:dyDescent="0.35">
      <c r="A58" s="63"/>
      <c r="B58" s="66"/>
      <c r="C58" s="53">
        <v>10</v>
      </c>
      <c r="D58" s="45">
        <v>486.54999999999978</v>
      </c>
      <c r="E58" s="45"/>
      <c r="F58" s="45"/>
      <c r="G58" s="45"/>
      <c r="H58" s="45"/>
      <c r="I58" s="45"/>
      <c r="J58" s="51"/>
      <c r="K58" s="53">
        <v>10</v>
      </c>
      <c r="L58" s="45">
        <v>487.38999999999982</v>
      </c>
      <c r="M58" s="45"/>
      <c r="N58" s="45"/>
      <c r="O58" s="45"/>
      <c r="P58" s="45"/>
      <c r="Q58" s="45"/>
      <c r="R58" s="51"/>
      <c r="S58" s="53">
        <v>10</v>
      </c>
      <c r="T58" s="45">
        <v>488.07999999999981</v>
      </c>
      <c r="U58" s="45"/>
      <c r="V58" s="45"/>
      <c r="W58" s="45"/>
      <c r="X58" s="45"/>
      <c r="Y58" s="45"/>
      <c r="Z58" s="51"/>
      <c r="AA58" s="53">
        <v>10</v>
      </c>
      <c r="AB58" s="45">
        <v>487.62999999999988</v>
      </c>
      <c r="AC58" s="45"/>
      <c r="AD58" s="45"/>
      <c r="AE58" s="45"/>
      <c r="AF58" s="45"/>
      <c r="AG58" s="45"/>
      <c r="AH58" s="51"/>
      <c r="AI58" s="53">
        <v>10</v>
      </c>
      <c r="AJ58" s="45">
        <v>487.13999999999987</v>
      </c>
      <c r="AK58" s="45"/>
      <c r="AL58" s="45"/>
      <c r="AM58" s="45"/>
      <c r="AN58" s="45"/>
      <c r="AO58" s="45"/>
      <c r="AP58" s="51"/>
    </row>
    <row r="59" spans="1:42" ht="21" customHeight="1" thickTop="1" thickBot="1" x14ac:dyDescent="0.35">
      <c r="A59" s="63"/>
      <c r="B59" s="66"/>
      <c r="C59" s="53"/>
      <c r="D59" s="45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66"/>
      <c r="C60" s="54" t="s">
        <v>16</v>
      </c>
      <c r="D60" s="49">
        <f>MIN(D49:D58)</f>
        <v>485.5999999999998</v>
      </c>
      <c r="E60" s="45"/>
      <c r="F60" s="55" t="s">
        <v>17</v>
      </c>
      <c r="G60" s="49" t="s">
        <v>18</v>
      </c>
      <c r="H60" s="49" t="s">
        <v>19</v>
      </c>
      <c r="I60" s="45"/>
      <c r="J60" s="51"/>
      <c r="K60" s="54" t="s">
        <v>16</v>
      </c>
      <c r="L60" s="49">
        <f>MIN(L49:L58)</f>
        <v>487.00999999999988</v>
      </c>
      <c r="M60" s="45"/>
      <c r="N60" s="55" t="s">
        <v>17</v>
      </c>
      <c r="O60" s="49" t="s">
        <v>18</v>
      </c>
      <c r="P60" s="49" t="s">
        <v>19</v>
      </c>
      <c r="Q60" s="45"/>
      <c r="R60" s="51"/>
      <c r="S60" s="54" t="s">
        <v>16</v>
      </c>
      <c r="T60" s="49">
        <f>MIN(T49:T58)</f>
        <v>487.00999999999982</v>
      </c>
      <c r="U60" s="45"/>
      <c r="V60" s="55" t="s">
        <v>17</v>
      </c>
      <c r="W60" s="49" t="s">
        <v>18</v>
      </c>
      <c r="X60" s="49" t="s">
        <v>19</v>
      </c>
      <c r="Y60" s="45"/>
      <c r="Z60" s="51"/>
      <c r="AA60" s="54" t="s">
        <v>16</v>
      </c>
      <c r="AB60" s="49">
        <f>MIN(AB49:AB58)</f>
        <v>487.00999999999988</v>
      </c>
      <c r="AC60" s="45"/>
      <c r="AD60" s="55" t="s">
        <v>17</v>
      </c>
      <c r="AE60" s="49" t="s">
        <v>18</v>
      </c>
      <c r="AF60" s="49" t="s">
        <v>19</v>
      </c>
      <c r="AG60" s="45"/>
      <c r="AH60" s="51"/>
      <c r="AI60" s="54" t="s">
        <v>16</v>
      </c>
      <c r="AJ60" s="49">
        <f>MIN(AJ49:AJ58)</f>
        <v>485.63999999999982</v>
      </c>
      <c r="AK60" s="45"/>
      <c r="AL60" s="55" t="s">
        <v>17</v>
      </c>
      <c r="AM60" s="49" t="s">
        <v>18</v>
      </c>
      <c r="AN60" s="49" t="s">
        <v>19</v>
      </c>
      <c r="AO60" s="45"/>
      <c r="AP60" s="51"/>
    </row>
    <row r="61" spans="1:42" ht="21" customHeight="1" thickTop="1" thickBot="1" x14ac:dyDescent="0.35">
      <c r="A61" s="63"/>
      <c r="B61" s="66"/>
      <c r="C61" s="54" t="s">
        <v>20</v>
      </c>
      <c r="D61" s="48">
        <f>AVERAGE(D49:D58)</f>
        <v>486.90299999999991</v>
      </c>
      <c r="E61" s="47"/>
      <c r="F61" s="48">
        <f>_xlfn.STDEV.S(D49:D58) / AVERAGE(D49:D58) * 100%</f>
        <v>1.7685739101150251E-3</v>
      </c>
      <c r="G61" s="48">
        <f t="array" ref="G61">MIN((D49:D58 - MIN(D49:D58,L49:L58,T49:T58,AB49:AB58,AJ49:AJ58))/MIN(D49:D58,L49:L58,T49:T58,AB49:AB58,AJ49:AJ58)*100%)</f>
        <v>0</v>
      </c>
      <c r="H61" s="48">
        <f t="array" ref="H61">AVERAGE((D49:D58 - MIN(D49:D58,L49:L58,T49:T58,AB49:AB58,AJ49:AJ58))/MIN(D49:D58,L49:L58,T49:T58,AB49:AB58,AJ49:AJ58)*100%)</f>
        <v>2.6832784184514778E-3</v>
      </c>
      <c r="I61" s="45"/>
      <c r="J61" s="51"/>
      <c r="K61" s="54" t="s">
        <v>20</v>
      </c>
      <c r="L61" s="48">
        <f>AVERAGE(L49:L58)</f>
        <v>487.53699999999981</v>
      </c>
      <c r="M61" s="47"/>
      <c r="N61" s="48">
        <f>_xlfn.STDEV.S(L49:L58) / AVERAGE(L49:L58) * 100%</f>
        <v>5.8902613577989089E-4</v>
      </c>
      <c r="O61" s="48">
        <f t="array" ref="O61">MIN((L49:L58 - MIN(D49:D58,L49:L58,T49:T58,AB49:AB58,AJ49:AJ58))/MIN(D49:D58,L49:L58,T49:T58,AB49:AB58,AJ49:AJ58)*100%)</f>
        <v>2.9036243822077481E-3</v>
      </c>
      <c r="P61" s="48">
        <f t="array" ref="P61">AVERAGE((L49:L58 - MIN(D49:D58,L49:L58,T49:T58,AB49:AB58,AJ49:AJ58))/MIN(D49:D58,L49:L58,T49:T58,AB49:AB58,AJ49:AJ58)*100%)</f>
        <v>3.9888797364086397E-3</v>
      </c>
      <c r="Q61" s="44"/>
      <c r="R61" s="51"/>
      <c r="S61" s="54" t="s">
        <v>20</v>
      </c>
      <c r="T61" s="48">
        <f>AVERAGE(T49:T58)</f>
        <v>488.02199999999982</v>
      </c>
      <c r="U61" s="47"/>
      <c r="V61" s="48">
        <f>_xlfn.STDEV.S(T49:T58) / AVERAGE(T49:T58) * 100%</f>
        <v>1.9412649694574339E-3</v>
      </c>
      <c r="W61" s="48">
        <f t="array" ref="W61">MIN((T49:T58 - MIN(D49:D58,L49:L58,T49:T58,AB49:AB58,AJ49:AJ58))/MIN(D49:D58,L49:L58,T49:T58,AB49:AB58,AJ49:AJ58)*100%)</f>
        <v>2.903624382207631E-3</v>
      </c>
      <c r="X61" s="48">
        <f t="array" ref="X61">AVERAGE((T49:T58 - MIN(D49:D58,L49:L58,T49:T58,AB49:AB58,AJ49:AJ58))/MIN(D49:D58,L49:L58,T49:T58,AB49:AB58,AJ49:AJ58)*100%)</f>
        <v>4.9876441515651401E-3</v>
      </c>
      <c r="Y61" s="44"/>
      <c r="Z61" s="51"/>
      <c r="AA61" s="54" t="s">
        <v>20</v>
      </c>
      <c r="AB61" s="48">
        <f>AVERAGE(AB49:AB58)</f>
        <v>487.76999999999987</v>
      </c>
      <c r="AC61" s="47"/>
      <c r="AD61" s="48">
        <f>_xlfn.STDEV.S(AB49:AB58) / AVERAGE(AB49:AB58) * 100%</f>
        <v>1.481726415159501E-3</v>
      </c>
      <c r="AE61" s="48">
        <f t="array" ref="AE61">MIN((AB49:AB58 - MIN(D49:D58,L49:L58,T49:T58,AB49:AB58,AJ49:AJ58))/MIN(D49:D58,L49:L58,T49:T58,AB49:AB58,AJ49:AJ58)*100%)</f>
        <v>2.9036243822077481E-3</v>
      </c>
      <c r="AF61" s="48">
        <f t="array" ref="AF61">AVERAGE((AB49:AB58 - MIN(D49:D58,L49:L58,T49:T58,AB49:AB58,AJ49:AJ58))/MIN(D49:D58,L49:L58,T49:T58,AB49:AB58,AJ49:AJ58)*100%)</f>
        <v>4.4686985172982807E-3</v>
      </c>
      <c r="AG61" s="44"/>
      <c r="AH61" s="51"/>
      <c r="AI61" s="54" t="s">
        <v>20</v>
      </c>
      <c r="AJ61" s="48">
        <f>AVERAGE(AJ49:AJ58)</f>
        <v>486.46899999999988</v>
      </c>
      <c r="AK61" s="47"/>
      <c r="AL61" s="48">
        <f>_xlfn.STDEV.S(AJ49:AJ58) / AVERAGE(AJ49:AJ58) * 100%</f>
        <v>1.2944645344199355E-3</v>
      </c>
      <c r="AM61" s="48">
        <f t="array" ref="AM61">MIN((AJ49:AJ58 - MIN(D49:D58,L49:L58,T49:T58,AB49:AB58,AJ49:AJ58))/MIN(D49:D58,L49:L58,T49:T58,AB49:AB58,AJ49:AJ58)*100%)</f>
        <v>8.2372322899547937E-5</v>
      </c>
      <c r="AN61" s="48">
        <f t="array" ref="AN61">AVERAGE((AJ49:AJ58 - MIN(D49:D58,L49:L58,T49:T58,AB49:AB58,AJ49:AJ58))/MIN(D49:D58,L49:L58,T49:T58,AB49:AB58,AJ49:AJ58)*100%)</f>
        <v>1.7895387149918097E-3</v>
      </c>
      <c r="AO61" s="44"/>
      <c r="AP61" s="51"/>
    </row>
    <row r="62" spans="1:42" ht="21" customHeight="1" thickTop="1" thickBot="1" x14ac:dyDescent="0.35">
      <c r="A62" s="63"/>
      <c r="B62" s="67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3"/>
      <c r="B63" s="65" t="s">
        <v>110</v>
      </c>
      <c r="C63" s="59" t="s">
        <v>8</v>
      </c>
      <c r="D63" s="46" t="s">
        <v>9</v>
      </c>
      <c r="E63" s="46" t="s">
        <v>10</v>
      </c>
      <c r="F63" s="46" t="s">
        <v>11</v>
      </c>
      <c r="G63" s="46" t="s">
        <v>12</v>
      </c>
      <c r="H63" s="46" t="s">
        <v>13</v>
      </c>
      <c r="I63" s="46" t="s">
        <v>14</v>
      </c>
      <c r="J63" s="60" t="s">
        <v>15</v>
      </c>
      <c r="K63" s="59" t="s">
        <v>8</v>
      </c>
      <c r="L63" s="46" t="s">
        <v>9</v>
      </c>
      <c r="M63" s="46" t="s">
        <v>10</v>
      </c>
      <c r="N63" s="46" t="s">
        <v>11</v>
      </c>
      <c r="O63" s="46" t="s">
        <v>12</v>
      </c>
      <c r="P63" s="46" t="s">
        <v>13</v>
      </c>
      <c r="Q63" s="46" t="s">
        <v>14</v>
      </c>
      <c r="R63" s="60" t="s">
        <v>15</v>
      </c>
      <c r="S63" s="59" t="s">
        <v>8</v>
      </c>
      <c r="T63" s="46" t="s">
        <v>9</v>
      </c>
      <c r="U63" s="46" t="s">
        <v>10</v>
      </c>
      <c r="V63" s="46" t="s">
        <v>11</v>
      </c>
      <c r="W63" s="46" t="s">
        <v>12</v>
      </c>
      <c r="X63" s="46" t="s">
        <v>13</v>
      </c>
      <c r="Y63" s="46" t="s">
        <v>14</v>
      </c>
      <c r="Z63" s="60" t="s">
        <v>15</v>
      </c>
      <c r="AA63" s="59" t="s">
        <v>8</v>
      </c>
      <c r="AB63" s="46" t="s">
        <v>9</v>
      </c>
      <c r="AC63" s="46" t="s">
        <v>10</v>
      </c>
      <c r="AD63" s="46" t="s">
        <v>11</v>
      </c>
      <c r="AE63" s="46" t="s">
        <v>12</v>
      </c>
      <c r="AF63" s="46" t="s">
        <v>13</v>
      </c>
      <c r="AG63" s="46" t="s">
        <v>14</v>
      </c>
      <c r="AH63" s="60" t="s">
        <v>15</v>
      </c>
      <c r="AI63" s="59" t="s">
        <v>8</v>
      </c>
      <c r="AJ63" s="46" t="s">
        <v>9</v>
      </c>
      <c r="AK63" s="46" t="s">
        <v>10</v>
      </c>
      <c r="AL63" s="46" t="s">
        <v>11</v>
      </c>
      <c r="AM63" s="46" t="s">
        <v>12</v>
      </c>
      <c r="AN63" s="46" t="s">
        <v>13</v>
      </c>
      <c r="AO63" s="46" t="s">
        <v>14</v>
      </c>
      <c r="AP63" s="60" t="s">
        <v>15</v>
      </c>
    </row>
    <row r="64" spans="1:42" ht="21" customHeight="1" thickTop="1" thickBot="1" x14ac:dyDescent="0.35">
      <c r="A64" s="63"/>
      <c r="B64" s="66"/>
      <c r="C64" s="52">
        <v>1</v>
      </c>
      <c r="D64" s="44">
        <v>482.49999999999977</v>
      </c>
      <c r="E64" s="44"/>
      <c r="F64" s="44"/>
      <c r="G64" s="44"/>
      <c r="H64" s="44"/>
      <c r="I64" s="44"/>
      <c r="J64" s="51"/>
      <c r="K64" s="52">
        <v>1</v>
      </c>
      <c r="L64" s="44">
        <v>482.93999999999983</v>
      </c>
      <c r="M64" s="44"/>
      <c r="N64" s="44"/>
      <c r="O64" s="44"/>
      <c r="P64" s="44"/>
      <c r="Q64" s="44"/>
      <c r="R64" s="51"/>
      <c r="S64" s="52">
        <v>1</v>
      </c>
      <c r="T64" s="44">
        <v>487.03999999999979</v>
      </c>
      <c r="U64" s="44"/>
      <c r="V64" s="44"/>
      <c r="W64" s="44"/>
      <c r="X64" s="44"/>
      <c r="Y64" s="44"/>
      <c r="Z64" s="51"/>
      <c r="AA64" s="52">
        <v>1</v>
      </c>
      <c r="AB64" s="44">
        <v>483.30999999999977</v>
      </c>
      <c r="AC64" s="44"/>
      <c r="AD64" s="44"/>
      <c r="AE64" s="44"/>
      <c r="AF64" s="44"/>
      <c r="AG64" s="44"/>
      <c r="AH64" s="51"/>
      <c r="AI64" s="52">
        <v>1</v>
      </c>
      <c r="AJ64" s="44">
        <v>482.01999999999992</v>
      </c>
      <c r="AK64" s="44"/>
      <c r="AL64" s="44"/>
      <c r="AM64" s="44"/>
      <c r="AN64" s="44"/>
      <c r="AO64" s="44"/>
      <c r="AP64" s="51"/>
    </row>
    <row r="65" spans="1:42" ht="21" customHeight="1" thickTop="1" thickBot="1" x14ac:dyDescent="0.35">
      <c r="A65" s="63"/>
      <c r="B65" s="66"/>
      <c r="C65" s="53">
        <v>2</v>
      </c>
      <c r="D65" s="45">
        <v>482.00999999999982</v>
      </c>
      <c r="E65" s="45"/>
      <c r="F65" s="45"/>
      <c r="G65" s="45"/>
      <c r="H65" s="45"/>
      <c r="I65" s="45"/>
      <c r="J65" s="51"/>
      <c r="K65" s="53">
        <v>2</v>
      </c>
      <c r="L65" s="45">
        <v>482.51999999999981</v>
      </c>
      <c r="M65" s="45"/>
      <c r="N65" s="45"/>
      <c r="O65" s="45"/>
      <c r="P65" s="45"/>
      <c r="Q65" s="45"/>
      <c r="R65" s="51"/>
      <c r="S65" s="53">
        <v>2</v>
      </c>
      <c r="T65" s="45">
        <v>482.41999999999979</v>
      </c>
      <c r="U65" s="45"/>
      <c r="V65" s="45"/>
      <c r="W65" s="45"/>
      <c r="X65" s="45"/>
      <c r="Y65" s="45"/>
      <c r="Z65" s="51"/>
      <c r="AA65" s="53">
        <v>2</v>
      </c>
      <c r="AB65" s="45">
        <v>483.13999999999982</v>
      </c>
      <c r="AC65" s="45"/>
      <c r="AD65" s="45"/>
      <c r="AE65" s="45"/>
      <c r="AF65" s="45"/>
      <c r="AG65" s="45"/>
      <c r="AH65" s="51"/>
      <c r="AI65" s="53">
        <v>2</v>
      </c>
      <c r="AJ65" s="45">
        <v>482.09999999999991</v>
      </c>
      <c r="AK65" s="45"/>
      <c r="AL65" s="45"/>
      <c r="AM65" s="45"/>
      <c r="AN65" s="45"/>
      <c r="AO65" s="45"/>
      <c r="AP65" s="51"/>
    </row>
    <row r="66" spans="1:42" ht="21" customHeight="1" thickTop="1" thickBot="1" x14ac:dyDescent="0.35">
      <c r="A66" s="63"/>
      <c r="B66" s="66"/>
      <c r="C66" s="53">
        <v>3</v>
      </c>
      <c r="D66" s="45">
        <v>481.55999999999977</v>
      </c>
      <c r="E66" s="45"/>
      <c r="F66" s="45"/>
      <c r="G66" s="44"/>
      <c r="H66" s="44"/>
      <c r="I66" s="44"/>
      <c r="J66" s="51"/>
      <c r="K66" s="53">
        <v>3</v>
      </c>
      <c r="L66" s="45">
        <v>482.28999999999979</v>
      </c>
      <c r="M66" s="45"/>
      <c r="N66" s="45"/>
      <c r="O66" s="44"/>
      <c r="P66" s="44"/>
      <c r="Q66" s="44"/>
      <c r="R66" s="51"/>
      <c r="S66" s="53">
        <v>3</v>
      </c>
      <c r="T66" s="45">
        <v>484.11999999999989</v>
      </c>
      <c r="U66" s="45"/>
      <c r="V66" s="45"/>
      <c r="W66" s="44"/>
      <c r="X66" s="44"/>
      <c r="Y66" s="44"/>
      <c r="Z66" s="51"/>
      <c r="AA66" s="53">
        <v>3</v>
      </c>
      <c r="AB66" s="45">
        <v>482.46999999999991</v>
      </c>
      <c r="AC66" s="45"/>
      <c r="AD66" s="45"/>
      <c r="AE66" s="44"/>
      <c r="AF66" s="44"/>
      <c r="AG66" s="44"/>
      <c r="AH66" s="51"/>
      <c r="AI66" s="53">
        <v>3</v>
      </c>
      <c r="AJ66" s="45">
        <v>481.60999999999979</v>
      </c>
      <c r="AK66" s="45"/>
      <c r="AL66" s="45"/>
      <c r="AM66" s="44"/>
      <c r="AN66" s="44"/>
      <c r="AO66" s="44"/>
      <c r="AP66" s="51"/>
    </row>
    <row r="67" spans="1:42" ht="21" customHeight="1" thickTop="1" thickBot="1" x14ac:dyDescent="0.35">
      <c r="A67" s="63"/>
      <c r="B67" s="66"/>
      <c r="C67" s="53">
        <v>4</v>
      </c>
      <c r="D67" s="45">
        <v>481.4099999999998</v>
      </c>
      <c r="E67" s="45"/>
      <c r="F67" s="45"/>
      <c r="G67" s="45"/>
      <c r="H67" s="45"/>
      <c r="I67" s="45"/>
      <c r="J67" s="51"/>
      <c r="K67" s="53">
        <v>4</v>
      </c>
      <c r="L67" s="45">
        <v>482.92999999999978</v>
      </c>
      <c r="M67" s="45"/>
      <c r="N67" s="45"/>
      <c r="O67" s="45"/>
      <c r="P67" s="45"/>
      <c r="Q67" s="45"/>
      <c r="R67" s="51"/>
      <c r="S67" s="53">
        <v>4</v>
      </c>
      <c r="T67" s="45">
        <v>484.61999999999978</v>
      </c>
      <c r="U67" s="45"/>
      <c r="V67" s="45"/>
      <c r="W67" s="45"/>
      <c r="X67" s="45"/>
      <c r="Y67" s="45"/>
      <c r="Z67" s="51"/>
      <c r="AA67" s="53">
        <v>4</v>
      </c>
      <c r="AB67" s="45">
        <v>481.31999999999982</v>
      </c>
      <c r="AC67" s="45"/>
      <c r="AD67" s="45"/>
      <c r="AE67" s="45"/>
      <c r="AF67" s="45"/>
      <c r="AG67" s="45"/>
      <c r="AH67" s="51"/>
      <c r="AI67" s="53">
        <v>4</v>
      </c>
      <c r="AJ67" s="45">
        <v>481.9899999999999</v>
      </c>
      <c r="AK67" s="45"/>
      <c r="AL67" s="45"/>
      <c r="AM67" s="45"/>
      <c r="AN67" s="45"/>
      <c r="AO67" s="45"/>
      <c r="AP67" s="51"/>
    </row>
    <row r="68" spans="1:42" ht="21" customHeight="1" thickTop="1" thickBot="1" x14ac:dyDescent="0.35">
      <c r="A68" s="63"/>
      <c r="B68" s="66"/>
      <c r="C68" s="53">
        <v>5</v>
      </c>
      <c r="D68" s="45">
        <v>481.82999999999981</v>
      </c>
      <c r="E68" s="45"/>
      <c r="F68" s="45"/>
      <c r="G68" s="45"/>
      <c r="H68" s="45"/>
      <c r="I68" s="45"/>
      <c r="J68" s="51"/>
      <c r="K68" s="53">
        <v>5</v>
      </c>
      <c r="L68" s="45">
        <v>481.44999999999982</v>
      </c>
      <c r="M68" s="45"/>
      <c r="N68" s="45"/>
      <c r="O68" s="45"/>
      <c r="P68" s="45"/>
      <c r="Q68" s="45"/>
      <c r="R68" s="51"/>
      <c r="S68" s="53">
        <v>5</v>
      </c>
      <c r="T68" s="45">
        <v>481.55999999999977</v>
      </c>
      <c r="U68" s="45"/>
      <c r="V68" s="45"/>
      <c r="W68" s="45"/>
      <c r="X68" s="45"/>
      <c r="Y68" s="45"/>
      <c r="Z68" s="51"/>
      <c r="AA68" s="53">
        <v>5</v>
      </c>
      <c r="AB68" s="45">
        <v>481.66999999999979</v>
      </c>
      <c r="AC68" s="45"/>
      <c r="AD68" s="45"/>
      <c r="AE68" s="45"/>
      <c r="AF68" s="45"/>
      <c r="AG68" s="45"/>
      <c r="AH68" s="51"/>
      <c r="AI68" s="53">
        <v>5</v>
      </c>
      <c r="AJ68" s="45">
        <v>481.85999999999979</v>
      </c>
      <c r="AK68" s="45"/>
      <c r="AL68" s="45"/>
      <c r="AM68" s="45"/>
      <c r="AN68" s="45"/>
      <c r="AO68" s="45"/>
      <c r="AP68" s="51"/>
    </row>
    <row r="69" spans="1:42" ht="21" customHeight="1" thickTop="1" thickBot="1" x14ac:dyDescent="0.35">
      <c r="A69" s="63"/>
      <c r="B69" s="66"/>
      <c r="C69" s="53">
        <v>6</v>
      </c>
      <c r="D69" s="45">
        <v>481.28999999999979</v>
      </c>
      <c r="E69" s="45"/>
      <c r="F69" s="45"/>
      <c r="G69" s="45"/>
      <c r="H69" s="45"/>
      <c r="I69" s="45"/>
      <c r="J69" s="51"/>
      <c r="K69" s="53">
        <v>6</v>
      </c>
      <c r="L69" s="45">
        <v>483.28999999999979</v>
      </c>
      <c r="M69" s="45"/>
      <c r="N69" s="45"/>
      <c r="O69" s="45"/>
      <c r="P69" s="45"/>
      <c r="Q69" s="45"/>
      <c r="R69" s="51"/>
      <c r="S69" s="53">
        <v>6</v>
      </c>
      <c r="T69" s="45">
        <v>482.94999999999982</v>
      </c>
      <c r="U69" s="45"/>
      <c r="V69" s="45"/>
      <c r="W69" s="45"/>
      <c r="X69" s="45"/>
      <c r="Y69" s="45"/>
      <c r="Z69" s="51"/>
      <c r="AA69" s="53">
        <v>6</v>
      </c>
      <c r="AB69" s="45">
        <v>482.00999999999982</v>
      </c>
      <c r="AC69" s="45"/>
      <c r="AD69" s="45"/>
      <c r="AE69" s="45"/>
      <c r="AF69" s="45"/>
      <c r="AG69" s="45"/>
      <c r="AH69" s="51"/>
      <c r="AI69" s="53">
        <v>6</v>
      </c>
      <c r="AJ69" s="45">
        <v>482.8499999999998</v>
      </c>
      <c r="AK69" s="45"/>
      <c r="AL69" s="45"/>
      <c r="AM69" s="45"/>
      <c r="AN69" s="45"/>
      <c r="AO69" s="45"/>
      <c r="AP69" s="51"/>
    </row>
    <row r="70" spans="1:42" ht="21" customHeight="1" thickTop="1" thickBot="1" x14ac:dyDescent="0.35">
      <c r="A70" s="63"/>
      <c r="B70" s="66"/>
      <c r="C70" s="53">
        <v>7</v>
      </c>
      <c r="D70" s="45">
        <v>479.92999999999978</v>
      </c>
      <c r="E70" s="45"/>
      <c r="F70" s="45"/>
      <c r="G70" s="45"/>
      <c r="H70" s="45"/>
      <c r="I70" s="45"/>
      <c r="J70" s="51"/>
      <c r="K70" s="53">
        <v>7</v>
      </c>
      <c r="L70" s="45">
        <v>481.82999999999981</v>
      </c>
      <c r="M70" s="45"/>
      <c r="N70" s="45"/>
      <c r="O70" s="45"/>
      <c r="P70" s="45"/>
      <c r="Q70" s="45"/>
      <c r="R70" s="51"/>
      <c r="S70" s="53">
        <v>7</v>
      </c>
      <c r="T70" s="45">
        <v>484.48999999999978</v>
      </c>
      <c r="U70" s="45"/>
      <c r="V70" s="45"/>
      <c r="W70" s="45"/>
      <c r="X70" s="45"/>
      <c r="Y70" s="45"/>
      <c r="Z70" s="51"/>
      <c r="AA70" s="53">
        <v>7</v>
      </c>
      <c r="AB70" s="45">
        <v>482.05999999999977</v>
      </c>
      <c r="AC70" s="45"/>
      <c r="AD70" s="45"/>
      <c r="AE70" s="45"/>
      <c r="AF70" s="45"/>
      <c r="AG70" s="45"/>
      <c r="AH70" s="51"/>
      <c r="AI70" s="53">
        <v>7</v>
      </c>
      <c r="AJ70" s="45">
        <v>482.84999999999991</v>
      </c>
      <c r="AK70" s="45"/>
      <c r="AL70" s="45"/>
      <c r="AM70" s="45"/>
      <c r="AN70" s="45"/>
      <c r="AO70" s="45"/>
      <c r="AP70" s="51"/>
    </row>
    <row r="71" spans="1:42" ht="21" customHeight="1" thickTop="1" thickBot="1" x14ac:dyDescent="0.35">
      <c r="A71" s="63"/>
      <c r="B71" s="66"/>
      <c r="C71" s="53">
        <v>8</v>
      </c>
      <c r="D71" s="45">
        <v>482.48999999999978</v>
      </c>
      <c r="E71" s="45"/>
      <c r="F71" s="45"/>
      <c r="G71" s="45"/>
      <c r="H71" s="45"/>
      <c r="I71" s="45"/>
      <c r="J71" s="51"/>
      <c r="K71" s="53">
        <v>8</v>
      </c>
      <c r="L71" s="45">
        <v>481.93999999999983</v>
      </c>
      <c r="M71" s="45"/>
      <c r="N71" s="45"/>
      <c r="O71" s="45"/>
      <c r="P71" s="45"/>
      <c r="Q71" s="45"/>
      <c r="R71" s="51"/>
      <c r="S71" s="53">
        <v>8</v>
      </c>
      <c r="T71" s="45">
        <v>482.48999999999978</v>
      </c>
      <c r="U71" s="45"/>
      <c r="V71" s="45"/>
      <c r="W71" s="45"/>
      <c r="X71" s="45"/>
      <c r="Y71" s="45"/>
      <c r="Z71" s="51"/>
      <c r="AA71" s="53">
        <v>8</v>
      </c>
      <c r="AB71" s="45">
        <v>483.3499999999998</v>
      </c>
      <c r="AC71" s="45"/>
      <c r="AD71" s="45"/>
      <c r="AE71" s="45"/>
      <c r="AF71" s="45"/>
      <c r="AG71" s="45"/>
      <c r="AH71" s="51"/>
      <c r="AI71" s="53">
        <v>8</v>
      </c>
      <c r="AJ71" s="45">
        <v>482.96999999999991</v>
      </c>
      <c r="AK71" s="45"/>
      <c r="AL71" s="45"/>
      <c r="AM71" s="45"/>
      <c r="AN71" s="45"/>
      <c r="AO71" s="45"/>
      <c r="AP71" s="51"/>
    </row>
    <row r="72" spans="1:42" ht="21" customHeight="1" thickTop="1" thickBot="1" x14ac:dyDescent="0.35">
      <c r="A72" s="63"/>
      <c r="B72" s="66"/>
      <c r="C72" s="53">
        <v>9</v>
      </c>
      <c r="D72" s="45">
        <v>482.15999999999991</v>
      </c>
      <c r="E72" s="45"/>
      <c r="F72" s="45"/>
      <c r="G72" s="45"/>
      <c r="H72" s="45"/>
      <c r="I72" s="45"/>
      <c r="J72" s="51"/>
      <c r="K72" s="53">
        <v>9</v>
      </c>
      <c r="L72" s="45">
        <v>482.62999999999982</v>
      </c>
      <c r="M72" s="45"/>
      <c r="N72" s="45"/>
      <c r="O72" s="45"/>
      <c r="P72" s="45"/>
      <c r="Q72" s="45"/>
      <c r="R72" s="51"/>
      <c r="S72" s="53">
        <v>9</v>
      </c>
      <c r="T72" s="45">
        <v>481.73999999999978</v>
      </c>
      <c r="U72" s="45"/>
      <c r="V72" s="45"/>
      <c r="W72" s="45"/>
      <c r="X72" s="45"/>
      <c r="Y72" s="45"/>
      <c r="Z72" s="51"/>
      <c r="AA72" s="53">
        <v>9</v>
      </c>
      <c r="AB72" s="45">
        <v>481.52999999999992</v>
      </c>
      <c r="AC72" s="45"/>
      <c r="AD72" s="45"/>
      <c r="AE72" s="45"/>
      <c r="AF72" s="45"/>
      <c r="AG72" s="45"/>
      <c r="AH72" s="51"/>
      <c r="AI72" s="53">
        <v>9</v>
      </c>
      <c r="AJ72" s="45">
        <v>482.41999999999979</v>
      </c>
      <c r="AK72" s="45"/>
      <c r="AL72" s="45"/>
      <c r="AM72" s="45"/>
      <c r="AN72" s="45"/>
      <c r="AO72" s="45"/>
      <c r="AP72" s="51"/>
    </row>
    <row r="73" spans="1:42" ht="21" customHeight="1" thickTop="1" thickBot="1" x14ac:dyDescent="0.35">
      <c r="A73" s="63"/>
      <c r="B73" s="66"/>
      <c r="C73" s="53">
        <v>10</v>
      </c>
      <c r="D73" s="45">
        <v>481.66999999999979</v>
      </c>
      <c r="E73" s="45"/>
      <c r="F73" s="45"/>
      <c r="G73" s="45"/>
      <c r="H73" s="45"/>
      <c r="I73" s="45"/>
      <c r="J73" s="51"/>
      <c r="K73" s="53">
        <v>10</v>
      </c>
      <c r="L73" s="45">
        <v>482.41999999999979</v>
      </c>
      <c r="M73" s="45"/>
      <c r="N73" s="45"/>
      <c r="O73" s="45"/>
      <c r="P73" s="45"/>
      <c r="Q73" s="45"/>
      <c r="R73" s="51"/>
      <c r="S73" s="53">
        <v>10</v>
      </c>
      <c r="T73" s="45">
        <v>486.29999999999978</v>
      </c>
      <c r="U73" s="45"/>
      <c r="V73" s="45"/>
      <c r="W73" s="45"/>
      <c r="X73" s="45"/>
      <c r="Y73" s="45"/>
      <c r="Z73" s="51"/>
      <c r="AA73" s="53">
        <v>10</v>
      </c>
      <c r="AB73" s="45">
        <v>480.73999999999978</v>
      </c>
      <c r="AC73" s="45"/>
      <c r="AD73" s="45"/>
      <c r="AE73" s="45"/>
      <c r="AF73" s="45"/>
      <c r="AG73" s="45"/>
      <c r="AH73" s="51"/>
      <c r="AI73" s="53">
        <v>10</v>
      </c>
      <c r="AJ73" s="45">
        <v>482.69999999999982</v>
      </c>
      <c r="AK73" s="45"/>
      <c r="AL73" s="45"/>
      <c r="AM73" s="45"/>
      <c r="AN73" s="45"/>
      <c r="AO73" s="45"/>
      <c r="AP73" s="51"/>
    </row>
    <row r="74" spans="1:42" ht="21" customHeight="1" thickTop="1" thickBot="1" x14ac:dyDescent="0.35">
      <c r="A74" s="63"/>
      <c r="B74" s="66"/>
      <c r="C74" s="53"/>
      <c r="D74" s="45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66"/>
      <c r="C75" s="54" t="s">
        <v>16</v>
      </c>
      <c r="D75" s="49">
        <f>MIN(D64:D73)</f>
        <v>479.92999999999978</v>
      </c>
      <c r="E75" s="45"/>
      <c r="F75" s="55" t="s">
        <v>17</v>
      </c>
      <c r="G75" s="49" t="s">
        <v>18</v>
      </c>
      <c r="H75" s="49" t="s">
        <v>19</v>
      </c>
      <c r="I75" s="45"/>
      <c r="J75" s="51"/>
      <c r="K75" s="54" t="s">
        <v>16</v>
      </c>
      <c r="L75" s="49">
        <f>MIN(L64:L73)</f>
        <v>481.44999999999982</v>
      </c>
      <c r="M75" s="45"/>
      <c r="N75" s="55" t="s">
        <v>17</v>
      </c>
      <c r="O75" s="49" t="s">
        <v>18</v>
      </c>
      <c r="P75" s="49" t="s">
        <v>19</v>
      </c>
      <c r="Q75" s="45"/>
      <c r="R75" s="51"/>
      <c r="S75" s="54" t="s">
        <v>16</v>
      </c>
      <c r="T75" s="49">
        <f>MIN(T64:T73)</f>
        <v>481.55999999999977</v>
      </c>
      <c r="U75" s="45"/>
      <c r="V75" s="55" t="s">
        <v>17</v>
      </c>
      <c r="W75" s="49" t="s">
        <v>18</v>
      </c>
      <c r="X75" s="49" t="s">
        <v>19</v>
      </c>
      <c r="Y75" s="45"/>
      <c r="Z75" s="51"/>
      <c r="AA75" s="54" t="s">
        <v>16</v>
      </c>
      <c r="AB75" s="49">
        <f>MIN(AB64:AB73)</f>
        <v>480.73999999999978</v>
      </c>
      <c r="AC75" s="45"/>
      <c r="AD75" s="55" t="s">
        <v>17</v>
      </c>
      <c r="AE75" s="49" t="s">
        <v>18</v>
      </c>
      <c r="AF75" s="49" t="s">
        <v>19</v>
      </c>
      <c r="AG75" s="45"/>
      <c r="AH75" s="51"/>
      <c r="AI75" s="54" t="s">
        <v>16</v>
      </c>
      <c r="AJ75" s="49">
        <f>MIN(AJ64:AJ73)</f>
        <v>481.60999999999979</v>
      </c>
      <c r="AK75" s="45"/>
      <c r="AL75" s="55" t="s">
        <v>17</v>
      </c>
      <c r="AM75" s="49" t="s">
        <v>18</v>
      </c>
      <c r="AN75" s="49" t="s">
        <v>19</v>
      </c>
      <c r="AO75" s="45"/>
      <c r="AP75" s="51"/>
    </row>
    <row r="76" spans="1:42" ht="21" customHeight="1" thickTop="1" thickBot="1" x14ac:dyDescent="0.35">
      <c r="A76" s="63"/>
      <c r="B76" s="66"/>
      <c r="C76" s="54" t="s">
        <v>20</v>
      </c>
      <c r="D76" s="48">
        <f>AVERAGE(D64:D73)</f>
        <v>481.68499999999983</v>
      </c>
      <c r="E76" s="47"/>
      <c r="F76" s="48">
        <f>_xlfn.STDEV.S(D64:D73) / AVERAGE(D64:D73) * 100%</f>
        <v>1.5461623234201815E-3</v>
      </c>
      <c r="G76" s="48">
        <f t="array" ref="G76">MIN((D64:D73 - MIN(D64:D73,L64:L73,T64:T73,AB64:AB73,AJ64:AJ73))/MIN(D64:D73,L64:L73,T64:T73,AB64:AB73,AJ64:AJ73)*100%)</f>
        <v>0</v>
      </c>
      <c r="H76" s="48">
        <f t="array" ref="H76">AVERAGE((D64:D73 - MIN(D64:D73,L64:L73,T64:T73,AB64:AB73,AJ64:AJ73))/MIN(D64:D73,L64:L73,T64:T73,AB64:AB73,AJ64:AJ73)*100%)</f>
        <v>3.6567832808951811E-3</v>
      </c>
      <c r="I76" s="45"/>
      <c r="J76" s="51"/>
      <c r="K76" s="54" t="s">
        <v>20</v>
      </c>
      <c r="L76" s="48">
        <f>AVERAGE(L64:L73)</f>
        <v>482.42399999999986</v>
      </c>
      <c r="M76" s="47"/>
      <c r="N76" s="48">
        <f>_xlfn.STDEV.S(L64:L73) / AVERAGE(L64:L73) * 100%</f>
        <v>1.1721091893415788E-3</v>
      </c>
      <c r="O76" s="48">
        <f t="array" ref="O76">MIN((L64:L73 - MIN(D64:D73,L64:L73,T64:T73,AB64:AB73,AJ64:AJ73))/MIN(D64:D73,L64:L73,T64:T73,AB64:AB73,AJ64:AJ73)*100%)</f>
        <v>3.1671285395787705E-3</v>
      </c>
      <c r="P76" s="48">
        <f t="array" ref="P76">AVERAGE((L64:L73 - MIN(D64:D73,L64:L73,T64:T73,AB64:AB73,AJ64:AJ73))/MIN(D64:D73,L64:L73,T64:T73,AB64:AB73,AJ64:AJ73)*100%)</f>
        <v>5.1965911695456193E-3</v>
      </c>
      <c r="Q76" s="44"/>
      <c r="R76" s="51"/>
      <c r="S76" s="54" t="s">
        <v>20</v>
      </c>
      <c r="T76" s="48">
        <f>AVERAGE(T64:T73)</f>
        <v>483.77299999999985</v>
      </c>
      <c r="U76" s="47"/>
      <c r="V76" s="48">
        <f>_xlfn.STDEV.S(T64:T73) / AVERAGE(T64:T73) * 100%</f>
        <v>3.8730144454921685E-3</v>
      </c>
      <c r="W76" s="48">
        <f t="array" ref="W76">MIN((T64:T73 - MIN(D64:D73,L64:L73,T64:T73,AB64:AB73,AJ64:AJ73))/MIN(D64:D73,L64:L73,T64:T73,AB64:AB73,AJ64:AJ73)*100%)</f>
        <v>3.3963286312587173E-3</v>
      </c>
      <c r="X76" s="48">
        <f t="array" ref="X76">AVERAGE((T64:T73 - MIN(D64:D73,L64:L73,T64:T73,AB64:AB73,AJ64:AJ73))/MIN(D64:D73,L64:L73,T64:T73,AB64:AB73,AJ64:AJ73)*100%)</f>
        <v>8.007417748421685E-3</v>
      </c>
      <c r="Y76" s="44"/>
      <c r="Z76" s="51"/>
      <c r="AA76" s="54" t="s">
        <v>20</v>
      </c>
      <c r="AB76" s="48">
        <f>AVERAGE(AB64:AB73)</f>
        <v>482.15999999999985</v>
      </c>
      <c r="AC76" s="47"/>
      <c r="AD76" s="48">
        <f>_xlfn.STDEV.S(AB64:AB73) / AVERAGE(AB64:AB73) * 100%</f>
        <v>1.8533152671109257E-3</v>
      </c>
      <c r="AE76" s="48">
        <f t="array" ref="AE76">MIN((AB64:AB73 - MIN(D64:D73,L64:L73,T64:T73,AB64:AB73,AJ64:AJ73))/MIN(D64:D73,L64:L73,T64:T73,AB64:AB73,AJ64:AJ73)*100%)</f>
        <v>1.6877461296439119E-3</v>
      </c>
      <c r="AF76" s="48">
        <f t="array" ref="AF76">AVERAGE((AB64:AB73 - MIN(D64:D73,L64:L73,T64:T73,AB64:AB73,AJ64:AJ73))/MIN(D64:D73,L64:L73,T64:T73,AB64:AB73,AJ64:AJ73)*100%)</f>
        <v>4.6465109495135567E-3</v>
      </c>
      <c r="AG76" s="44"/>
      <c r="AH76" s="51"/>
      <c r="AI76" s="54" t="s">
        <v>20</v>
      </c>
      <c r="AJ76" s="48">
        <f>AVERAGE(AJ64:AJ73)</f>
        <v>482.33699999999982</v>
      </c>
      <c r="AK76" s="47"/>
      <c r="AL76" s="48">
        <f>_xlfn.STDEV.S(AJ64:AJ73) / AVERAGE(AJ64:AJ73) * 100%</f>
        <v>1.0011859118057203E-3</v>
      </c>
      <c r="AM76" s="48">
        <f t="array" ref="AM76">MIN((AJ64:AJ73 - MIN(D64:D73,L64:L73,T64:T73,AB64:AB73,AJ64:AJ73))/MIN(D64:D73,L64:L73,T64:T73,AB64:AB73,AJ64:AJ73)*100%)</f>
        <v>3.5005104911133033E-3</v>
      </c>
      <c r="AN76" s="48">
        <f t="array" ref="AN76">AVERAGE((AJ64:AJ73 - MIN(D64:D73,L64:L73,T64:T73,AB64:AB73,AJ64:AJ73))/MIN(D64:D73,L64:L73,T64:T73,AB64:AB73,AJ64:AJ73)*100%)</f>
        <v>5.0153147333987748E-3</v>
      </c>
      <c r="AO76" s="44"/>
      <c r="AP76" s="51"/>
    </row>
    <row r="77" spans="1:42" ht="21" customHeight="1" thickTop="1" thickBot="1" x14ac:dyDescent="0.35">
      <c r="A77" s="63"/>
      <c r="B77" s="67"/>
      <c r="C77" s="53"/>
      <c r="D77" s="44"/>
      <c r="E77" s="44"/>
      <c r="F77" s="44"/>
      <c r="G77" s="44"/>
      <c r="H77" s="44"/>
      <c r="I77" s="44"/>
      <c r="J77" s="51"/>
      <c r="K77" s="53"/>
      <c r="L77" s="44"/>
      <c r="M77" s="44"/>
      <c r="N77" s="44"/>
      <c r="O77" s="44"/>
      <c r="P77" s="44"/>
      <c r="Q77" s="44"/>
      <c r="R77" s="51"/>
      <c r="S77" s="53"/>
      <c r="T77" s="44"/>
      <c r="U77" s="44"/>
      <c r="V77" s="44"/>
      <c r="W77" s="44"/>
      <c r="X77" s="44"/>
      <c r="Y77" s="44"/>
      <c r="Z77" s="51"/>
      <c r="AA77" s="53"/>
      <c r="AB77" s="44"/>
      <c r="AC77" s="44"/>
      <c r="AD77" s="44"/>
      <c r="AE77" s="44"/>
      <c r="AF77" s="44"/>
      <c r="AG77" s="44"/>
      <c r="AH77" s="51"/>
      <c r="AI77" s="53"/>
      <c r="AJ77" s="44"/>
      <c r="AK77" s="44"/>
      <c r="AL77" s="44"/>
      <c r="AM77" s="44"/>
      <c r="AN77" s="44"/>
      <c r="AO77" s="44"/>
      <c r="AP77" s="51"/>
    </row>
    <row r="78" spans="1:42" ht="21" customHeight="1" thickTop="1" thickBot="1" x14ac:dyDescent="0.35">
      <c r="A78" s="63"/>
      <c r="B78" s="65" t="s">
        <v>111</v>
      </c>
      <c r="C78" s="59" t="s">
        <v>8</v>
      </c>
      <c r="D78" s="46" t="s">
        <v>9</v>
      </c>
      <c r="E78" s="46" t="s">
        <v>10</v>
      </c>
      <c r="F78" s="46" t="s">
        <v>11</v>
      </c>
      <c r="G78" s="46" t="s">
        <v>12</v>
      </c>
      <c r="H78" s="46" t="s">
        <v>13</v>
      </c>
      <c r="I78" s="46" t="s">
        <v>14</v>
      </c>
      <c r="J78" s="60" t="s">
        <v>15</v>
      </c>
      <c r="K78" s="59" t="s">
        <v>8</v>
      </c>
      <c r="L78" s="46" t="s">
        <v>9</v>
      </c>
      <c r="M78" s="46" t="s">
        <v>10</v>
      </c>
      <c r="N78" s="46" t="s">
        <v>11</v>
      </c>
      <c r="O78" s="46" t="s">
        <v>12</v>
      </c>
      <c r="P78" s="46" t="s">
        <v>13</v>
      </c>
      <c r="Q78" s="46" t="s">
        <v>14</v>
      </c>
      <c r="R78" s="60" t="s">
        <v>15</v>
      </c>
      <c r="S78" s="59" t="s">
        <v>8</v>
      </c>
      <c r="T78" s="46" t="s">
        <v>9</v>
      </c>
      <c r="U78" s="46" t="s">
        <v>10</v>
      </c>
      <c r="V78" s="46" t="s">
        <v>11</v>
      </c>
      <c r="W78" s="46" t="s">
        <v>12</v>
      </c>
      <c r="X78" s="46" t="s">
        <v>13</v>
      </c>
      <c r="Y78" s="46" t="s">
        <v>14</v>
      </c>
      <c r="Z78" s="60" t="s">
        <v>15</v>
      </c>
      <c r="AA78" s="59" t="s">
        <v>8</v>
      </c>
      <c r="AB78" s="46" t="s">
        <v>9</v>
      </c>
      <c r="AC78" s="46" t="s">
        <v>10</v>
      </c>
      <c r="AD78" s="46" t="s">
        <v>11</v>
      </c>
      <c r="AE78" s="46" t="s">
        <v>12</v>
      </c>
      <c r="AF78" s="46" t="s">
        <v>13</v>
      </c>
      <c r="AG78" s="46" t="s">
        <v>14</v>
      </c>
      <c r="AH78" s="60" t="s">
        <v>15</v>
      </c>
      <c r="AI78" s="59" t="s">
        <v>8</v>
      </c>
      <c r="AJ78" s="46" t="s">
        <v>9</v>
      </c>
      <c r="AK78" s="46" t="s">
        <v>10</v>
      </c>
      <c r="AL78" s="46" t="s">
        <v>11</v>
      </c>
      <c r="AM78" s="46" t="s">
        <v>12</v>
      </c>
      <c r="AN78" s="46" t="s">
        <v>13</v>
      </c>
      <c r="AO78" s="46" t="s">
        <v>14</v>
      </c>
      <c r="AP78" s="60" t="s">
        <v>15</v>
      </c>
    </row>
    <row r="79" spans="1:42" ht="21" customHeight="1" thickTop="1" thickBot="1" x14ac:dyDescent="0.35">
      <c r="A79" s="63"/>
      <c r="B79" s="66"/>
      <c r="C79" s="52">
        <v>1</v>
      </c>
      <c r="D79" s="44">
        <v>525.03999999999974</v>
      </c>
      <c r="E79" s="44"/>
      <c r="F79" s="44"/>
      <c r="G79" s="44"/>
      <c r="H79" s="44"/>
      <c r="I79" s="44"/>
      <c r="J79" s="51"/>
      <c r="K79" s="52">
        <v>1</v>
      </c>
      <c r="L79" s="44">
        <v>525.86999999999978</v>
      </c>
      <c r="M79" s="44"/>
      <c r="N79" s="44"/>
      <c r="O79" s="44"/>
      <c r="P79" s="44"/>
      <c r="Q79" s="44"/>
      <c r="R79" s="51"/>
      <c r="S79" s="52">
        <v>1</v>
      </c>
      <c r="T79" s="44">
        <v>526.90999999999985</v>
      </c>
      <c r="U79" s="44"/>
      <c r="V79" s="44"/>
      <c r="W79" s="44"/>
      <c r="X79" s="44"/>
      <c r="Y79" s="44"/>
      <c r="Z79" s="51"/>
      <c r="AA79" s="52">
        <v>1</v>
      </c>
      <c r="AB79" s="44">
        <v>524.79999999999973</v>
      </c>
      <c r="AC79" s="44"/>
      <c r="AD79" s="44"/>
      <c r="AE79" s="44"/>
      <c r="AF79" s="44"/>
      <c r="AG79" s="44"/>
      <c r="AH79" s="51"/>
      <c r="AI79" s="52">
        <v>1</v>
      </c>
      <c r="AJ79" s="44">
        <v>524.81999999999994</v>
      </c>
      <c r="AK79" s="44"/>
      <c r="AL79" s="44"/>
      <c r="AM79" s="44"/>
      <c r="AN79" s="44"/>
      <c r="AO79" s="44"/>
      <c r="AP79" s="51"/>
    </row>
    <row r="80" spans="1:42" ht="21" customHeight="1" thickTop="1" thickBot="1" x14ac:dyDescent="0.35">
      <c r="A80" s="63"/>
      <c r="B80" s="66"/>
      <c r="C80" s="53">
        <v>2</v>
      </c>
      <c r="D80" s="45">
        <v>525.43999999999983</v>
      </c>
      <c r="E80" s="45"/>
      <c r="F80" s="45"/>
      <c r="G80" s="45"/>
      <c r="H80" s="45"/>
      <c r="I80" s="45"/>
      <c r="J80" s="51"/>
      <c r="K80" s="53">
        <v>2</v>
      </c>
      <c r="L80" s="45">
        <v>524.90999999999974</v>
      </c>
      <c r="M80" s="45"/>
      <c r="N80" s="45"/>
      <c r="O80" s="45"/>
      <c r="P80" s="45"/>
      <c r="Q80" s="45"/>
      <c r="R80" s="51"/>
      <c r="S80" s="53">
        <v>2</v>
      </c>
      <c r="T80" s="45">
        <v>526.27999999999975</v>
      </c>
      <c r="U80" s="45"/>
      <c r="V80" s="45"/>
      <c r="W80" s="45"/>
      <c r="X80" s="45"/>
      <c r="Y80" s="45"/>
      <c r="Z80" s="51"/>
      <c r="AA80" s="53">
        <v>2</v>
      </c>
      <c r="AB80" s="45">
        <v>524.19999999999982</v>
      </c>
      <c r="AC80" s="45"/>
      <c r="AD80" s="45"/>
      <c r="AE80" s="45"/>
      <c r="AF80" s="45"/>
      <c r="AG80" s="45"/>
      <c r="AH80" s="51"/>
      <c r="AI80" s="53">
        <v>2</v>
      </c>
      <c r="AJ80" s="45">
        <v>525.12999999999988</v>
      </c>
      <c r="AK80" s="45"/>
      <c r="AL80" s="45"/>
      <c r="AM80" s="45"/>
      <c r="AN80" s="45"/>
      <c r="AO80" s="45"/>
      <c r="AP80" s="51"/>
    </row>
    <row r="81" spans="1:42" ht="21" customHeight="1" thickTop="1" thickBot="1" x14ac:dyDescent="0.35">
      <c r="A81" s="63"/>
      <c r="B81" s="66"/>
      <c r="C81" s="53">
        <v>3</v>
      </c>
      <c r="D81" s="45">
        <v>526.02999999999975</v>
      </c>
      <c r="E81" s="45"/>
      <c r="F81" s="45"/>
      <c r="G81" s="44"/>
      <c r="H81" s="44"/>
      <c r="I81" s="44"/>
      <c r="J81" s="51"/>
      <c r="K81" s="53">
        <v>3</v>
      </c>
      <c r="L81" s="45">
        <v>525.90999999999974</v>
      </c>
      <c r="M81" s="45"/>
      <c r="N81" s="45"/>
      <c r="O81" s="44"/>
      <c r="P81" s="44"/>
      <c r="Q81" s="44"/>
      <c r="R81" s="51"/>
      <c r="S81" s="53">
        <v>3</v>
      </c>
      <c r="T81" s="45">
        <v>526.19999999999982</v>
      </c>
      <c r="U81" s="45"/>
      <c r="V81" s="45"/>
      <c r="W81" s="44"/>
      <c r="X81" s="44"/>
      <c r="Y81" s="44"/>
      <c r="Z81" s="51"/>
      <c r="AA81" s="53">
        <v>3</v>
      </c>
      <c r="AB81" s="45">
        <v>524.15999999999974</v>
      </c>
      <c r="AC81" s="45"/>
      <c r="AD81" s="45"/>
      <c r="AE81" s="44"/>
      <c r="AF81" s="44"/>
      <c r="AG81" s="44"/>
      <c r="AH81" s="51"/>
      <c r="AI81" s="53">
        <v>3</v>
      </c>
      <c r="AJ81" s="45">
        <v>525.29</v>
      </c>
      <c r="AK81" s="45"/>
      <c r="AL81" s="45"/>
      <c r="AM81" s="44"/>
      <c r="AN81" s="44"/>
      <c r="AO81" s="44"/>
      <c r="AP81" s="51"/>
    </row>
    <row r="82" spans="1:42" ht="21" customHeight="1" thickTop="1" thickBot="1" x14ac:dyDescent="0.35">
      <c r="A82" s="63"/>
      <c r="B82" s="66"/>
      <c r="C82" s="53">
        <v>4</v>
      </c>
      <c r="D82" s="45">
        <v>523.91999999999985</v>
      </c>
      <c r="E82" s="45"/>
      <c r="F82" s="45"/>
      <c r="G82" s="45"/>
      <c r="H82" s="45"/>
      <c r="I82" s="45"/>
      <c r="J82" s="51"/>
      <c r="K82" s="53">
        <v>4</v>
      </c>
      <c r="L82" s="45">
        <v>526.90999999999974</v>
      </c>
      <c r="M82" s="45"/>
      <c r="N82" s="45"/>
      <c r="O82" s="45"/>
      <c r="P82" s="45"/>
      <c r="Q82" s="45"/>
      <c r="R82" s="51"/>
      <c r="S82" s="53">
        <v>4</v>
      </c>
      <c r="T82" s="45">
        <v>525.20999999999981</v>
      </c>
      <c r="U82" s="45"/>
      <c r="V82" s="45"/>
      <c r="W82" s="45"/>
      <c r="X82" s="45"/>
      <c r="Y82" s="45"/>
      <c r="Z82" s="51"/>
      <c r="AA82" s="53">
        <v>4</v>
      </c>
      <c r="AB82" s="45">
        <v>524.64999999999975</v>
      </c>
      <c r="AC82" s="45"/>
      <c r="AD82" s="45"/>
      <c r="AE82" s="45"/>
      <c r="AF82" s="45"/>
      <c r="AG82" s="45"/>
      <c r="AH82" s="51"/>
      <c r="AI82" s="53">
        <v>4</v>
      </c>
      <c r="AJ82" s="45">
        <v>524.78999999999985</v>
      </c>
      <c r="AK82" s="45"/>
      <c r="AL82" s="45"/>
      <c r="AM82" s="45"/>
      <c r="AN82" s="45"/>
      <c r="AO82" s="45"/>
      <c r="AP82" s="51"/>
    </row>
    <row r="83" spans="1:42" ht="21" customHeight="1" thickTop="1" thickBot="1" x14ac:dyDescent="0.35">
      <c r="A83" s="63"/>
      <c r="B83" s="66"/>
      <c r="C83" s="53">
        <v>5</v>
      </c>
      <c r="D83" s="45">
        <v>525.29999999999973</v>
      </c>
      <c r="E83" s="45"/>
      <c r="F83" s="45"/>
      <c r="G83" s="45"/>
      <c r="H83" s="45"/>
      <c r="I83" s="45"/>
      <c r="J83" s="51"/>
      <c r="K83" s="53">
        <v>5</v>
      </c>
      <c r="L83" s="45">
        <v>525.13999999999987</v>
      </c>
      <c r="M83" s="45"/>
      <c r="N83" s="45"/>
      <c r="O83" s="45"/>
      <c r="P83" s="45"/>
      <c r="Q83" s="45"/>
      <c r="R83" s="51"/>
      <c r="S83" s="53">
        <v>5</v>
      </c>
      <c r="T83" s="45">
        <v>528.08999999999969</v>
      </c>
      <c r="U83" s="45"/>
      <c r="V83" s="45"/>
      <c r="W83" s="45"/>
      <c r="X83" s="45"/>
      <c r="Y83" s="45"/>
      <c r="Z83" s="51"/>
      <c r="AA83" s="53">
        <v>5</v>
      </c>
      <c r="AB83" s="45">
        <v>526.69999999999982</v>
      </c>
      <c r="AC83" s="45"/>
      <c r="AD83" s="45"/>
      <c r="AE83" s="45"/>
      <c r="AF83" s="45"/>
      <c r="AG83" s="45"/>
      <c r="AH83" s="51"/>
      <c r="AI83" s="53">
        <v>5</v>
      </c>
      <c r="AJ83" s="45">
        <v>524.78999999999985</v>
      </c>
      <c r="AK83" s="45"/>
      <c r="AL83" s="45"/>
      <c r="AM83" s="45"/>
      <c r="AN83" s="45"/>
      <c r="AO83" s="45"/>
      <c r="AP83" s="51"/>
    </row>
    <row r="84" spans="1:42" ht="21" customHeight="1" thickTop="1" thickBot="1" x14ac:dyDescent="0.35">
      <c r="A84" s="63"/>
      <c r="B84" s="66"/>
      <c r="C84" s="53">
        <v>6</v>
      </c>
      <c r="D84" s="45">
        <v>525.63999999999976</v>
      </c>
      <c r="E84" s="45"/>
      <c r="F84" s="45"/>
      <c r="G84" s="45"/>
      <c r="H84" s="45"/>
      <c r="I84" s="45"/>
      <c r="J84" s="51"/>
      <c r="K84" s="53">
        <v>6</v>
      </c>
      <c r="L84" s="45">
        <v>525.44999999999982</v>
      </c>
      <c r="M84" s="45"/>
      <c r="N84" s="45"/>
      <c r="O84" s="45"/>
      <c r="P84" s="45"/>
      <c r="Q84" s="45"/>
      <c r="R84" s="51"/>
      <c r="S84" s="53">
        <v>6</v>
      </c>
      <c r="T84" s="45">
        <v>527.91999999999973</v>
      </c>
      <c r="U84" s="45"/>
      <c r="V84" s="45"/>
      <c r="W84" s="45"/>
      <c r="X84" s="45"/>
      <c r="Y84" s="45"/>
      <c r="Z84" s="51"/>
      <c r="AA84" s="53">
        <v>6</v>
      </c>
      <c r="AB84" s="45">
        <v>525.37999999999977</v>
      </c>
      <c r="AC84" s="45"/>
      <c r="AD84" s="45"/>
      <c r="AE84" s="45"/>
      <c r="AF84" s="45"/>
      <c r="AG84" s="45"/>
      <c r="AH84" s="51"/>
      <c r="AI84" s="53">
        <v>6</v>
      </c>
      <c r="AJ84" s="45">
        <v>524.76999999999987</v>
      </c>
      <c r="AK84" s="45"/>
      <c r="AL84" s="45"/>
      <c r="AM84" s="45"/>
      <c r="AN84" s="45"/>
      <c r="AO84" s="45"/>
      <c r="AP84" s="51"/>
    </row>
    <row r="85" spans="1:42" ht="21" customHeight="1" thickTop="1" thickBot="1" x14ac:dyDescent="0.35">
      <c r="A85" s="63"/>
      <c r="B85" s="66"/>
      <c r="C85" s="53">
        <v>7</v>
      </c>
      <c r="D85" s="45">
        <v>525.60999999999979</v>
      </c>
      <c r="E85" s="45"/>
      <c r="F85" s="45"/>
      <c r="G85" s="45"/>
      <c r="H85" s="45"/>
      <c r="I85" s="45"/>
      <c r="J85" s="51"/>
      <c r="K85" s="53">
        <v>7</v>
      </c>
      <c r="L85" s="45">
        <v>526.15999999999974</v>
      </c>
      <c r="M85" s="45"/>
      <c r="N85" s="45"/>
      <c r="O85" s="45"/>
      <c r="P85" s="45"/>
      <c r="Q85" s="45"/>
      <c r="R85" s="51"/>
      <c r="S85" s="53">
        <v>7</v>
      </c>
      <c r="T85" s="45">
        <v>526.3599999999999</v>
      </c>
      <c r="U85" s="45"/>
      <c r="V85" s="45"/>
      <c r="W85" s="45"/>
      <c r="X85" s="45"/>
      <c r="Y85" s="45"/>
      <c r="Z85" s="51"/>
      <c r="AA85" s="53">
        <v>7</v>
      </c>
      <c r="AB85" s="45">
        <v>525.60999999999979</v>
      </c>
      <c r="AC85" s="45"/>
      <c r="AD85" s="45"/>
      <c r="AE85" s="45"/>
      <c r="AF85" s="45"/>
      <c r="AG85" s="45"/>
      <c r="AH85" s="51"/>
      <c r="AI85" s="53">
        <v>7</v>
      </c>
      <c r="AJ85" s="45">
        <v>524.78999999999985</v>
      </c>
      <c r="AK85" s="45"/>
      <c r="AL85" s="45"/>
      <c r="AM85" s="45"/>
      <c r="AN85" s="45"/>
      <c r="AO85" s="45"/>
      <c r="AP85" s="51"/>
    </row>
    <row r="86" spans="1:42" ht="21" customHeight="1" thickTop="1" thickBot="1" x14ac:dyDescent="0.35">
      <c r="A86" s="63"/>
      <c r="B86" s="66"/>
      <c r="C86" s="53">
        <v>8</v>
      </c>
      <c r="D86" s="45">
        <v>525.80999999999983</v>
      </c>
      <c r="E86" s="45"/>
      <c r="F86" s="45"/>
      <c r="G86" s="45"/>
      <c r="H86" s="45"/>
      <c r="I86" s="45"/>
      <c r="J86" s="51"/>
      <c r="K86" s="53">
        <v>8</v>
      </c>
      <c r="L86" s="45">
        <v>525.01999999999975</v>
      </c>
      <c r="M86" s="45"/>
      <c r="N86" s="45"/>
      <c r="O86" s="45"/>
      <c r="P86" s="45"/>
      <c r="Q86" s="45"/>
      <c r="R86" s="51"/>
      <c r="S86" s="53">
        <v>8</v>
      </c>
      <c r="T86" s="45">
        <v>525.29999999999973</v>
      </c>
      <c r="U86" s="45"/>
      <c r="V86" s="45"/>
      <c r="W86" s="45"/>
      <c r="X86" s="45"/>
      <c r="Y86" s="45"/>
      <c r="Z86" s="51"/>
      <c r="AA86" s="53">
        <v>8</v>
      </c>
      <c r="AB86" s="45">
        <v>526.18999999999983</v>
      </c>
      <c r="AC86" s="45"/>
      <c r="AD86" s="45"/>
      <c r="AE86" s="45"/>
      <c r="AF86" s="45"/>
      <c r="AG86" s="45"/>
      <c r="AH86" s="51"/>
      <c r="AI86" s="53">
        <v>8</v>
      </c>
      <c r="AJ86" s="45">
        <v>525.43999999999994</v>
      </c>
      <c r="AK86" s="45"/>
      <c r="AL86" s="45"/>
      <c r="AM86" s="45"/>
      <c r="AN86" s="45"/>
      <c r="AO86" s="45"/>
      <c r="AP86" s="51"/>
    </row>
    <row r="87" spans="1:42" ht="21" customHeight="1" thickTop="1" thickBot="1" x14ac:dyDescent="0.35">
      <c r="A87" s="63"/>
      <c r="B87" s="66"/>
      <c r="C87" s="53">
        <v>9</v>
      </c>
      <c r="D87" s="45">
        <v>524.10999999999979</v>
      </c>
      <c r="E87" s="45"/>
      <c r="F87" s="45"/>
      <c r="G87" s="45"/>
      <c r="H87" s="45"/>
      <c r="I87" s="45"/>
      <c r="J87" s="51"/>
      <c r="K87" s="53">
        <v>9</v>
      </c>
      <c r="L87" s="45">
        <v>526.98999999999978</v>
      </c>
      <c r="M87" s="45"/>
      <c r="N87" s="45"/>
      <c r="O87" s="45"/>
      <c r="P87" s="45"/>
      <c r="Q87" s="45"/>
      <c r="R87" s="51"/>
      <c r="S87" s="53">
        <v>9</v>
      </c>
      <c r="T87" s="45">
        <v>525.17999999999984</v>
      </c>
      <c r="U87" s="45"/>
      <c r="V87" s="45"/>
      <c r="W87" s="45"/>
      <c r="X87" s="45"/>
      <c r="Y87" s="45"/>
      <c r="Z87" s="51"/>
      <c r="AA87" s="53">
        <v>9</v>
      </c>
      <c r="AB87" s="45">
        <v>525.7199999999998</v>
      </c>
      <c r="AC87" s="45"/>
      <c r="AD87" s="45"/>
      <c r="AE87" s="45"/>
      <c r="AF87" s="45"/>
      <c r="AG87" s="45"/>
      <c r="AH87" s="51"/>
      <c r="AI87" s="53">
        <v>9</v>
      </c>
      <c r="AJ87" s="45">
        <v>524.46999999999991</v>
      </c>
      <c r="AK87" s="45"/>
      <c r="AL87" s="45"/>
      <c r="AM87" s="45"/>
      <c r="AN87" s="45"/>
      <c r="AO87" s="45"/>
      <c r="AP87" s="51"/>
    </row>
    <row r="88" spans="1:42" ht="21" customHeight="1" thickTop="1" thickBot="1" x14ac:dyDescent="0.35">
      <c r="A88" s="63"/>
      <c r="B88" s="66"/>
      <c r="C88" s="53">
        <v>10</v>
      </c>
      <c r="D88" s="45">
        <v>525.40999999999974</v>
      </c>
      <c r="E88" s="45"/>
      <c r="F88" s="45"/>
      <c r="G88" s="45"/>
      <c r="H88" s="45"/>
      <c r="I88" s="45"/>
      <c r="J88" s="51"/>
      <c r="K88" s="53">
        <v>10</v>
      </c>
      <c r="L88" s="45">
        <v>525.51999999999975</v>
      </c>
      <c r="M88" s="45"/>
      <c r="N88" s="45"/>
      <c r="O88" s="45"/>
      <c r="P88" s="45"/>
      <c r="Q88" s="45"/>
      <c r="R88" s="51"/>
      <c r="S88" s="53">
        <v>10</v>
      </c>
      <c r="T88" s="45">
        <v>526.90999999999974</v>
      </c>
      <c r="U88" s="45"/>
      <c r="V88" s="45"/>
      <c r="W88" s="45"/>
      <c r="X88" s="45"/>
      <c r="Y88" s="45"/>
      <c r="Z88" s="51"/>
      <c r="AA88" s="53">
        <v>10</v>
      </c>
      <c r="AB88" s="45">
        <v>524.17999999999972</v>
      </c>
      <c r="AC88" s="45"/>
      <c r="AD88" s="45"/>
      <c r="AE88" s="45"/>
      <c r="AF88" s="45"/>
      <c r="AG88" s="45"/>
      <c r="AH88" s="51"/>
      <c r="AI88" s="53">
        <v>10</v>
      </c>
      <c r="AJ88" s="45">
        <v>525.52999999999986</v>
      </c>
      <c r="AK88" s="45"/>
      <c r="AL88" s="45"/>
      <c r="AM88" s="45"/>
      <c r="AN88" s="45"/>
      <c r="AO88" s="45"/>
      <c r="AP88" s="51"/>
    </row>
    <row r="89" spans="1:42" ht="21" customHeight="1" thickTop="1" thickBot="1" x14ac:dyDescent="0.35">
      <c r="A89" s="63"/>
      <c r="B89" s="66"/>
      <c r="C89" s="53"/>
      <c r="D89" s="45"/>
      <c r="E89" s="45"/>
      <c r="F89" s="45"/>
      <c r="G89" s="45"/>
      <c r="H89" s="45"/>
      <c r="I89" s="45"/>
      <c r="J89" s="51"/>
      <c r="K89" s="53"/>
      <c r="L89" s="45"/>
      <c r="M89" s="45"/>
      <c r="N89" s="45"/>
      <c r="O89" s="45"/>
      <c r="P89" s="45"/>
      <c r="Q89" s="45"/>
      <c r="R89" s="51"/>
      <c r="S89" s="53"/>
      <c r="T89" s="45"/>
      <c r="U89" s="45"/>
      <c r="V89" s="45"/>
      <c r="W89" s="45"/>
      <c r="X89" s="45"/>
      <c r="Y89" s="45"/>
      <c r="Z89" s="51"/>
      <c r="AA89" s="53"/>
      <c r="AB89" s="45"/>
      <c r="AC89" s="45"/>
      <c r="AD89" s="45"/>
      <c r="AE89" s="45"/>
      <c r="AF89" s="45"/>
      <c r="AG89" s="45"/>
      <c r="AH89" s="51"/>
      <c r="AI89" s="53"/>
      <c r="AJ89" s="45"/>
      <c r="AK89" s="45"/>
      <c r="AL89" s="45"/>
      <c r="AM89" s="45"/>
      <c r="AN89" s="45"/>
      <c r="AO89" s="45"/>
      <c r="AP89" s="51"/>
    </row>
    <row r="90" spans="1:42" ht="21" customHeight="1" thickTop="1" thickBot="1" x14ac:dyDescent="0.35">
      <c r="A90" s="63"/>
      <c r="B90" s="66"/>
      <c r="C90" s="54" t="s">
        <v>16</v>
      </c>
      <c r="D90" s="49">
        <f>MIN(D79:D88)</f>
        <v>523.91999999999985</v>
      </c>
      <c r="E90" s="45"/>
      <c r="F90" s="55" t="s">
        <v>17</v>
      </c>
      <c r="G90" s="49" t="s">
        <v>18</v>
      </c>
      <c r="H90" s="49" t="s">
        <v>19</v>
      </c>
      <c r="I90" s="45"/>
      <c r="J90" s="51"/>
      <c r="K90" s="54" t="s">
        <v>16</v>
      </c>
      <c r="L90" s="49">
        <f>MIN(L79:L88)</f>
        <v>524.90999999999974</v>
      </c>
      <c r="M90" s="45"/>
      <c r="N90" s="55" t="s">
        <v>17</v>
      </c>
      <c r="O90" s="49" t="s">
        <v>18</v>
      </c>
      <c r="P90" s="49" t="s">
        <v>19</v>
      </c>
      <c r="Q90" s="45"/>
      <c r="R90" s="51"/>
      <c r="S90" s="54" t="s">
        <v>16</v>
      </c>
      <c r="T90" s="49">
        <f>MIN(T79:T88)</f>
        <v>525.17999999999984</v>
      </c>
      <c r="U90" s="45"/>
      <c r="V90" s="55" t="s">
        <v>17</v>
      </c>
      <c r="W90" s="49" t="s">
        <v>18</v>
      </c>
      <c r="X90" s="49" t="s">
        <v>19</v>
      </c>
      <c r="Y90" s="45"/>
      <c r="Z90" s="51"/>
      <c r="AA90" s="54" t="s">
        <v>16</v>
      </c>
      <c r="AB90" s="49">
        <f>MIN(AB79:AB88)</f>
        <v>524.15999999999974</v>
      </c>
      <c r="AC90" s="45"/>
      <c r="AD90" s="55" t="s">
        <v>17</v>
      </c>
      <c r="AE90" s="49" t="s">
        <v>18</v>
      </c>
      <c r="AF90" s="49" t="s">
        <v>19</v>
      </c>
      <c r="AG90" s="45"/>
      <c r="AH90" s="51"/>
      <c r="AI90" s="54" t="s">
        <v>16</v>
      </c>
      <c r="AJ90" s="49">
        <f>MIN(AJ79:AJ88)</f>
        <v>524.46999999999991</v>
      </c>
      <c r="AK90" s="45"/>
      <c r="AL90" s="55" t="s">
        <v>17</v>
      </c>
      <c r="AM90" s="49" t="s">
        <v>18</v>
      </c>
      <c r="AN90" s="49" t="s">
        <v>19</v>
      </c>
      <c r="AO90" s="45"/>
      <c r="AP90" s="51"/>
    </row>
    <row r="91" spans="1:42" ht="21" customHeight="1" thickTop="1" thickBot="1" x14ac:dyDescent="0.35">
      <c r="A91" s="63"/>
      <c r="B91" s="66"/>
      <c r="C91" s="54" t="s">
        <v>20</v>
      </c>
      <c r="D91" s="48">
        <f>AVERAGE(D79:D88)</f>
        <v>525.23099999999977</v>
      </c>
      <c r="E91" s="47"/>
      <c r="F91" s="48">
        <f>_xlfn.STDEV.S(D79:D88) / AVERAGE(D79:D88) * 100%</f>
        <v>1.3277344089019875E-3</v>
      </c>
      <c r="G91" s="48">
        <f t="array" ref="G91">MIN((D79:D88 - MIN(D79:D88,L79:L88,T79:T88,AB79:AB88,AJ79:AJ88))/MIN(D79:D88,L79:L88,T79:T88,AB79:AB88,AJ79:AJ88)*100%)</f>
        <v>0</v>
      </c>
      <c r="H91" s="48">
        <f t="array" ref="H91">AVERAGE((D79:D88 - MIN(D79:D88,L79:L88,T79:T88,AB79:AB88,AJ79:AJ88))/MIN(D79:D88,L79:L88,T79:T88,AB79:AB88,AJ79:AJ88)*100%)</f>
        <v>2.5022904260191131E-3</v>
      </c>
      <c r="I91" s="45"/>
      <c r="J91" s="51"/>
      <c r="K91" s="54" t="s">
        <v>20</v>
      </c>
      <c r="L91" s="48">
        <f>AVERAGE(L79:L88)</f>
        <v>525.78799999999978</v>
      </c>
      <c r="M91" s="47"/>
      <c r="N91" s="48">
        <f>_xlfn.STDEV.S(L79:L88) / AVERAGE(L79:L88) * 100%</f>
        <v>1.3933423096339273E-3</v>
      </c>
      <c r="O91" s="48">
        <f t="array" ref="O91">MIN((L79:L88 - MIN(D79:D88,L79:L88,T79:T88,AB79:AB88,AJ79:AJ88))/MIN(D79:D88,L79:L88,T79:T88,AB79:AB88,AJ79:AJ88)*100%)</f>
        <v>1.8896014658724533E-3</v>
      </c>
      <c r="P91" s="48">
        <f t="array" ref="P91">AVERAGE((L79:L88 - MIN(D79:D88,L79:L88,T79:T88,AB79:AB88,AJ79:AJ88))/MIN(D79:D88,L79:L88,T79:T88,AB79:AB88,AJ79:AJ88)*100%)</f>
        <v>3.5654298366161381E-3</v>
      </c>
      <c r="Q91" s="44"/>
      <c r="R91" s="51"/>
      <c r="S91" s="54" t="s">
        <v>20</v>
      </c>
      <c r="T91" s="48">
        <f>AVERAGE(T79:T88)</f>
        <v>526.43599999999992</v>
      </c>
      <c r="U91" s="47"/>
      <c r="V91" s="48">
        <f>_xlfn.STDEV.S(T79:T88) / AVERAGE(T79:T88) * 100%</f>
        <v>1.9866632644171388E-3</v>
      </c>
      <c r="W91" s="48">
        <f t="array" ref="W91">MIN((T79:T88 - MIN(D79:D88,L79:L88,T79:T88,AB79:AB88,AJ79:AJ88))/MIN(D79:D88,L79:L88,T79:T88,AB79:AB88,AJ79:AJ88)*100%)</f>
        <v>2.4049473202015408E-3</v>
      </c>
      <c r="X91" s="48">
        <f t="array" ref="X91">AVERAGE((T79:T88 - MIN(D79:D88,L79:L88,T79:T88,AB79:AB88,AJ79:AJ88))/MIN(D79:D88,L79:L88,T79:T88,AB79:AB88,AJ79:AJ88)*100%)</f>
        <v>4.8022598870055364E-3</v>
      </c>
      <c r="Y91" s="44"/>
      <c r="Z91" s="51"/>
      <c r="AA91" s="54" t="s">
        <v>20</v>
      </c>
      <c r="AB91" s="48">
        <f>AVERAGE(AB79:AB88)</f>
        <v>525.15899999999976</v>
      </c>
      <c r="AC91" s="47"/>
      <c r="AD91" s="48">
        <f>_xlfn.STDEV.S(AB79:AB88) / AVERAGE(AB79:AB88) * 100%</f>
        <v>1.7112600282612315E-3</v>
      </c>
      <c r="AE91" s="48">
        <f t="array" ref="AE91">MIN((AB79:AB88 - MIN(D79:D88,L79:L88,T79:T88,AB79:AB88,AJ79:AJ88))/MIN(D79:D88,L79:L88,T79:T88,AB79:AB88,AJ79:AJ88)*100%)</f>
        <v>4.5808520384771622E-4</v>
      </c>
      <c r="AF91" s="48">
        <f t="array" ref="AF91">AVERAGE((AB79:AB88 - MIN(D79:D88,L79:L88,T79:T88,AB79:AB88,AJ79:AJ88))/MIN(D79:D88,L79:L88,T79:T88,AB79:AB88,AJ79:AJ88)*100%)</f>
        <v>2.3648648648647332E-3</v>
      </c>
      <c r="AG91" s="44"/>
      <c r="AH91" s="51"/>
      <c r="AI91" s="54" t="s">
        <v>20</v>
      </c>
      <c r="AJ91" s="48">
        <f>AVERAGE(AJ79:AJ88)</f>
        <v>524.98199999999997</v>
      </c>
      <c r="AK91" s="47"/>
      <c r="AL91" s="48">
        <f>_xlfn.STDEV.S(AJ79:AJ88) / AVERAGE(AJ79:AJ88) * 100%</f>
        <v>6.5702274105636812E-4</v>
      </c>
      <c r="AM91" s="48">
        <f t="array" ref="AM91">MIN((AJ79:AJ88 - MIN(D79:D88,L79:L88,T79:T88,AB79:AB88,AJ79:AJ88))/MIN(D79:D88,L79:L88,T79:T88,AB79:AB88,AJ79:AJ88)*100%)</f>
        <v>1.0497785921516039E-3</v>
      </c>
      <c r="AN91" s="48">
        <f t="array" ref="AN91">AVERAGE((AJ79:AJ88 - MIN(D79:D88,L79:L88,T79:T88,AB79:AB88,AJ79:AJ88))/MIN(D79:D88,L79:L88,T79:T88,AB79:AB88,AJ79:AJ88)*100%)</f>
        <v>2.0270270270271152E-3</v>
      </c>
      <c r="AO91" s="44"/>
      <c r="AP91" s="51"/>
    </row>
    <row r="92" spans="1:42" ht="21" customHeight="1" thickTop="1" thickBot="1" x14ac:dyDescent="0.35">
      <c r="A92" s="63"/>
      <c r="B92" s="67"/>
      <c r="C92" s="53"/>
      <c r="D92" s="44"/>
      <c r="E92" s="44"/>
      <c r="F92" s="44"/>
      <c r="G92" s="44"/>
      <c r="H92" s="44"/>
      <c r="I92" s="44"/>
      <c r="J92" s="51"/>
      <c r="K92" s="53"/>
      <c r="L92" s="44"/>
      <c r="M92" s="44"/>
      <c r="N92" s="44"/>
      <c r="O92" s="44"/>
      <c r="P92" s="44"/>
      <c r="Q92" s="44"/>
      <c r="R92" s="51"/>
      <c r="S92" s="53"/>
      <c r="T92" s="44"/>
      <c r="U92" s="44"/>
      <c r="V92" s="44"/>
      <c r="W92" s="44"/>
      <c r="X92" s="44"/>
      <c r="Y92" s="44"/>
      <c r="Z92" s="51"/>
      <c r="AA92" s="53"/>
      <c r="AB92" s="44"/>
      <c r="AC92" s="44"/>
      <c r="AD92" s="44"/>
      <c r="AE92" s="44"/>
      <c r="AF92" s="44"/>
      <c r="AG92" s="44"/>
      <c r="AH92" s="51"/>
      <c r="AI92" s="53"/>
      <c r="AJ92" s="44"/>
      <c r="AK92" s="44"/>
      <c r="AL92" s="44"/>
      <c r="AM92" s="44"/>
      <c r="AN92" s="44"/>
      <c r="AO92" s="44"/>
      <c r="AP92" s="51"/>
    </row>
    <row r="93" spans="1:42" ht="21" customHeight="1" thickTop="1" thickBot="1" x14ac:dyDescent="0.35">
      <c r="A93" s="63"/>
      <c r="B93" s="65" t="s">
        <v>112</v>
      </c>
      <c r="C93" s="59" t="s">
        <v>8</v>
      </c>
      <c r="D93" s="46" t="s">
        <v>9</v>
      </c>
      <c r="E93" s="46" t="s">
        <v>10</v>
      </c>
      <c r="F93" s="46" t="s">
        <v>11</v>
      </c>
      <c r="G93" s="46" t="s">
        <v>12</v>
      </c>
      <c r="H93" s="46" t="s">
        <v>13</v>
      </c>
      <c r="I93" s="46" t="s">
        <v>14</v>
      </c>
      <c r="J93" s="60" t="s">
        <v>15</v>
      </c>
      <c r="K93" s="59" t="s">
        <v>8</v>
      </c>
      <c r="L93" s="46" t="s">
        <v>9</v>
      </c>
      <c r="M93" s="46" t="s">
        <v>10</v>
      </c>
      <c r="N93" s="46" t="s">
        <v>11</v>
      </c>
      <c r="O93" s="46" t="s">
        <v>12</v>
      </c>
      <c r="P93" s="46" t="s">
        <v>13</v>
      </c>
      <c r="Q93" s="46" t="s">
        <v>14</v>
      </c>
      <c r="R93" s="60" t="s">
        <v>15</v>
      </c>
      <c r="S93" s="59" t="s">
        <v>8</v>
      </c>
      <c r="T93" s="46" t="s">
        <v>9</v>
      </c>
      <c r="U93" s="46" t="s">
        <v>10</v>
      </c>
      <c r="V93" s="46" t="s">
        <v>11</v>
      </c>
      <c r="W93" s="46" t="s">
        <v>12</v>
      </c>
      <c r="X93" s="46" t="s">
        <v>13</v>
      </c>
      <c r="Y93" s="46" t="s">
        <v>14</v>
      </c>
      <c r="Z93" s="60" t="s">
        <v>15</v>
      </c>
      <c r="AA93" s="59" t="s">
        <v>8</v>
      </c>
      <c r="AB93" s="46" t="s">
        <v>9</v>
      </c>
      <c r="AC93" s="46" t="s">
        <v>10</v>
      </c>
      <c r="AD93" s="46" t="s">
        <v>11</v>
      </c>
      <c r="AE93" s="46" t="s">
        <v>12</v>
      </c>
      <c r="AF93" s="46" t="s">
        <v>13</v>
      </c>
      <c r="AG93" s="46" t="s">
        <v>14</v>
      </c>
      <c r="AH93" s="60" t="s">
        <v>15</v>
      </c>
      <c r="AI93" s="59" t="s">
        <v>8</v>
      </c>
      <c r="AJ93" s="46" t="s">
        <v>9</v>
      </c>
      <c r="AK93" s="46" t="s">
        <v>10</v>
      </c>
      <c r="AL93" s="46" t="s">
        <v>11</v>
      </c>
      <c r="AM93" s="46" t="s">
        <v>12</v>
      </c>
      <c r="AN93" s="46" t="s">
        <v>13</v>
      </c>
      <c r="AO93" s="46" t="s">
        <v>14</v>
      </c>
      <c r="AP93" s="60" t="s">
        <v>15</v>
      </c>
    </row>
    <row r="94" spans="1:42" ht="21" customHeight="1" thickTop="1" thickBot="1" x14ac:dyDescent="0.35">
      <c r="A94" s="63"/>
      <c r="B94" s="66"/>
      <c r="C94" s="52">
        <v>1</v>
      </c>
      <c r="D94" s="44">
        <v>547.75999999999976</v>
      </c>
      <c r="E94" s="44"/>
      <c r="F94" s="44"/>
      <c r="G94" s="44"/>
      <c r="H94" s="44"/>
      <c r="I94" s="44"/>
      <c r="J94" s="51"/>
      <c r="K94" s="52">
        <v>1</v>
      </c>
      <c r="L94" s="44">
        <v>547.81999999999982</v>
      </c>
      <c r="M94" s="44"/>
      <c r="N94" s="44"/>
      <c r="O94" s="44"/>
      <c r="P94" s="44"/>
      <c r="Q94" s="44"/>
      <c r="R94" s="51"/>
      <c r="S94" s="52">
        <v>1</v>
      </c>
      <c r="T94" s="44">
        <v>546.44999999999982</v>
      </c>
      <c r="U94" s="44"/>
      <c r="V94" s="44"/>
      <c r="W94" s="44"/>
      <c r="X94" s="44"/>
      <c r="Y94" s="44"/>
      <c r="Z94" s="51"/>
      <c r="AA94" s="52">
        <v>1</v>
      </c>
      <c r="AB94" s="44">
        <v>546.37999999999977</v>
      </c>
      <c r="AC94" s="44"/>
      <c r="AD94" s="44"/>
      <c r="AE94" s="44"/>
      <c r="AF94" s="44"/>
      <c r="AG94" s="44"/>
      <c r="AH94" s="51"/>
      <c r="AI94" s="52">
        <v>1</v>
      </c>
      <c r="AJ94" s="44">
        <v>548.19999999999993</v>
      </c>
      <c r="AK94" s="44"/>
      <c r="AL94" s="44"/>
      <c r="AM94" s="44"/>
      <c r="AN94" s="44"/>
      <c r="AO94" s="44"/>
      <c r="AP94" s="51"/>
    </row>
    <row r="95" spans="1:42" ht="21" customHeight="1" thickTop="1" thickBot="1" x14ac:dyDescent="0.35">
      <c r="A95" s="63"/>
      <c r="B95" s="66"/>
      <c r="C95" s="53">
        <v>2</v>
      </c>
      <c r="D95" s="45">
        <v>547.16999999999985</v>
      </c>
      <c r="E95" s="45"/>
      <c r="F95" s="45"/>
      <c r="G95" s="45"/>
      <c r="H95" s="45"/>
      <c r="I95" s="45"/>
      <c r="J95" s="51"/>
      <c r="K95" s="53">
        <v>2</v>
      </c>
      <c r="L95" s="45">
        <v>546.82999999999981</v>
      </c>
      <c r="M95" s="45"/>
      <c r="N95" s="45"/>
      <c r="O95" s="45"/>
      <c r="P95" s="45"/>
      <c r="Q95" s="45"/>
      <c r="R95" s="51"/>
      <c r="S95" s="53">
        <v>2</v>
      </c>
      <c r="T95" s="45">
        <v>547.72999999999979</v>
      </c>
      <c r="U95" s="45"/>
      <c r="V95" s="45"/>
      <c r="W95" s="45"/>
      <c r="X95" s="45"/>
      <c r="Y95" s="45"/>
      <c r="Z95" s="51"/>
      <c r="AA95" s="53">
        <v>2</v>
      </c>
      <c r="AB95" s="45">
        <v>546.37999999999977</v>
      </c>
      <c r="AC95" s="45"/>
      <c r="AD95" s="45"/>
      <c r="AE95" s="45"/>
      <c r="AF95" s="45"/>
      <c r="AG95" s="45"/>
      <c r="AH95" s="51"/>
      <c r="AI95" s="53">
        <v>2</v>
      </c>
      <c r="AJ95" s="45">
        <v>547.80999999999995</v>
      </c>
      <c r="AK95" s="45"/>
      <c r="AL95" s="45"/>
      <c r="AM95" s="45"/>
      <c r="AN95" s="45"/>
      <c r="AO95" s="45"/>
      <c r="AP95" s="51"/>
    </row>
    <row r="96" spans="1:42" ht="21" customHeight="1" thickTop="1" thickBot="1" x14ac:dyDescent="0.35">
      <c r="A96" s="63"/>
      <c r="B96" s="66"/>
      <c r="C96" s="53">
        <v>3</v>
      </c>
      <c r="D96" s="45">
        <v>546.50999999999988</v>
      </c>
      <c r="E96" s="45"/>
      <c r="F96" s="45"/>
      <c r="G96" s="44"/>
      <c r="H96" s="44"/>
      <c r="I96" s="44"/>
      <c r="J96" s="51"/>
      <c r="K96" s="53">
        <v>3</v>
      </c>
      <c r="L96" s="45">
        <v>546.47999999999979</v>
      </c>
      <c r="M96" s="45"/>
      <c r="N96" s="45"/>
      <c r="O96" s="44"/>
      <c r="P96" s="44"/>
      <c r="Q96" s="44"/>
      <c r="R96" s="51"/>
      <c r="S96" s="53">
        <v>3</v>
      </c>
      <c r="T96" s="45">
        <v>548.28999999999974</v>
      </c>
      <c r="U96" s="45"/>
      <c r="V96" s="45"/>
      <c r="W96" s="44"/>
      <c r="X96" s="44"/>
      <c r="Y96" s="44"/>
      <c r="Z96" s="51"/>
      <c r="AA96" s="53">
        <v>3</v>
      </c>
      <c r="AB96" s="45">
        <v>545.94999999999982</v>
      </c>
      <c r="AC96" s="45"/>
      <c r="AD96" s="45"/>
      <c r="AE96" s="44"/>
      <c r="AF96" s="44"/>
      <c r="AG96" s="44"/>
      <c r="AH96" s="51"/>
      <c r="AI96" s="53">
        <v>3</v>
      </c>
      <c r="AJ96" s="45">
        <v>548.33999999999992</v>
      </c>
      <c r="AK96" s="45"/>
      <c r="AL96" s="45"/>
      <c r="AM96" s="44"/>
      <c r="AN96" s="44"/>
      <c r="AO96" s="44"/>
      <c r="AP96" s="51"/>
    </row>
    <row r="97" spans="1:42" ht="21" customHeight="1" thickTop="1" thickBot="1" x14ac:dyDescent="0.35">
      <c r="A97" s="63"/>
      <c r="B97" s="66"/>
      <c r="C97" s="53">
        <v>4</v>
      </c>
      <c r="D97" s="45">
        <v>546.27999999999975</v>
      </c>
      <c r="E97" s="45"/>
      <c r="F97" s="45"/>
      <c r="G97" s="45"/>
      <c r="H97" s="45"/>
      <c r="I97" s="45"/>
      <c r="J97" s="51"/>
      <c r="K97" s="53">
        <v>4</v>
      </c>
      <c r="L97" s="45">
        <v>547.41999999999985</v>
      </c>
      <c r="M97" s="45"/>
      <c r="N97" s="45"/>
      <c r="O97" s="45"/>
      <c r="P97" s="45"/>
      <c r="Q97" s="45"/>
      <c r="R97" s="51"/>
      <c r="S97" s="53">
        <v>4</v>
      </c>
      <c r="T97" s="45">
        <v>547.98999999999978</v>
      </c>
      <c r="U97" s="45"/>
      <c r="V97" s="45"/>
      <c r="W97" s="45"/>
      <c r="X97" s="45"/>
      <c r="Y97" s="45"/>
      <c r="Z97" s="51"/>
      <c r="AA97" s="53">
        <v>4</v>
      </c>
      <c r="AB97" s="45">
        <v>545.94999999999982</v>
      </c>
      <c r="AC97" s="45"/>
      <c r="AD97" s="45"/>
      <c r="AE97" s="45"/>
      <c r="AF97" s="45"/>
      <c r="AG97" s="45"/>
      <c r="AH97" s="51"/>
      <c r="AI97" s="53">
        <v>4</v>
      </c>
      <c r="AJ97" s="45">
        <v>547.81999999999994</v>
      </c>
      <c r="AK97" s="45"/>
      <c r="AL97" s="45"/>
      <c r="AM97" s="45"/>
      <c r="AN97" s="45"/>
      <c r="AO97" s="45"/>
      <c r="AP97" s="51"/>
    </row>
    <row r="98" spans="1:42" ht="21" customHeight="1" thickTop="1" thickBot="1" x14ac:dyDescent="0.35">
      <c r="A98" s="63"/>
      <c r="B98" s="66"/>
      <c r="C98" s="53">
        <v>5</v>
      </c>
      <c r="D98" s="45">
        <v>547.31999999999982</v>
      </c>
      <c r="E98" s="45"/>
      <c r="F98" s="45"/>
      <c r="G98" s="45"/>
      <c r="H98" s="45"/>
      <c r="I98" s="45"/>
      <c r="J98" s="51"/>
      <c r="K98" s="53">
        <v>5</v>
      </c>
      <c r="L98" s="45">
        <v>546.52999999999986</v>
      </c>
      <c r="M98" s="45"/>
      <c r="N98" s="45"/>
      <c r="O98" s="45"/>
      <c r="P98" s="45"/>
      <c r="Q98" s="45"/>
      <c r="R98" s="51"/>
      <c r="S98" s="53">
        <v>5</v>
      </c>
      <c r="T98" s="45">
        <v>547.46999999999969</v>
      </c>
      <c r="U98" s="45"/>
      <c r="V98" s="45"/>
      <c r="W98" s="45"/>
      <c r="X98" s="45"/>
      <c r="Y98" s="45"/>
      <c r="Z98" s="51"/>
      <c r="AA98" s="53">
        <v>5</v>
      </c>
      <c r="AB98" s="45">
        <v>545.9499999999997</v>
      </c>
      <c r="AC98" s="45"/>
      <c r="AD98" s="45"/>
      <c r="AE98" s="45"/>
      <c r="AF98" s="45"/>
      <c r="AG98" s="45"/>
      <c r="AH98" s="51"/>
      <c r="AI98" s="53">
        <v>5</v>
      </c>
      <c r="AJ98" s="45">
        <v>547.82999999999993</v>
      </c>
      <c r="AK98" s="45"/>
      <c r="AL98" s="45"/>
      <c r="AM98" s="45"/>
      <c r="AN98" s="45"/>
      <c r="AO98" s="45"/>
      <c r="AP98" s="51"/>
    </row>
    <row r="99" spans="1:42" ht="21" customHeight="1" thickTop="1" thickBot="1" x14ac:dyDescent="0.35">
      <c r="A99" s="63"/>
      <c r="B99" s="66"/>
      <c r="C99" s="53">
        <v>6</v>
      </c>
      <c r="D99" s="45">
        <v>546.48999999999978</v>
      </c>
      <c r="E99" s="45"/>
      <c r="F99" s="45"/>
      <c r="G99" s="45"/>
      <c r="H99" s="45"/>
      <c r="I99" s="45"/>
      <c r="J99" s="51"/>
      <c r="K99" s="53">
        <v>6</v>
      </c>
      <c r="L99" s="45">
        <v>548.02999999999986</v>
      </c>
      <c r="M99" s="45"/>
      <c r="N99" s="45"/>
      <c r="O99" s="45"/>
      <c r="P99" s="45"/>
      <c r="Q99" s="45"/>
      <c r="R99" s="51"/>
      <c r="S99" s="53">
        <v>6</v>
      </c>
      <c r="T99" s="45">
        <v>549.04999999999984</v>
      </c>
      <c r="U99" s="45"/>
      <c r="V99" s="45"/>
      <c r="W99" s="45"/>
      <c r="X99" s="45"/>
      <c r="Y99" s="45"/>
      <c r="Z99" s="51"/>
      <c r="AA99" s="53">
        <v>6</v>
      </c>
      <c r="AB99" s="45">
        <v>545.94999999999982</v>
      </c>
      <c r="AC99" s="45"/>
      <c r="AD99" s="45"/>
      <c r="AE99" s="45"/>
      <c r="AF99" s="45"/>
      <c r="AG99" s="45"/>
      <c r="AH99" s="51"/>
      <c r="AI99" s="53">
        <v>6</v>
      </c>
      <c r="AJ99" s="45">
        <v>548.2399999999999</v>
      </c>
      <c r="AK99" s="45"/>
      <c r="AL99" s="45"/>
      <c r="AM99" s="45"/>
      <c r="AN99" s="45"/>
      <c r="AO99" s="45"/>
      <c r="AP99" s="51"/>
    </row>
    <row r="100" spans="1:42" ht="21" customHeight="1" thickTop="1" thickBot="1" x14ac:dyDescent="0.35">
      <c r="A100" s="63"/>
      <c r="B100" s="66"/>
      <c r="C100" s="53">
        <v>7</v>
      </c>
      <c r="D100" s="45">
        <v>547.88999999999976</v>
      </c>
      <c r="E100" s="45"/>
      <c r="F100" s="45"/>
      <c r="G100" s="45"/>
      <c r="H100" s="45"/>
      <c r="I100" s="45"/>
      <c r="J100" s="51"/>
      <c r="K100" s="53">
        <v>7</v>
      </c>
      <c r="L100" s="45">
        <v>548.44999999999982</v>
      </c>
      <c r="M100" s="45"/>
      <c r="N100" s="45"/>
      <c r="O100" s="45"/>
      <c r="P100" s="45"/>
      <c r="Q100" s="45"/>
      <c r="R100" s="51"/>
      <c r="S100" s="53">
        <v>7</v>
      </c>
      <c r="T100" s="45">
        <v>549.10999999999967</v>
      </c>
      <c r="U100" s="45"/>
      <c r="V100" s="45"/>
      <c r="W100" s="45"/>
      <c r="X100" s="45"/>
      <c r="Y100" s="45"/>
      <c r="Z100" s="51"/>
      <c r="AA100" s="53">
        <v>7</v>
      </c>
      <c r="AB100" s="45">
        <v>545.9499999999997</v>
      </c>
      <c r="AC100" s="45"/>
      <c r="AD100" s="45"/>
      <c r="AE100" s="45"/>
      <c r="AF100" s="45"/>
      <c r="AG100" s="45"/>
      <c r="AH100" s="51"/>
      <c r="AI100" s="53">
        <v>7</v>
      </c>
      <c r="AJ100" s="45">
        <v>548.37999999999988</v>
      </c>
      <c r="AK100" s="45"/>
      <c r="AL100" s="45"/>
      <c r="AM100" s="45"/>
      <c r="AN100" s="45"/>
      <c r="AO100" s="45"/>
      <c r="AP100" s="51"/>
    </row>
    <row r="101" spans="1:42" ht="21" customHeight="1" thickTop="1" thickBot="1" x14ac:dyDescent="0.35">
      <c r="A101" s="63"/>
      <c r="B101" s="66"/>
      <c r="C101" s="53">
        <v>8</v>
      </c>
      <c r="D101" s="45">
        <v>546.99999999999989</v>
      </c>
      <c r="E101" s="45"/>
      <c r="F101" s="45"/>
      <c r="G101" s="45"/>
      <c r="H101" s="45"/>
      <c r="I101" s="45"/>
      <c r="J101" s="51"/>
      <c r="K101" s="53">
        <v>8</v>
      </c>
      <c r="L101" s="45">
        <v>546.59999999999991</v>
      </c>
      <c r="M101" s="45"/>
      <c r="N101" s="45"/>
      <c r="O101" s="45"/>
      <c r="P101" s="45"/>
      <c r="Q101" s="45"/>
      <c r="R101" s="51"/>
      <c r="S101" s="53">
        <v>8</v>
      </c>
      <c r="T101" s="45">
        <v>547.52999999999975</v>
      </c>
      <c r="U101" s="45"/>
      <c r="V101" s="45"/>
      <c r="W101" s="45"/>
      <c r="X101" s="45"/>
      <c r="Y101" s="45"/>
      <c r="Z101" s="51"/>
      <c r="AA101" s="53">
        <v>8</v>
      </c>
      <c r="AB101" s="45">
        <v>546.37999999999988</v>
      </c>
      <c r="AC101" s="45"/>
      <c r="AD101" s="45"/>
      <c r="AE101" s="45"/>
      <c r="AF101" s="45"/>
      <c r="AG101" s="45"/>
      <c r="AH101" s="51"/>
      <c r="AI101" s="53">
        <v>8</v>
      </c>
      <c r="AJ101" s="45">
        <v>547.33999999999992</v>
      </c>
      <c r="AK101" s="45"/>
      <c r="AL101" s="45"/>
      <c r="AM101" s="45"/>
      <c r="AN101" s="45"/>
      <c r="AO101" s="45"/>
      <c r="AP101" s="51"/>
    </row>
    <row r="102" spans="1:42" ht="21" customHeight="1" thickTop="1" thickBot="1" x14ac:dyDescent="0.35">
      <c r="A102" s="63"/>
      <c r="B102" s="66"/>
      <c r="C102" s="53">
        <v>9</v>
      </c>
      <c r="D102" s="45">
        <v>546.70999999999981</v>
      </c>
      <c r="E102" s="45"/>
      <c r="F102" s="45"/>
      <c r="G102" s="45"/>
      <c r="H102" s="45"/>
      <c r="I102" s="45"/>
      <c r="J102" s="51"/>
      <c r="K102" s="53">
        <v>9</v>
      </c>
      <c r="L102" s="45">
        <v>547.80999999999972</v>
      </c>
      <c r="M102" s="45"/>
      <c r="N102" s="45"/>
      <c r="O102" s="45"/>
      <c r="P102" s="45"/>
      <c r="Q102" s="45"/>
      <c r="R102" s="51"/>
      <c r="S102" s="53">
        <v>9</v>
      </c>
      <c r="T102" s="45">
        <v>548.41999999999985</v>
      </c>
      <c r="U102" s="45"/>
      <c r="V102" s="45"/>
      <c r="W102" s="45"/>
      <c r="X102" s="45"/>
      <c r="Y102" s="45"/>
      <c r="Z102" s="51"/>
      <c r="AA102" s="53">
        <v>9</v>
      </c>
      <c r="AB102" s="45">
        <v>547.61999999999966</v>
      </c>
      <c r="AC102" s="45"/>
      <c r="AD102" s="45"/>
      <c r="AE102" s="45"/>
      <c r="AF102" s="45"/>
      <c r="AG102" s="45"/>
      <c r="AH102" s="51"/>
      <c r="AI102" s="53">
        <v>9</v>
      </c>
      <c r="AJ102" s="45">
        <v>548.19999999999993</v>
      </c>
      <c r="AK102" s="45"/>
      <c r="AL102" s="45"/>
      <c r="AM102" s="45"/>
      <c r="AN102" s="45"/>
      <c r="AO102" s="45"/>
      <c r="AP102" s="51"/>
    </row>
    <row r="103" spans="1:42" ht="21" customHeight="1" thickTop="1" thickBot="1" x14ac:dyDescent="0.35">
      <c r="A103" s="63"/>
      <c r="B103" s="66"/>
      <c r="C103" s="53">
        <v>10</v>
      </c>
      <c r="D103" s="45">
        <v>546.52999999999986</v>
      </c>
      <c r="E103" s="45"/>
      <c r="F103" s="45"/>
      <c r="G103" s="45"/>
      <c r="H103" s="45"/>
      <c r="I103" s="45"/>
      <c r="J103" s="51"/>
      <c r="K103" s="53">
        <v>10</v>
      </c>
      <c r="L103" s="45">
        <v>547.73999999999978</v>
      </c>
      <c r="M103" s="45"/>
      <c r="N103" s="45"/>
      <c r="O103" s="45"/>
      <c r="P103" s="45"/>
      <c r="Q103" s="45"/>
      <c r="R103" s="51"/>
      <c r="S103" s="53">
        <v>10</v>
      </c>
      <c r="T103" s="45">
        <v>550.77999999999975</v>
      </c>
      <c r="U103" s="45"/>
      <c r="V103" s="45"/>
      <c r="W103" s="45"/>
      <c r="X103" s="45"/>
      <c r="Y103" s="45"/>
      <c r="Z103" s="51"/>
      <c r="AA103" s="53">
        <v>10</v>
      </c>
      <c r="AB103" s="45">
        <v>545.94999999999982</v>
      </c>
      <c r="AC103" s="45"/>
      <c r="AD103" s="45"/>
      <c r="AE103" s="45"/>
      <c r="AF103" s="45"/>
      <c r="AG103" s="45"/>
      <c r="AH103" s="51"/>
      <c r="AI103" s="53">
        <v>10</v>
      </c>
      <c r="AJ103" s="45">
        <v>548.33999999999992</v>
      </c>
      <c r="AK103" s="45"/>
      <c r="AL103" s="45"/>
      <c r="AM103" s="45"/>
      <c r="AN103" s="45"/>
      <c r="AO103" s="45"/>
      <c r="AP103" s="51"/>
    </row>
    <row r="104" spans="1:42" ht="21" customHeight="1" thickTop="1" thickBot="1" x14ac:dyDescent="0.35">
      <c r="A104" s="63"/>
      <c r="B104" s="66"/>
      <c r="C104" s="53"/>
      <c r="D104" s="45"/>
      <c r="E104" s="45"/>
      <c r="F104" s="45"/>
      <c r="G104" s="45"/>
      <c r="H104" s="45"/>
      <c r="I104" s="45"/>
      <c r="J104" s="51"/>
      <c r="K104" s="53"/>
      <c r="L104" s="45"/>
      <c r="M104" s="45"/>
      <c r="N104" s="45"/>
      <c r="O104" s="45"/>
      <c r="P104" s="45"/>
      <c r="Q104" s="45"/>
      <c r="R104" s="51"/>
      <c r="S104" s="53"/>
      <c r="T104" s="45"/>
      <c r="U104" s="45"/>
      <c r="V104" s="45"/>
      <c r="W104" s="45"/>
      <c r="X104" s="45"/>
      <c r="Y104" s="45"/>
      <c r="Z104" s="51"/>
      <c r="AA104" s="53"/>
      <c r="AB104" s="45"/>
      <c r="AC104" s="45"/>
      <c r="AD104" s="45"/>
      <c r="AE104" s="45"/>
      <c r="AF104" s="45"/>
      <c r="AG104" s="45"/>
      <c r="AH104" s="51"/>
      <c r="AI104" s="53"/>
      <c r="AJ104" s="45"/>
      <c r="AK104" s="45"/>
      <c r="AL104" s="45"/>
      <c r="AM104" s="45"/>
      <c r="AN104" s="45"/>
      <c r="AO104" s="45"/>
      <c r="AP104" s="51"/>
    </row>
    <row r="105" spans="1:42" ht="21" customHeight="1" thickTop="1" thickBot="1" x14ac:dyDescent="0.35">
      <c r="A105" s="63"/>
      <c r="B105" s="66"/>
      <c r="C105" s="54" t="s">
        <v>16</v>
      </c>
      <c r="D105" s="49">
        <f>MIN(D94:D103)</f>
        <v>546.27999999999975</v>
      </c>
      <c r="E105" s="45"/>
      <c r="F105" s="55" t="s">
        <v>17</v>
      </c>
      <c r="G105" s="49" t="s">
        <v>18</v>
      </c>
      <c r="H105" s="49" t="s">
        <v>19</v>
      </c>
      <c r="I105" s="45"/>
      <c r="J105" s="51"/>
      <c r="K105" s="54" t="s">
        <v>16</v>
      </c>
      <c r="L105" s="49">
        <f>MIN(L94:L103)</f>
        <v>546.47999999999979</v>
      </c>
      <c r="M105" s="45"/>
      <c r="N105" s="55" t="s">
        <v>17</v>
      </c>
      <c r="O105" s="49" t="s">
        <v>18</v>
      </c>
      <c r="P105" s="49" t="s">
        <v>19</v>
      </c>
      <c r="Q105" s="45"/>
      <c r="R105" s="51"/>
      <c r="S105" s="54" t="s">
        <v>16</v>
      </c>
      <c r="T105" s="49">
        <f>MIN(T94:T103)</f>
        <v>546.44999999999982</v>
      </c>
      <c r="U105" s="45"/>
      <c r="V105" s="55" t="s">
        <v>17</v>
      </c>
      <c r="W105" s="49" t="s">
        <v>18</v>
      </c>
      <c r="X105" s="49" t="s">
        <v>19</v>
      </c>
      <c r="Y105" s="45"/>
      <c r="Z105" s="51"/>
      <c r="AA105" s="54" t="s">
        <v>16</v>
      </c>
      <c r="AB105" s="49">
        <f>MIN(AB94:AB103)</f>
        <v>545.9499999999997</v>
      </c>
      <c r="AC105" s="45"/>
      <c r="AD105" s="55" t="s">
        <v>17</v>
      </c>
      <c r="AE105" s="49" t="s">
        <v>18</v>
      </c>
      <c r="AF105" s="49" t="s">
        <v>19</v>
      </c>
      <c r="AG105" s="45"/>
      <c r="AH105" s="51"/>
      <c r="AI105" s="54" t="s">
        <v>16</v>
      </c>
      <c r="AJ105" s="49">
        <f>MIN(AJ94:AJ103)</f>
        <v>547.33999999999992</v>
      </c>
      <c r="AK105" s="45"/>
      <c r="AL105" s="55" t="s">
        <v>17</v>
      </c>
      <c r="AM105" s="49" t="s">
        <v>18</v>
      </c>
      <c r="AN105" s="49" t="s">
        <v>19</v>
      </c>
      <c r="AO105" s="45"/>
      <c r="AP105" s="51"/>
    </row>
    <row r="106" spans="1:42" ht="21" customHeight="1" thickTop="1" thickBot="1" x14ac:dyDescent="0.35">
      <c r="A106" s="63"/>
      <c r="B106" s="66"/>
      <c r="C106" s="54" t="s">
        <v>20</v>
      </c>
      <c r="D106" s="48">
        <f>AVERAGE(D94:D103)</f>
        <v>546.96599999999978</v>
      </c>
      <c r="E106" s="47"/>
      <c r="F106" s="48">
        <f>_xlfn.STDEV.S(D94:D103) / AVERAGE(D94:D103) * 100%</f>
        <v>1.0221305482071865E-3</v>
      </c>
      <c r="G106" s="48">
        <f t="array" ref="G106">MIN((D94:D103 - MIN(D94:D103,L94:L103,T94:T103,AB94:AB103,AJ94:AJ103))/MIN(D94:D103,L94:L103,T94:T103,AB94:AB103,AJ94:AJ103)*100%)</f>
        <v>6.0445095704742392E-4</v>
      </c>
      <c r="H106" s="48">
        <f t="array" ref="H106">AVERAGE((D94:D103 - MIN(D94:D103,L94:L103,T94:T103,AB94:AB103,AJ94:AJ103))/MIN(D94:D103,L94:L103,T94:T103,AB94:AB103,AJ94:AJ103)*100%)</f>
        <v>1.8609762798793132E-3</v>
      </c>
      <c r="I106" s="45"/>
      <c r="J106" s="51"/>
      <c r="K106" s="54" t="s">
        <v>20</v>
      </c>
      <c r="L106" s="48">
        <f>AVERAGE(L94:L103)</f>
        <v>547.37099999999975</v>
      </c>
      <c r="M106" s="47"/>
      <c r="N106" s="48">
        <f>_xlfn.STDEV.S(L94:L103) / AVERAGE(L94:L103) * 100%</f>
        <v>1.2946467480797568E-3</v>
      </c>
      <c r="O106" s="48">
        <f t="array" ref="O106">MIN((L94:L103 - MIN(D94:D103,L94:L103,T94:T103,AB94:AB103,AJ94:AJ103))/MIN(D94:D103,L94:L103,T94:T103,AB94:AB103,AJ94:AJ103)*100%)</f>
        <v>9.7078487040953691E-4</v>
      </c>
      <c r="P106" s="48">
        <f t="array" ref="P106">AVERAGE((L94:L103 - MIN(D94:D103,L94:L103,T94:T103,AB94:AB103,AJ94:AJ103))/MIN(D94:D103,L94:L103,T94:T103,AB94:AB103,AJ94:AJ103)*100%)</f>
        <v>2.602802454437436E-3</v>
      </c>
      <c r="Q106" s="44"/>
      <c r="R106" s="51"/>
      <c r="S106" s="54" t="s">
        <v>20</v>
      </c>
      <c r="T106" s="48">
        <f>AVERAGE(T94:T103)</f>
        <v>548.28199999999981</v>
      </c>
      <c r="U106" s="47"/>
      <c r="V106" s="48">
        <f>_xlfn.STDEV.S(T94:T103) / AVERAGE(T94:T103) * 100%</f>
        <v>2.1499399465092581E-3</v>
      </c>
      <c r="W106" s="48">
        <f t="array" ref="W106">MIN((T94:T103 - MIN(D94:D103,L94:L103,T94:T103,AB94:AB103,AJ94:AJ103))/MIN(D94:D103,L94:L103,T94:T103,AB94:AB103,AJ94:AJ103)*100%)</f>
        <v>9.158347834052824E-4</v>
      </c>
      <c r="X106" s="48">
        <f t="array" ref="X106">AVERAGE((T94:T103 - MIN(D94:D103,L94:L103,T94:T103,AB94:AB103,AJ94:AJ103))/MIN(D94:D103,L94:L103,T94:T103,AB94:AB103,AJ94:AJ103)*100%)</f>
        <v>4.2714534298013791E-3</v>
      </c>
      <c r="Y106" s="44"/>
      <c r="Z106" s="51"/>
      <c r="AA106" s="54" t="s">
        <v>20</v>
      </c>
      <c r="AB106" s="48">
        <f>AVERAGE(AB94:AB103)</f>
        <v>546.24599999999987</v>
      </c>
      <c r="AC106" s="47"/>
      <c r="AD106" s="48">
        <f>_xlfn.STDEV.S(AB94:AB103) / AVERAGE(AB94:AB103) * 100%</f>
        <v>9.5854780258582107E-4</v>
      </c>
      <c r="AE106" s="48">
        <f t="array" ref="AE106">MIN((AB94:AB103 - MIN(D94:D103,L94:L103,T94:T103,AB94:AB103,AJ94:AJ103))/MIN(D94:D103,L94:L103,T94:T103,AB94:AB103,AJ94:AJ103)*100%)</f>
        <v>0</v>
      </c>
      <c r="AF106" s="48">
        <f t="array" ref="AF106">AVERAGE((AB94:AB103 - MIN(D94:D103,L94:L103,T94:T103,AB94:AB103,AJ94:AJ103))/MIN(D94:D103,L94:L103,T94:T103,AB94:AB103,AJ94:AJ103)*100%)</f>
        <v>5.4217419177593549E-4</v>
      </c>
      <c r="AG106" s="44"/>
      <c r="AH106" s="51"/>
      <c r="AI106" s="54" t="s">
        <v>20</v>
      </c>
      <c r="AJ106" s="48">
        <f>AVERAGE(AJ94:AJ103)</f>
        <v>548.04999999999995</v>
      </c>
      <c r="AK106" s="47"/>
      <c r="AL106" s="48">
        <f>_xlfn.STDEV.S(AJ94:AJ103) / AVERAGE(AJ94:AJ103) * 100%</f>
        <v>6.1463029999255403E-4</v>
      </c>
      <c r="AM106" s="48">
        <f t="array" ref="AM106">MIN((AJ94:AJ103 - MIN(D94:D103,L94:L103,T94:T103,AB94:AB103,AJ94:AJ103))/MIN(D94:D103,L94:L103,T94:T103,AB94:AB103,AJ94:AJ103)*100%)</f>
        <v>2.5460206978664976E-3</v>
      </c>
      <c r="AN106" s="48">
        <f t="array" ref="AN106">AVERAGE((AJ94:AJ103 - MIN(D94:D103,L94:L103,T94:T103,AB94:AB103,AJ94:AJ103))/MIN(D94:D103,L94:L103,T94:T103,AB94:AB103,AJ94:AJ103)*100%)</f>
        <v>3.8465060903017075E-3</v>
      </c>
      <c r="AO106" s="44"/>
      <c r="AP106" s="51"/>
    </row>
    <row r="107" spans="1:42" ht="21" customHeight="1" thickTop="1" thickBot="1" x14ac:dyDescent="0.35">
      <c r="A107" s="63"/>
      <c r="B107" s="67"/>
      <c r="C107" s="53"/>
      <c r="D107" s="44"/>
      <c r="E107" s="44"/>
      <c r="F107" s="44"/>
      <c r="G107" s="44"/>
      <c r="H107" s="44"/>
      <c r="I107" s="44"/>
      <c r="J107" s="51"/>
      <c r="K107" s="53"/>
      <c r="L107" s="44"/>
      <c r="M107" s="44"/>
      <c r="N107" s="44"/>
      <c r="O107" s="44"/>
      <c r="P107" s="44"/>
      <c r="Q107" s="44"/>
      <c r="R107" s="51"/>
      <c r="S107" s="53"/>
      <c r="T107" s="44"/>
      <c r="U107" s="44"/>
      <c r="V107" s="44"/>
      <c r="W107" s="44"/>
      <c r="X107" s="44"/>
      <c r="Y107" s="44"/>
      <c r="Z107" s="51"/>
      <c r="AA107" s="53"/>
      <c r="AB107" s="44"/>
      <c r="AC107" s="44"/>
      <c r="AD107" s="44"/>
      <c r="AE107" s="44"/>
      <c r="AF107" s="44"/>
      <c r="AG107" s="44"/>
      <c r="AH107" s="51"/>
      <c r="AI107" s="53"/>
      <c r="AJ107" s="44"/>
      <c r="AK107" s="44"/>
      <c r="AL107" s="44"/>
      <c r="AM107" s="44"/>
      <c r="AN107" s="44"/>
      <c r="AO107" s="44"/>
      <c r="AP107" s="51"/>
    </row>
    <row r="108" spans="1:42" ht="21" customHeight="1" thickTop="1" thickBot="1" x14ac:dyDescent="0.35">
      <c r="A108" s="63"/>
      <c r="B108" s="65" t="s">
        <v>113</v>
      </c>
      <c r="C108" s="59" t="s">
        <v>8</v>
      </c>
      <c r="D108" s="46" t="s">
        <v>9</v>
      </c>
      <c r="E108" s="46" t="s">
        <v>10</v>
      </c>
      <c r="F108" s="46" t="s">
        <v>11</v>
      </c>
      <c r="G108" s="46" t="s">
        <v>12</v>
      </c>
      <c r="H108" s="46" t="s">
        <v>13</v>
      </c>
      <c r="I108" s="46" t="s">
        <v>14</v>
      </c>
      <c r="J108" s="60" t="s">
        <v>15</v>
      </c>
      <c r="K108" s="59" t="s">
        <v>8</v>
      </c>
      <c r="L108" s="46" t="s">
        <v>9</v>
      </c>
      <c r="M108" s="46" t="s">
        <v>10</v>
      </c>
      <c r="N108" s="46" t="s">
        <v>11</v>
      </c>
      <c r="O108" s="46" t="s">
        <v>12</v>
      </c>
      <c r="P108" s="46" t="s">
        <v>13</v>
      </c>
      <c r="Q108" s="46" t="s">
        <v>14</v>
      </c>
      <c r="R108" s="60" t="s">
        <v>15</v>
      </c>
      <c r="S108" s="59" t="s">
        <v>8</v>
      </c>
      <c r="T108" s="46" t="s">
        <v>9</v>
      </c>
      <c r="U108" s="46" t="s">
        <v>10</v>
      </c>
      <c r="V108" s="46" t="s">
        <v>11</v>
      </c>
      <c r="W108" s="46" t="s">
        <v>12</v>
      </c>
      <c r="X108" s="46" t="s">
        <v>13</v>
      </c>
      <c r="Y108" s="46" t="s">
        <v>14</v>
      </c>
      <c r="Z108" s="60" t="s">
        <v>15</v>
      </c>
      <c r="AA108" s="59" t="s">
        <v>8</v>
      </c>
      <c r="AB108" s="46" t="s">
        <v>9</v>
      </c>
      <c r="AC108" s="46" t="s">
        <v>10</v>
      </c>
      <c r="AD108" s="46" t="s">
        <v>11</v>
      </c>
      <c r="AE108" s="46" t="s">
        <v>12</v>
      </c>
      <c r="AF108" s="46" t="s">
        <v>13</v>
      </c>
      <c r="AG108" s="46" t="s">
        <v>14</v>
      </c>
      <c r="AH108" s="60" t="s">
        <v>15</v>
      </c>
      <c r="AI108" s="59" t="s">
        <v>8</v>
      </c>
      <c r="AJ108" s="46" t="s">
        <v>9</v>
      </c>
      <c r="AK108" s="46" t="s">
        <v>10</v>
      </c>
      <c r="AL108" s="46" t="s">
        <v>11</v>
      </c>
      <c r="AM108" s="46" t="s">
        <v>12</v>
      </c>
      <c r="AN108" s="46" t="s">
        <v>13</v>
      </c>
      <c r="AO108" s="46" t="s">
        <v>14</v>
      </c>
      <c r="AP108" s="60" t="s">
        <v>15</v>
      </c>
    </row>
    <row r="109" spans="1:42" ht="21" customHeight="1" thickTop="1" thickBot="1" x14ac:dyDescent="0.35">
      <c r="A109" s="63"/>
      <c r="B109" s="66"/>
      <c r="C109" s="52">
        <v>1</v>
      </c>
      <c r="D109" s="44">
        <v>562.44999999999982</v>
      </c>
      <c r="E109" s="44"/>
      <c r="F109" s="44"/>
      <c r="G109" s="44"/>
      <c r="H109" s="44"/>
      <c r="I109" s="44"/>
      <c r="J109" s="51"/>
      <c r="K109" s="52">
        <v>1</v>
      </c>
      <c r="L109" s="44">
        <v>563.39999999999986</v>
      </c>
      <c r="M109" s="44"/>
      <c r="N109" s="44"/>
      <c r="O109" s="44"/>
      <c r="P109" s="44"/>
      <c r="Q109" s="44"/>
      <c r="R109" s="51"/>
      <c r="S109" s="52">
        <v>1</v>
      </c>
      <c r="T109" s="44">
        <v>562.13999999999987</v>
      </c>
      <c r="U109" s="44"/>
      <c r="V109" s="44"/>
      <c r="W109" s="44"/>
      <c r="X109" s="44"/>
      <c r="Y109" s="44"/>
      <c r="Z109" s="51"/>
      <c r="AA109" s="52">
        <v>1</v>
      </c>
      <c r="AB109" s="44">
        <v>563.85999999999979</v>
      </c>
      <c r="AC109" s="44"/>
      <c r="AD109" s="44"/>
      <c r="AE109" s="44"/>
      <c r="AF109" s="44"/>
      <c r="AG109" s="44"/>
      <c r="AH109" s="51"/>
      <c r="AI109" s="52">
        <v>1</v>
      </c>
      <c r="AJ109" s="44">
        <v>563.93999999999983</v>
      </c>
      <c r="AK109" s="44"/>
      <c r="AL109" s="44"/>
      <c r="AM109" s="44"/>
      <c r="AN109" s="44"/>
      <c r="AO109" s="44"/>
      <c r="AP109" s="51"/>
    </row>
    <row r="110" spans="1:42" ht="21" customHeight="1" thickTop="1" thickBot="1" x14ac:dyDescent="0.35">
      <c r="A110" s="63"/>
      <c r="B110" s="66"/>
      <c r="C110" s="53">
        <v>2</v>
      </c>
      <c r="D110" s="45">
        <v>563.30999999999983</v>
      </c>
      <c r="E110" s="45"/>
      <c r="F110" s="45"/>
      <c r="G110" s="45"/>
      <c r="H110" s="45"/>
      <c r="I110" s="45"/>
      <c r="J110" s="51"/>
      <c r="K110" s="53">
        <v>2</v>
      </c>
      <c r="L110" s="45">
        <v>563.3499999999998</v>
      </c>
      <c r="M110" s="45"/>
      <c r="N110" s="45"/>
      <c r="O110" s="45"/>
      <c r="P110" s="45"/>
      <c r="Q110" s="45"/>
      <c r="R110" s="51"/>
      <c r="S110" s="53">
        <v>2</v>
      </c>
      <c r="T110" s="45">
        <v>567.11</v>
      </c>
      <c r="U110" s="45"/>
      <c r="V110" s="45"/>
      <c r="W110" s="45"/>
      <c r="X110" s="45"/>
      <c r="Y110" s="45"/>
      <c r="Z110" s="51"/>
      <c r="AA110" s="53">
        <v>2</v>
      </c>
      <c r="AB110" s="45">
        <v>562.65999999999974</v>
      </c>
      <c r="AC110" s="45"/>
      <c r="AD110" s="45"/>
      <c r="AE110" s="45"/>
      <c r="AF110" s="45"/>
      <c r="AG110" s="45"/>
      <c r="AH110" s="51"/>
      <c r="AI110" s="53">
        <v>2</v>
      </c>
      <c r="AJ110" s="45">
        <v>564.63999999999987</v>
      </c>
      <c r="AK110" s="45"/>
      <c r="AL110" s="45"/>
      <c r="AM110" s="45"/>
      <c r="AN110" s="45"/>
      <c r="AO110" s="45"/>
      <c r="AP110" s="51"/>
    </row>
    <row r="111" spans="1:42" ht="21" customHeight="1" thickTop="1" thickBot="1" x14ac:dyDescent="0.35">
      <c r="A111" s="63"/>
      <c r="B111" s="66"/>
      <c r="C111" s="53">
        <v>3</v>
      </c>
      <c r="D111" s="45">
        <v>561.78999999999985</v>
      </c>
      <c r="E111" s="45"/>
      <c r="F111" s="45"/>
      <c r="G111" s="44"/>
      <c r="H111" s="44"/>
      <c r="I111" s="44"/>
      <c r="J111" s="51"/>
      <c r="K111" s="53">
        <v>3</v>
      </c>
      <c r="L111" s="45">
        <v>564.00999999999976</v>
      </c>
      <c r="M111" s="45"/>
      <c r="N111" s="45"/>
      <c r="O111" s="44"/>
      <c r="P111" s="44"/>
      <c r="Q111" s="44"/>
      <c r="R111" s="51"/>
      <c r="S111" s="53">
        <v>3</v>
      </c>
      <c r="T111" s="45">
        <v>563.50999999999988</v>
      </c>
      <c r="U111" s="45"/>
      <c r="V111" s="45"/>
      <c r="W111" s="44"/>
      <c r="X111" s="44"/>
      <c r="Y111" s="44"/>
      <c r="Z111" s="51"/>
      <c r="AA111" s="53">
        <v>3</v>
      </c>
      <c r="AB111" s="45">
        <v>562.06999999999982</v>
      </c>
      <c r="AC111" s="45"/>
      <c r="AD111" s="45"/>
      <c r="AE111" s="44"/>
      <c r="AF111" s="44"/>
      <c r="AG111" s="44"/>
      <c r="AH111" s="51"/>
      <c r="AI111" s="53">
        <v>3</v>
      </c>
      <c r="AJ111" s="45">
        <v>563.93000000000006</v>
      </c>
      <c r="AK111" s="45"/>
      <c r="AL111" s="45"/>
      <c r="AM111" s="44"/>
      <c r="AN111" s="44"/>
      <c r="AO111" s="44"/>
      <c r="AP111" s="51"/>
    </row>
    <row r="112" spans="1:42" ht="21" customHeight="1" thickTop="1" thickBot="1" x14ac:dyDescent="0.35">
      <c r="A112" s="63"/>
      <c r="B112" s="66"/>
      <c r="C112" s="53">
        <v>4</v>
      </c>
      <c r="D112" s="45">
        <v>562.03999999999974</v>
      </c>
      <c r="E112" s="45"/>
      <c r="F112" s="45"/>
      <c r="G112" s="45"/>
      <c r="H112" s="45"/>
      <c r="I112" s="45"/>
      <c r="J112" s="51"/>
      <c r="K112" s="53">
        <v>4</v>
      </c>
      <c r="L112" s="45">
        <v>562.40999999999974</v>
      </c>
      <c r="M112" s="45"/>
      <c r="N112" s="45"/>
      <c r="O112" s="45"/>
      <c r="P112" s="45"/>
      <c r="Q112" s="45"/>
      <c r="R112" s="51"/>
      <c r="S112" s="53">
        <v>4</v>
      </c>
      <c r="T112" s="45">
        <v>564.08999999999969</v>
      </c>
      <c r="U112" s="45"/>
      <c r="V112" s="45"/>
      <c r="W112" s="45"/>
      <c r="X112" s="45"/>
      <c r="Y112" s="45"/>
      <c r="Z112" s="51"/>
      <c r="AA112" s="53">
        <v>4</v>
      </c>
      <c r="AB112" s="45">
        <v>562.19999999999982</v>
      </c>
      <c r="AC112" s="45"/>
      <c r="AD112" s="45"/>
      <c r="AE112" s="45"/>
      <c r="AF112" s="45"/>
      <c r="AG112" s="45"/>
      <c r="AH112" s="51"/>
      <c r="AI112" s="53">
        <v>4</v>
      </c>
      <c r="AJ112" s="45">
        <v>564.1</v>
      </c>
      <c r="AK112" s="45"/>
      <c r="AL112" s="45"/>
      <c r="AM112" s="45"/>
      <c r="AN112" s="45"/>
      <c r="AO112" s="45"/>
      <c r="AP112" s="51"/>
    </row>
    <row r="113" spans="1:42" ht="21" customHeight="1" thickTop="1" thickBot="1" x14ac:dyDescent="0.35">
      <c r="A113" s="63"/>
      <c r="B113" s="66"/>
      <c r="C113" s="53">
        <v>5</v>
      </c>
      <c r="D113" s="45">
        <v>562.20999999999981</v>
      </c>
      <c r="E113" s="45"/>
      <c r="F113" s="45"/>
      <c r="G113" s="45"/>
      <c r="H113" s="45"/>
      <c r="I113" s="45"/>
      <c r="J113" s="51"/>
      <c r="K113" s="53">
        <v>5</v>
      </c>
      <c r="L113" s="45">
        <v>563.01999999999975</v>
      </c>
      <c r="M113" s="45"/>
      <c r="N113" s="45"/>
      <c r="O113" s="45"/>
      <c r="P113" s="45"/>
      <c r="Q113" s="45"/>
      <c r="R113" s="51"/>
      <c r="S113" s="53">
        <v>5</v>
      </c>
      <c r="T113" s="45">
        <v>563.21999999999969</v>
      </c>
      <c r="U113" s="45"/>
      <c r="V113" s="45"/>
      <c r="W113" s="45"/>
      <c r="X113" s="45"/>
      <c r="Y113" s="45"/>
      <c r="Z113" s="51"/>
      <c r="AA113" s="53">
        <v>5</v>
      </c>
      <c r="AB113" s="45">
        <v>562.2199999999998</v>
      </c>
      <c r="AC113" s="45"/>
      <c r="AD113" s="45"/>
      <c r="AE113" s="45"/>
      <c r="AF113" s="45"/>
      <c r="AG113" s="45"/>
      <c r="AH113" s="51"/>
      <c r="AI113" s="53">
        <v>5</v>
      </c>
      <c r="AJ113" s="45">
        <v>563.05000000000007</v>
      </c>
      <c r="AK113" s="45"/>
      <c r="AL113" s="45"/>
      <c r="AM113" s="45"/>
      <c r="AN113" s="45"/>
      <c r="AO113" s="45"/>
      <c r="AP113" s="51"/>
    </row>
    <row r="114" spans="1:42" ht="21" customHeight="1" thickTop="1" thickBot="1" x14ac:dyDescent="0.35">
      <c r="A114" s="63"/>
      <c r="B114" s="66"/>
      <c r="C114" s="53">
        <v>6</v>
      </c>
      <c r="D114" s="45">
        <v>563.2199999999998</v>
      </c>
      <c r="E114" s="45"/>
      <c r="F114" s="45"/>
      <c r="G114" s="45"/>
      <c r="H114" s="45"/>
      <c r="I114" s="45"/>
      <c r="J114" s="51"/>
      <c r="K114" s="53">
        <v>6</v>
      </c>
      <c r="L114" s="45">
        <v>563.2199999999998</v>
      </c>
      <c r="M114" s="45"/>
      <c r="N114" s="45"/>
      <c r="O114" s="45"/>
      <c r="P114" s="45"/>
      <c r="Q114" s="45"/>
      <c r="R114" s="51"/>
      <c r="S114" s="53">
        <v>6</v>
      </c>
      <c r="T114" s="45">
        <v>563.85999999999979</v>
      </c>
      <c r="U114" s="45"/>
      <c r="V114" s="45"/>
      <c r="W114" s="45"/>
      <c r="X114" s="45"/>
      <c r="Y114" s="45"/>
      <c r="Z114" s="51"/>
      <c r="AA114" s="53">
        <v>6</v>
      </c>
      <c r="AB114" s="45">
        <v>561.55999999999972</v>
      </c>
      <c r="AC114" s="45"/>
      <c r="AD114" s="45"/>
      <c r="AE114" s="45"/>
      <c r="AF114" s="45"/>
      <c r="AG114" s="45"/>
      <c r="AH114" s="51"/>
      <c r="AI114" s="53">
        <v>6</v>
      </c>
      <c r="AJ114" s="45">
        <v>563.65</v>
      </c>
      <c r="AK114" s="45"/>
      <c r="AL114" s="45"/>
      <c r="AM114" s="45"/>
      <c r="AN114" s="45"/>
      <c r="AO114" s="45"/>
      <c r="AP114" s="51"/>
    </row>
    <row r="115" spans="1:42" ht="21" customHeight="1" thickTop="1" thickBot="1" x14ac:dyDescent="0.35">
      <c r="A115" s="63"/>
      <c r="B115" s="66"/>
      <c r="C115" s="53">
        <v>7</v>
      </c>
      <c r="D115" s="45">
        <v>561.55999999999972</v>
      </c>
      <c r="E115" s="45"/>
      <c r="F115" s="45"/>
      <c r="G115" s="45"/>
      <c r="H115" s="45"/>
      <c r="I115" s="45"/>
      <c r="J115" s="51"/>
      <c r="K115" s="53">
        <v>7</v>
      </c>
      <c r="L115" s="45">
        <v>562.41999999999985</v>
      </c>
      <c r="M115" s="45"/>
      <c r="N115" s="45"/>
      <c r="O115" s="45"/>
      <c r="P115" s="45"/>
      <c r="Q115" s="45"/>
      <c r="R115" s="51"/>
      <c r="S115" s="53">
        <v>7</v>
      </c>
      <c r="T115" s="45">
        <v>563.77999999999986</v>
      </c>
      <c r="U115" s="45"/>
      <c r="V115" s="45"/>
      <c r="W115" s="45"/>
      <c r="X115" s="45"/>
      <c r="Y115" s="45"/>
      <c r="Z115" s="51"/>
      <c r="AA115" s="53">
        <v>7</v>
      </c>
      <c r="AB115" s="45">
        <v>563.61999999999978</v>
      </c>
      <c r="AC115" s="45"/>
      <c r="AD115" s="45"/>
      <c r="AE115" s="45"/>
      <c r="AF115" s="45"/>
      <c r="AG115" s="45"/>
      <c r="AH115" s="51"/>
      <c r="AI115" s="53">
        <v>7</v>
      </c>
      <c r="AJ115" s="45">
        <v>563.6</v>
      </c>
      <c r="AK115" s="45"/>
      <c r="AL115" s="45"/>
      <c r="AM115" s="45"/>
      <c r="AN115" s="45"/>
      <c r="AO115" s="45"/>
      <c r="AP115" s="51"/>
    </row>
    <row r="116" spans="1:42" ht="21" customHeight="1" thickTop="1" thickBot="1" x14ac:dyDescent="0.35">
      <c r="A116" s="63"/>
      <c r="B116" s="66"/>
      <c r="C116" s="53">
        <v>8</v>
      </c>
      <c r="D116" s="45">
        <v>563.02999999999975</v>
      </c>
      <c r="E116" s="45"/>
      <c r="F116" s="45"/>
      <c r="G116" s="45"/>
      <c r="H116" s="45"/>
      <c r="I116" s="45"/>
      <c r="J116" s="51"/>
      <c r="K116" s="53">
        <v>8</v>
      </c>
      <c r="L116" s="45">
        <v>563.75999999999988</v>
      </c>
      <c r="M116" s="45"/>
      <c r="N116" s="45"/>
      <c r="O116" s="45"/>
      <c r="P116" s="45"/>
      <c r="Q116" s="45"/>
      <c r="R116" s="51"/>
      <c r="S116" s="53">
        <v>8</v>
      </c>
      <c r="T116" s="45">
        <v>565.13999999999976</v>
      </c>
      <c r="U116" s="45"/>
      <c r="V116" s="45"/>
      <c r="W116" s="45"/>
      <c r="X116" s="45"/>
      <c r="Y116" s="45"/>
      <c r="Z116" s="51"/>
      <c r="AA116" s="53">
        <v>8</v>
      </c>
      <c r="AB116" s="45">
        <v>563.76999999999975</v>
      </c>
      <c r="AC116" s="45"/>
      <c r="AD116" s="45"/>
      <c r="AE116" s="45"/>
      <c r="AF116" s="45"/>
      <c r="AG116" s="45"/>
      <c r="AH116" s="51"/>
      <c r="AI116" s="53">
        <v>8</v>
      </c>
      <c r="AJ116" s="45">
        <v>564.04999999999995</v>
      </c>
      <c r="AK116" s="45"/>
      <c r="AL116" s="45"/>
      <c r="AM116" s="45"/>
      <c r="AN116" s="45"/>
      <c r="AO116" s="45"/>
      <c r="AP116" s="51"/>
    </row>
    <row r="117" spans="1:42" ht="21" customHeight="1" thickTop="1" thickBot="1" x14ac:dyDescent="0.35">
      <c r="A117" s="63"/>
      <c r="B117" s="66"/>
      <c r="C117" s="53">
        <v>9</v>
      </c>
      <c r="D117" s="45">
        <v>562.92999999999984</v>
      </c>
      <c r="E117" s="45"/>
      <c r="F117" s="45"/>
      <c r="G117" s="45"/>
      <c r="H117" s="45"/>
      <c r="I117" s="45"/>
      <c r="J117" s="51"/>
      <c r="K117" s="53">
        <v>9</v>
      </c>
      <c r="L117" s="45">
        <v>562.99999999999977</v>
      </c>
      <c r="M117" s="45"/>
      <c r="N117" s="45"/>
      <c r="O117" s="45"/>
      <c r="P117" s="45"/>
      <c r="Q117" s="45"/>
      <c r="R117" s="51"/>
      <c r="S117" s="53">
        <v>9</v>
      </c>
      <c r="T117" s="45">
        <v>562.17999999999984</v>
      </c>
      <c r="U117" s="45"/>
      <c r="V117" s="45"/>
      <c r="W117" s="45"/>
      <c r="X117" s="45"/>
      <c r="Y117" s="45"/>
      <c r="Z117" s="51"/>
      <c r="AA117" s="53">
        <v>9</v>
      </c>
      <c r="AB117" s="45">
        <v>562.0799999999997</v>
      </c>
      <c r="AC117" s="45"/>
      <c r="AD117" s="45"/>
      <c r="AE117" s="45"/>
      <c r="AF117" s="45"/>
      <c r="AG117" s="45"/>
      <c r="AH117" s="51"/>
      <c r="AI117" s="53">
        <v>9</v>
      </c>
      <c r="AJ117" s="45">
        <v>563.04999999999995</v>
      </c>
      <c r="AK117" s="45"/>
      <c r="AL117" s="45"/>
      <c r="AM117" s="45"/>
      <c r="AN117" s="45"/>
      <c r="AO117" s="45"/>
      <c r="AP117" s="51"/>
    </row>
    <row r="118" spans="1:42" ht="21" customHeight="1" thickTop="1" thickBot="1" x14ac:dyDescent="0.35">
      <c r="A118" s="63"/>
      <c r="B118" s="66"/>
      <c r="C118" s="53">
        <v>10</v>
      </c>
      <c r="D118" s="45">
        <v>562.55999999999972</v>
      </c>
      <c r="E118" s="45"/>
      <c r="F118" s="45"/>
      <c r="G118" s="45"/>
      <c r="H118" s="45"/>
      <c r="I118" s="45"/>
      <c r="J118" s="51"/>
      <c r="K118" s="53">
        <v>10</v>
      </c>
      <c r="L118" s="45">
        <v>562.91999999999973</v>
      </c>
      <c r="M118" s="45"/>
      <c r="N118" s="45"/>
      <c r="O118" s="45"/>
      <c r="P118" s="45"/>
      <c r="Q118" s="45"/>
      <c r="R118" s="51"/>
      <c r="S118" s="53">
        <v>10</v>
      </c>
      <c r="T118" s="45">
        <v>563.87999999999988</v>
      </c>
      <c r="U118" s="45"/>
      <c r="V118" s="45"/>
      <c r="W118" s="45"/>
      <c r="X118" s="45"/>
      <c r="Y118" s="45"/>
      <c r="Z118" s="51"/>
      <c r="AA118" s="53">
        <v>10</v>
      </c>
      <c r="AB118" s="45">
        <v>565.24999999999977</v>
      </c>
      <c r="AC118" s="45"/>
      <c r="AD118" s="45"/>
      <c r="AE118" s="45"/>
      <c r="AF118" s="45"/>
      <c r="AG118" s="45"/>
      <c r="AH118" s="51"/>
      <c r="AI118" s="53">
        <v>10</v>
      </c>
      <c r="AJ118" s="45">
        <v>563.76</v>
      </c>
      <c r="AK118" s="45"/>
      <c r="AL118" s="45"/>
      <c r="AM118" s="45"/>
      <c r="AN118" s="45"/>
      <c r="AO118" s="45"/>
      <c r="AP118" s="51"/>
    </row>
    <row r="119" spans="1:42" ht="21" customHeight="1" thickTop="1" thickBot="1" x14ac:dyDescent="0.35">
      <c r="A119" s="63"/>
      <c r="B119" s="66"/>
      <c r="C119" s="53"/>
      <c r="D119" s="45"/>
      <c r="E119" s="45"/>
      <c r="F119" s="45"/>
      <c r="G119" s="45"/>
      <c r="H119" s="45"/>
      <c r="I119" s="45"/>
      <c r="J119" s="51"/>
      <c r="K119" s="53"/>
      <c r="L119" s="45"/>
      <c r="M119" s="45"/>
      <c r="N119" s="45"/>
      <c r="O119" s="45"/>
      <c r="P119" s="45"/>
      <c r="Q119" s="45"/>
      <c r="R119" s="51"/>
      <c r="S119" s="53"/>
      <c r="T119" s="45"/>
      <c r="U119" s="45"/>
      <c r="V119" s="45"/>
      <c r="W119" s="45"/>
      <c r="X119" s="45"/>
      <c r="Y119" s="45"/>
      <c r="Z119" s="51"/>
      <c r="AA119" s="53"/>
      <c r="AB119" s="45"/>
      <c r="AC119" s="45"/>
      <c r="AD119" s="45"/>
      <c r="AE119" s="45"/>
      <c r="AF119" s="45"/>
      <c r="AG119" s="45"/>
      <c r="AH119" s="51"/>
      <c r="AI119" s="53"/>
      <c r="AJ119" s="45"/>
      <c r="AK119" s="45"/>
      <c r="AL119" s="45"/>
      <c r="AM119" s="45"/>
      <c r="AN119" s="45"/>
      <c r="AO119" s="45"/>
      <c r="AP119" s="51"/>
    </row>
    <row r="120" spans="1:42" ht="21" customHeight="1" thickTop="1" thickBot="1" x14ac:dyDescent="0.35">
      <c r="A120" s="63"/>
      <c r="B120" s="66"/>
      <c r="C120" s="54" t="s">
        <v>16</v>
      </c>
      <c r="D120" s="49">
        <f>MIN(D109:D118)</f>
        <v>561.55999999999972</v>
      </c>
      <c r="E120" s="45"/>
      <c r="F120" s="55" t="s">
        <v>17</v>
      </c>
      <c r="G120" s="49" t="s">
        <v>18</v>
      </c>
      <c r="H120" s="49" t="s">
        <v>19</v>
      </c>
      <c r="I120" s="45"/>
      <c r="J120" s="51"/>
      <c r="K120" s="54" t="s">
        <v>16</v>
      </c>
      <c r="L120" s="49">
        <f>MIN(L109:L118)</f>
        <v>562.40999999999974</v>
      </c>
      <c r="M120" s="45"/>
      <c r="N120" s="55" t="s">
        <v>17</v>
      </c>
      <c r="O120" s="49" t="s">
        <v>18</v>
      </c>
      <c r="P120" s="49" t="s">
        <v>19</v>
      </c>
      <c r="Q120" s="45"/>
      <c r="R120" s="51"/>
      <c r="S120" s="54" t="s">
        <v>16</v>
      </c>
      <c r="T120" s="49">
        <f>MIN(T109:T118)</f>
        <v>562.13999999999987</v>
      </c>
      <c r="U120" s="45"/>
      <c r="V120" s="55" t="s">
        <v>17</v>
      </c>
      <c r="W120" s="49" t="s">
        <v>18</v>
      </c>
      <c r="X120" s="49" t="s">
        <v>19</v>
      </c>
      <c r="Y120" s="45"/>
      <c r="Z120" s="51"/>
      <c r="AA120" s="54" t="s">
        <v>16</v>
      </c>
      <c r="AB120" s="49">
        <f>MIN(AB109:AB118)</f>
        <v>561.55999999999972</v>
      </c>
      <c r="AC120" s="45"/>
      <c r="AD120" s="55" t="s">
        <v>17</v>
      </c>
      <c r="AE120" s="49" t="s">
        <v>18</v>
      </c>
      <c r="AF120" s="49" t="s">
        <v>19</v>
      </c>
      <c r="AG120" s="45"/>
      <c r="AH120" s="51"/>
      <c r="AI120" s="54" t="s">
        <v>16</v>
      </c>
      <c r="AJ120" s="49">
        <f>MIN(AJ109:AJ118)</f>
        <v>563.04999999999995</v>
      </c>
      <c r="AK120" s="45"/>
      <c r="AL120" s="55" t="s">
        <v>17</v>
      </c>
      <c r="AM120" s="49" t="s">
        <v>18</v>
      </c>
      <c r="AN120" s="49" t="s">
        <v>19</v>
      </c>
      <c r="AO120" s="45"/>
      <c r="AP120" s="51"/>
    </row>
    <row r="121" spans="1:42" ht="21" customHeight="1" thickTop="1" thickBot="1" x14ac:dyDescent="0.35">
      <c r="A121" s="63"/>
      <c r="B121" s="66"/>
      <c r="C121" s="54" t="s">
        <v>20</v>
      </c>
      <c r="D121" s="48">
        <f>AVERAGE(D109:D118)</f>
        <v>562.50999999999988</v>
      </c>
      <c r="E121" s="47"/>
      <c r="F121" s="48">
        <f>_xlfn.STDEV.S(D109:D118) / AVERAGE(D109:D118) * 100%</f>
        <v>1.081165923858017E-3</v>
      </c>
      <c r="G121" s="48">
        <f t="array" ref="G121">MIN((D109:D118 - MIN(D109:D118,L109:L118,T109:T118,AB109:AB118,AJ109:AJ118))/MIN(D109:D118,L109:L118,T109:T118,AB109:AB118,AJ109:AJ118)*100%)</f>
        <v>0</v>
      </c>
      <c r="H121" s="48">
        <f t="array" ref="H121">AVERAGE((D109:D118 - MIN(D109:D118,L109:L118,T109:T118,AB109:AB118,AJ109:AJ118))/MIN(D109:D118,L109:L118,T109:T118,AB109:AB118,AJ109:AJ118)*100%)</f>
        <v>1.6917159341834687E-3</v>
      </c>
      <c r="I121" s="45"/>
      <c r="J121" s="51"/>
      <c r="K121" s="54" t="s">
        <v>20</v>
      </c>
      <c r="L121" s="48">
        <f>AVERAGE(L109:L118)</f>
        <v>563.15099999999984</v>
      </c>
      <c r="M121" s="47"/>
      <c r="N121" s="48">
        <f>_xlfn.STDEV.S(L109:L118) / AVERAGE(L109:L118) * 100%</f>
        <v>9.1542862231706532E-4</v>
      </c>
      <c r="O121" s="48">
        <f t="array" ref="O121">MIN((L109:L118 - MIN(D109:D118,L109:L118,T109:T118,AB109:AB118,AJ109:AJ118))/MIN(D109:D118,L109:L118,T109:T118,AB109:AB118,AJ109:AJ118)*100%)</f>
        <v>1.5136405726904039E-3</v>
      </c>
      <c r="P121" s="48">
        <f t="array" ref="P121">AVERAGE((L109:L118 - MIN(D109:D118,L109:L118,T109:T118,AB109:AB118,AJ109:AJ118))/MIN(D109:D118,L109:L118,T109:T118,AB109:AB118,AJ109:AJ118)*100%)</f>
        <v>2.8331790013535101E-3</v>
      </c>
      <c r="Q121" s="44"/>
      <c r="R121" s="51"/>
      <c r="S121" s="54" t="s">
        <v>20</v>
      </c>
      <c r="T121" s="48">
        <f>AVERAGE(T109:T118)</f>
        <v>563.89099999999985</v>
      </c>
      <c r="U121" s="47"/>
      <c r="V121" s="48">
        <f>_xlfn.STDEV.S(T109:T118) / AVERAGE(T109:T118) * 100%</f>
        <v>2.5469362541372261E-3</v>
      </c>
      <c r="W121" s="48">
        <f t="array" ref="W121">MIN((T109:T118 - MIN(D109:D118,L109:L118,T109:T118,AB109:AB118,AJ109:AJ118))/MIN(D109:D118,L109:L118,T109:T118,AB109:AB118,AJ109:AJ118)*100%)</f>
        <v>1.032837096659582E-3</v>
      </c>
      <c r="X121" s="48">
        <f t="array" ref="X121">AVERAGE((T109:T118 - MIN(D109:D118,L109:L118,T109:T118,AB109:AB118,AJ109:AJ118))/MIN(D109:D118,L109:L118,T109:T118,AB109:AB118,AJ109:AJ118)*100%)</f>
        <v>4.1509366764016474E-3</v>
      </c>
      <c r="Y121" s="44"/>
      <c r="Z121" s="51"/>
      <c r="AA121" s="54" t="s">
        <v>20</v>
      </c>
      <c r="AB121" s="48">
        <f>AVERAGE(AB109:AB118)</f>
        <v>562.92899999999986</v>
      </c>
      <c r="AC121" s="47"/>
      <c r="AD121" s="48">
        <f>_xlfn.STDEV.S(AB109:AB118) / AVERAGE(AB109:AB118) * 100%</f>
        <v>2.040773340738415E-3</v>
      </c>
      <c r="AE121" s="48">
        <f t="array" ref="AE121">MIN((AB109:AB118 - MIN(D109:D118,L109:L118,T109:T118,AB109:AB118,AJ109:AJ118))/MIN(D109:D118,L109:L118,T109:T118,AB109:AB118,AJ109:AJ118)*100%)</f>
        <v>0</v>
      </c>
      <c r="AF121" s="48">
        <f t="array" ref="AF121">AVERAGE((AB109:AB118 - MIN(D109:D118,L109:L118,T109:T118,AB109:AB118,AJ109:AJ118))/MIN(D109:D118,L109:L118,T109:T118,AB109:AB118,AJ109:AJ118)*100%)</f>
        <v>2.4378516988390409E-3</v>
      </c>
      <c r="AG121" s="44"/>
      <c r="AH121" s="51"/>
      <c r="AI121" s="54" t="s">
        <v>20</v>
      </c>
      <c r="AJ121" s="48">
        <f>AVERAGE(AJ109:AJ118)</f>
        <v>563.77700000000004</v>
      </c>
      <c r="AK121" s="47"/>
      <c r="AL121" s="48">
        <f>_xlfn.STDEV.S(AJ109:AJ118) / AVERAGE(AJ109:AJ118) * 100%</f>
        <v>8.5238736325494037E-4</v>
      </c>
      <c r="AM121" s="48">
        <f t="array" ref="AM121">MIN((AJ109:AJ118 - MIN(D109:D118,L109:L118,T109:T118,AB109:AB118,AJ109:AJ118))/MIN(D109:D118,L109:L118,T109:T118,AB109:AB118,AJ109:AJ118)*100%)</f>
        <v>2.6533228862458814E-3</v>
      </c>
      <c r="AN121" s="48">
        <f t="array" ref="AN121">AVERAGE((AJ109:AJ118 - MIN(D109:D118,L109:L118,T109:T118,AB109:AB118,AJ109:AJ118))/MIN(D109:D118,L109:L118,T109:T118,AB109:AB118,AJ109:AJ118)*100%)</f>
        <v>3.9479307642999121E-3</v>
      </c>
      <c r="AO121" s="44"/>
      <c r="AP121" s="51"/>
    </row>
    <row r="122" spans="1:42" ht="21" customHeight="1" thickTop="1" thickBot="1" x14ac:dyDescent="0.35">
      <c r="A122" s="64"/>
      <c r="B122" s="67"/>
      <c r="C122" s="56"/>
      <c r="D122" s="57"/>
      <c r="E122" s="57"/>
      <c r="F122" s="57"/>
      <c r="G122" s="57"/>
      <c r="H122" s="57"/>
      <c r="I122" s="57"/>
      <c r="J122" s="58"/>
      <c r="K122" s="56"/>
      <c r="L122" s="57"/>
      <c r="M122" s="57"/>
      <c r="N122" s="57"/>
      <c r="O122" s="57"/>
      <c r="P122" s="57"/>
      <c r="Q122" s="57"/>
      <c r="R122" s="58"/>
      <c r="S122" s="56"/>
      <c r="T122" s="57"/>
      <c r="U122" s="57"/>
      <c r="V122" s="57"/>
      <c r="W122" s="57"/>
      <c r="X122" s="57"/>
      <c r="Y122" s="57"/>
      <c r="Z122" s="58"/>
      <c r="AA122" s="56"/>
      <c r="AB122" s="57"/>
      <c r="AC122" s="57"/>
      <c r="AD122" s="57"/>
      <c r="AE122" s="57"/>
      <c r="AF122" s="57"/>
      <c r="AG122" s="57"/>
      <c r="AH122" s="58"/>
      <c r="AI122" s="56"/>
      <c r="AJ122" s="57"/>
      <c r="AK122" s="57"/>
      <c r="AL122" s="57"/>
      <c r="AM122" s="57"/>
      <c r="AN122" s="57"/>
      <c r="AO122" s="57"/>
      <c r="AP122" s="58"/>
    </row>
    <row r="123" spans="1:42" ht="21" customHeight="1" thickTop="1" thickBot="1" x14ac:dyDescent="0.35">
      <c r="A123" s="62">
        <v>2</v>
      </c>
      <c r="B123" s="65" t="s">
        <v>114</v>
      </c>
      <c r="C123" s="59" t="s">
        <v>8</v>
      </c>
      <c r="D123" s="46" t="s">
        <v>9</v>
      </c>
      <c r="E123" s="46" t="s">
        <v>10</v>
      </c>
      <c r="F123" s="46" t="s">
        <v>11</v>
      </c>
      <c r="G123" s="46" t="s">
        <v>12</v>
      </c>
      <c r="H123" s="46" t="s">
        <v>13</v>
      </c>
      <c r="I123" s="46" t="s">
        <v>14</v>
      </c>
      <c r="J123" s="60" t="s">
        <v>15</v>
      </c>
      <c r="K123" s="59" t="s">
        <v>8</v>
      </c>
      <c r="L123" s="46" t="s">
        <v>9</v>
      </c>
      <c r="M123" s="46" t="s">
        <v>10</v>
      </c>
      <c r="N123" s="46" t="s">
        <v>11</v>
      </c>
      <c r="O123" s="46" t="s">
        <v>12</v>
      </c>
      <c r="P123" s="46" t="s">
        <v>13</v>
      </c>
      <c r="Q123" s="46" t="s">
        <v>14</v>
      </c>
      <c r="R123" s="60" t="s">
        <v>15</v>
      </c>
      <c r="S123" s="59" t="s">
        <v>8</v>
      </c>
      <c r="T123" s="46" t="s">
        <v>9</v>
      </c>
      <c r="U123" s="46" t="s">
        <v>10</v>
      </c>
      <c r="V123" s="46" t="s">
        <v>11</v>
      </c>
      <c r="W123" s="46" t="s">
        <v>12</v>
      </c>
      <c r="X123" s="46" t="s">
        <v>13</v>
      </c>
      <c r="Y123" s="46" t="s">
        <v>14</v>
      </c>
      <c r="Z123" s="60" t="s">
        <v>15</v>
      </c>
      <c r="AA123" s="59" t="s">
        <v>8</v>
      </c>
      <c r="AB123" s="46" t="s">
        <v>9</v>
      </c>
      <c r="AC123" s="46" t="s">
        <v>10</v>
      </c>
      <c r="AD123" s="46" t="s">
        <v>11</v>
      </c>
      <c r="AE123" s="46" t="s">
        <v>12</v>
      </c>
      <c r="AF123" s="46" t="s">
        <v>13</v>
      </c>
      <c r="AG123" s="46" t="s">
        <v>14</v>
      </c>
      <c r="AH123" s="60" t="s">
        <v>15</v>
      </c>
      <c r="AI123" s="59" t="s">
        <v>8</v>
      </c>
      <c r="AJ123" s="46" t="s">
        <v>9</v>
      </c>
      <c r="AK123" s="46" t="s">
        <v>10</v>
      </c>
      <c r="AL123" s="46" t="s">
        <v>11</v>
      </c>
      <c r="AM123" s="46" t="s">
        <v>12</v>
      </c>
      <c r="AN123" s="46" t="s">
        <v>13</v>
      </c>
      <c r="AO123" s="46" t="s">
        <v>14</v>
      </c>
      <c r="AP123" s="60" t="s">
        <v>15</v>
      </c>
    </row>
    <row r="124" spans="1:42" ht="21" customHeight="1" thickTop="1" thickBot="1" x14ac:dyDescent="0.35">
      <c r="A124" s="63"/>
      <c r="B124" s="66"/>
      <c r="C124" s="52">
        <v>1</v>
      </c>
      <c r="D124" s="44">
        <v>399.96999999999991</v>
      </c>
      <c r="E124" s="44"/>
      <c r="F124" s="44"/>
      <c r="G124" s="44"/>
      <c r="H124" s="44"/>
      <c r="I124" s="44"/>
      <c r="J124" s="51"/>
      <c r="K124" s="52">
        <v>1</v>
      </c>
      <c r="L124" s="44">
        <v>402.58999999999992</v>
      </c>
      <c r="M124" s="44"/>
      <c r="N124" s="44"/>
      <c r="O124" s="44"/>
      <c r="P124" s="44"/>
      <c r="Q124" s="44"/>
      <c r="R124" s="51"/>
      <c r="S124" s="52">
        <v>1</v>
      </c>
      <c r="T124" s="44">
        <v>402.08999999999992</v>
      </c>
      <c r="U124" s="44"/>
      <c r="V124" s="44"/>
      <c r="W124" s="44"/>
      <c r="X124" s="44"/>
      <c r="Y124" s="44"/>
      <c r="Z124" s="51"/>
      <c r="AA124" s="52">
        <v>1</v>
      </c>
      <c r="AB124" s="44">
        <v>403.21999999999991</v>
      </c>
      <c r="AC124" s="44"/>
      <c r="AD124" s="44"/>
      <c r="AE124" s="44"/>
      <c r="AF124" s="44"/>
      <c r="AG124" s="44"/>
      <c r="AH124" s="51"/>
      <c r="AI124" s="52">
        <v>1</v>
      </c>
      <c r="AJ124" s="44">
        <v>401.93999999999988</v>
      </c>
      <c r="AK124" s="44"/>
      <c r="AL124" s="44"/>
      <c r="AM124" s="44"/>
      <c r="AN124" s="44"/>
      <c r="AO124" s="44"/>
      <c r="AP124" s="51"/>
    </row>
    <row r="125" spans="1:42" ht="21" customHeight="1" thickTop="1" thickBot="1" x14ac:dyDescent="0.35">
      <c r="A125" s="63"/>
      <c r="B125" s="66"/>
      <c r="C125" s="53">
        <v>2</v>
      </c>
      <c r="D125" s="45">
        <v>400.82999999999993</v>
      </c>
      <c r="E125" s="45"/>
      <c r="F125" s="45"/>
      <c r="G125" s="45"/>
      <c r="H125" s="45"/>
      <c r="I125" s="45"/>
      <c r="J125" s="51"/>
      <c r="K125" s="53">
        <v>2</v>
      </c>
      <c r="L125" s="45">
        <v>400.30999999999989</v>
      </c>
      <c r="M125" s="45"/>
      <c r="N125" s="45"/>
      <c r="O125" s="45"/>
      <c r="P125" s="45"/>
      <c r="Q125" s="45"/>
      <c r="R125" s="51"/>
      <c r="S125" s="53">
        <v>2</v>
      </c>
      <c r="T125" s="45">
        <v>401.89999999999992</v>
      </c>
      <c r="U125" s="45"/>
      <c r="V125" s="45"/>
      <c r="W125" s="45"/>
      <c r="X125" s="45"/>
      <c r="Y125" s="45"/>
      <c r="Z125" s="51"/>
      <c r="AA125" s="53">
        <v>2</v>
      </c>
      <c r="AB125" s="45">
        <v>399.7299999999999</v>
      </c>
      <c r="AC125" s="45"/>
      <c r="AD125" s="45"/>
      <c r="AE125" s="45"/>
      <c r="AF125" s="45"/>
      <c r="AG125" s="45"/>
      <c r="AH125" s="51"/>
      <c r="AI125" s="53">
        <v>2</v>
      </c>
      <c r="AJ125" s="45">
        <v>401.5499999999999</v>
      </c>
      <c r="AK125" s="45"/>
      <c r="AL125" s="45"/>
      <c r="AM125" s="45"/>
      <c r="AN125" s="45"/>
      <c r="AO125" s="45"/>
      <c r="AP125" s="51"/>
    </row>
    <row r="126" spans="1:42" ht="21" customHeight="1" thickTop="1" thickBot="1" x14ac:dyDescent="0.35">
      <c r="A126" s="63"/>
      <c r="B126" s="66"/>
      <c r="C126" s="53">
        <v>3</v>
      </c>
      <c r="D126" s="45">
        <v>400.48999999999978</v>
      </c>
      <c r="E126" s="45"/>
      <c r="F126" s="45"/>
      <c r="G126" s="44"/>
      <c r="H126" s="44"/>
      <c r="I126" s="44"/>
      <c r="J126" s="51"/>
      <c r="K126" s="53">
        <v>3</v>
      </c>
      <c r="L126" s="45">
        <v>400.89999999999992</v>
      </c>
      <c r="M126" s="45"/>
      <c r="N126" s="45"/>
      <c r="O126" s="44"/>
      <c r="P126" s="44"/>
      <c r="Q126" s="44"/>
      <c r="R126" s="51"/>
      <c r="S126" s="53">
        <v>3</v>
      </c>
      <c r="T126" s="45">
        <v>400.04999999999978</v>
      </c>
      <c r="U126" s="45"/>
      <c r="V126" s="45"/>
      <c r="W126" s="44"/>
      <c r="X126" s="44"/>
      <c r="Y126" s="44"/>
      <c r="Z126" s="51"/>
      <c r="AA126" s="53">
        <v>3</v>
      </c>
      <c r="AB126" s="45">
        <v>401.51999999999992</v>
      </c>
      <c r="AC126" s="45"/>
      <c r="AD126" s="45"/>
      <c r="AE126" s="44"/>
      <c r="AF126" s="44"/>
      <c r="AG126" s="44"/>
      <c r="AH126" s="51"/>
      <c r="AI126" s="53">
        <v>3</v>
      </c>
      <c r="AJ126" s="45">
        <v>401.5499999999999</v>
      </c>
      <c r="AK126" s="45"/>
      <c r="AL126" s="45"/>
      <c r="AM126" s="44"/>
      <c r="AN126" s="44"/>
      <c r="AO126" s="44"/>
      <c r="AP126" s="51"/>
    </row>
    <row r="127" spans="1:42" ht="21" customHeight="1" thickTop="1" thickBot="1" x14ac:dyDescent="0.35">
      <c r="A127" s="63"/>
      <c r="B127" s="66"/>
      <c r="C127" s="53">
        <v>4</v>
      </c>
      <c r="D127" s="45">
        <v>401.00999999999988</v>
      </c>
      <c r="E127" s="45"/>
      <c r="F127" s="45"/>
      <c r="G127" s="45"/>
      <c r="H127" s="45"/>
      <c r="I127" s="45"/>
      <c r="J127" s="51"/>
      <c r="K127" s="53">
        <v>4</v>
      </c>
      <c r="L127" s="45">
        <v>401.09999999999991</v>
      </c>
      <c r="M127" s="45"/>
      <c r="N127" s="45"/>
      <c r="O127" s="45"/>
      <c r="P127" s="45"/>
      <c r="Q127" s="45"/>
      <c r="R127" s="51"/>
      <c r="S127" s="53">
        <v>4</v>
      </c>
      <c r="T127" s="45">
        <v>401.28999999999991</v>
      </c>
      <c r="U127" s="45"/>
      <c r="V127" s="45"/>
      <c r="W127" s="45"/>
      <c r="X127" s="45"/>
      <c r="Y127" s="45"/>
      <c r="Z127" s="51"/>
      <c r="AA127" s="53">
        <v>4</v>
      </c>
      <c r="AB127" s="45">
        <v>400.30999999999977</v>
      </c>
      <c r="AC127" s="45"/>
      <c r="AD127" s="45"/>
      <c r="AE127" s="45"/>
      <c r="AF127" s="45"/>
      <c r="AG127" s="45"/>
      <c r="AH127" s="51"/>
      <c r="AI127" s="53">
        <v>4</v>
      </c>
      <c r="AJ127" s="45">
        <v>400.54</v>
      </c>
      <c r="AK127" s="45"/>
      <c r="AL127" s="45"/>
      <c r="AM127" s="45"/>
      <c r="AN127" s="45"/>
      <c r="AO127" s="45"/>
      <c r="AP127" s="51"/>
    </row>
    <row r="128" spans="1:42" ht="21" customHeight="1" thickTop="1" thickBot="1" x14ac:dyDescent="0.35">
      <c r="A128" s="63"/>
      <c r="B128" s="66"/>
      <c r="C128" s="53">
        <v>5</v>
      </c>
      <c r="D128" s="45">
        <v>400.89999999999992</v>
      </c>
      <c r="E128" s="45"/>
      <c r="F128" s="45"/>
      <c r="G128" s="45"/>
      <c r="H128" s="45"/>
      <c r="I128" s="45"/>
      <c r="J128" s="51"/>
      <c r="K128" s="53">
        <v>5</v>
      </c>
      <c r="L128" s="45">
        <v>400.36999999999989</v>
      </c>
      <c r="M128" s="45"/>
      <c r="N128" s="45"/>
      <c r="O128" s="45"/>
      <c r="P128" s="45"/>
      <c r="Q128" s="45"/>
      <c r="R128" s="51"/>
      <c r="S128" s="53">
        <v>5</v>
      </c>
      <c r="T128" s="45">
        <v>401.6699999999999</v>
      </c>
      <c r="U128" s="45"/>
      <c r="V128" s="45"/>
      <c r="W128" s="45"/>
      <c r="X128" s="45"/>
      <c r="Y128" s="45"/>
      <c r="Z128" s="51"/>
      <c r="AA128" s="53">
        <v>5</v>
      </c>
      <c r="AB128" s="45">
        <v>399.92999999999978</v>
      </c>
      <c r="AC128" s="45"/>
      <c r="AD128" s="45"/>
      <c r="AE128" s="45"/>
      <c r="AF128" s="45"/>
      <c r="AG128" s="45"/>
      <c r="AH128" s="51"/>
      <c r="AI128" s="53">
        <v>5</v>
      </c>
      <c r="AJ128" s="45">
        <v>401.86</v>
      </c>
      <c r="AK128" s="45"/>
      <c r="AL128" s="45"/>
      <c r="AM128" s="45"/>
      <c r="AN128" s="45"/>
      <c r="AO128" s="45"/>
      <c r="AP128" s="51"/>
    </row>
    <row r="129" spans="1:42" ht="21" customHeight="1" thickTop="1" thickBot="1" x14ac:dyDescent="0.35">
      <c r="A129" s="63"/>
      <c r="B129" s="66"/>
      <c r="C129" s="53">
        <v>6</v>
      </c>
      <c r="D129" s="45">
        <v>400.9</v>
      </c>
      <c r="E129" s="45"/>
      <c r="F129" s="45"/>
      <c r="G129" s="45"/>
      <c r="H129" s="45"/>
      <c r="I129" s="45"/>
      <c r="J129" s="51"/>
      <c r="K129" s="53">
        <v>6</v>
      </c>
      <c r="L129" s="45">
        <v>400.77999999999992</v>
      </c>
      <c r="M129" s="45"/>
      <c r="N129" s="45"/>
      <c r="O129" s="45"/>
      <c r="P129" s="45"/>
      <c r="Q129" s="45"/>
      <c r="R129" s="51"/>
      <c r="S129" s="53">
        <v>6</v>
      </c>
      <c r="T129" s="45">
        <v>401.26999999999992</v>
      </c>
      <c r="U129" s="45"/>
      <c r="V129" s="45"/>
      <c r="W129" s="45"/>
      <c r="X129" s="45"/>
      <c r="Y129" s="45"/>
      <c r="Z129" s="51"/>
      <c r="AA129" s="53">
        <v>6</v>
      </c>
      <c r="AB129" s="45">
        <v>400.05999999999989</v>
      </c>
      <c r="AC129" s="45"/>
      <c r="AD129" s="45"/>
      <c r="AE129" s="45"/>
      <c r="AF129" s="45"/>
      <c r="AG129" s="45"/>
      <c r="AH129" s="51"/>
      <c r="AI129" s="53">
        <v>6</v>
      </c>
      <c r="AJ129" s="45">
        <v>401.5499999999999</v>
      </c>
      <c r="AK129" s="45"/>
      <c r="AL129" s="45"/>
      <c r="AM129" s="45"/>
      <c r="AN129" s="45"/>
      <c r="AO129" s="45"/>
      <c r="AP129" s="51"/>
    </row>
    <row r="130" spans="1:42" ht="21" customHeight="1" thickTop="1" thickBot="1" x14ac:dyDescent="0.35">
      <c r="A130" s="63"/>
      <c r="B130" s="66"/>
      <c r="C130" s="53">
        <v>7</v>
      </c>
      <c r="D130" s="45">
        <v>399.46999999999991</v>
      </c>
      <c r="E130" s="45"/>
      <c r="F130" s="45"/>
      <c r="G130" s="45"/>
      <c r="H130" s="45"/>
      <c r="I130" s="45"/>
      <c r="J130" s="51"/>
      <c r="K130" s="53">
        <v>7</v>
      </c>
      <c r="L130" s="45">
        <v>400.50999999999988</v>
      </c>
      <c r="M130" s="45"/>
      <c r="N130" s="45"/>
      <c r="O130" s="45"/>
      <c r="P130" s="45"/>
      <c r="Q130" s="45"/>
      <c r="R130" s="51"/>
      <c r="S130" s="53">
        <v>7</v>
      </c>
      <c r="T130" s="45">
        <v>401.3599999999999</v>
      </c>
      <c r="U130" s="45"/>
      <c r="V130" s="45"/>
      <c r="W130" s="45"/>
      <c r="X130" s="45"/>
      <c r="Y130" s="45"/>
      <c r="Z130" s="51"/>
      <c r="AA130" s="53">
        <v>7</v>
      </c>
      <c r="AB130" s="45">
        <v>402.25999999999988</v>
      </c>
      <c r="AC130" s="45"/>
      <c r="AD130" s="45"/>
      <c r="AE130" s="45"/>
      <c r="AF130" s="45"/>
      <c r="AG130" s="45"/>
      <c r="AH130" s="51"/>
      <c r="AI130" s="53">
        <v>7</v>
      </c>
      <c r="AJ130" s="45">
        <v>401.77999999999992</v>
      </c>
      <c r="AK130" s="45"/>
      <c r="AL130" s="45"/>
      <c r="AM130" s="45"/>
      <c r="AN130" s="45"/>
      <c r="AO130" s="45"/>
      <c r="AP130" s="51"/>
    </row>
    <row r="131" spans="1:42" ht="21" customHeight="1" thickTop="1" thickBot="1" x14ac:dyDescent="0.35">
      <c r="A131" s="63"/>
      <c r="B131" s="66"/>
      <c r="C131" s="53">
        <v>8</v>
      </c>
      <c r="D131" s="45">
        <v>400.2399999999999</v>
      </c>
      <c r="E131" s="45"/>
      <c r="F131" s="45"/>
      <c r="G131" s="45"/>
      <c r="H131" s="45"/>
      <c r="I131" s="45"/>
      <c r="J131" s="51"/>
      <c r="K131" s="53">
        <v>8</v>
      </c>
      <c r="L131" s="45">
        <v>401.36999999999989</v>
      </c>
      <c r="M131" s="45"/>
      <c r="N131" s="45"/>
      <c r="O131" s="45"/>
      <c r="P131" s="45"/>
      <c r="Q131" s="45"/>
      <c r="R131" s="51"/>
      <c r="S131" s="53">
        <v>8</v>
      </c>
      <c r="T131" s="45">
        <v>403.03999999999979</v>
      </c>
      <c r="U131" s="45"/>
      <c r="V131" s="45"/>
      <c r="W131" s="45"/>
      <c r="X131" s="45"/>
      <c r="Y131" s="45"/>
      <c r="Z131" s="51"/>
      <c r="AA131" s="53">
        <v>8</v>
      </c>
      <c r="AB131" s="45">
        <v>400.62999999999988</v>
      </c>
      <c r="AC131" s="45"/>
      <c r="AD131" s="45"/>
      <c r="AE131" s="45"/>
      <c r="AF131" s="45"/>
      <c r="AG131" s="45"/>
      <c r="AH131" s="51"/>
      <c r="AI131" s="53">
        <v>8</v>
      </c>
      <c r="AJ131" s="45">
        <v>401.14999999999992</v>
      </c>
      <c r="AK131" s="45"/>
      <c r="AL131" s="45"/>
      <c r="AM131" s="45"/>
      <c r="AN131" s="45"/>
      <c r="AO131" s="45"/>
      <c r="AP131" s="51"/>
    </row>
    <row r="132" spans="1:42" ht="21" customHeight="1" thickTop="1" thickBot="1" x14ac:dyDescent="0.35">
      <c r="A132" s="63"/>
      <c r="B132" s="66"/>
      <c r="C132" s="53">
        <v>9</v>
      </c>
      <c r="D132" s="45">
        <v>400.2399999999999</v>
      </c>
      <c r="E132" s="45"/>
      <c r="F132" s="45"/>
      <c r="G132" s="45"/>
      <c r="H132" s="45"/>
      <c r="I132" s="45"/>
      <c r="J132" s="51"/>
      <c r="K132" s="53">
        <v>9</v>
      </c>
      <c r="L132" s="45">
        <v>400.46999999999991</v>
      </c>
      <c r="M132" s="45"/>
      <c r="N132" s="45"/>
      <c r="O132" s="45"/>
      <c r="P132" s="45"/>
      <c r="Q132" s="45"/>
      <c r="R132" s="51"/>
      <c r="S132" s="53">
        <v>9</v>
      </c>
      <c r="T132" s="45">
        <v>402.7999999999999</v>
      </c>
      <c r="U132" s="45"/>
      <c r="V132" s="45"/>
      <c r="W132" s="45"/>
      <c r="X132" s="45"/>
      <c r="Y132" s="45"/>
      <c r="Z132" s="51"/>
      <c r="AA132" s="53">
        <v>9</v>
      </c>
      <c r="AB132" s="45">
        <v>400.17999999999989</v>
      </c>
      <c r="AC132" s="45"/>
      <c r="AD132" s="45"/>
      <c r="AE132" s="45"/>
      <c r="AF132" s="45"/>
      <c r="AG132" s="45"/>
      <c r="AH132" s="51"/>
      <c r="AI132" s="53">
        <v>9</v>
      </c>
      <c r="AJ132" s="45">
        <v>401.6699999999999</v>
      </c>
      <c r="AK132" s="45"/>
      <c r="AL132" s="45"/>
      <c r="AM132" s="45"/>
      <c r="AN132" s="45"/>
      <c r="AO132" s="45"/>
      <c r="AP132" s="51"/>
    </row>
    <row r="133" spans="1:42" ht="21" customHeight="1" thickTop="1" thickBot="1" x14ac:dyDescent="0.35">
      <c r="A133" s="63"/>
      <c r="B133" s="66"/>
      <c r="C133" s="53">
        <v>10</v>
      </c>
      <c r="D133" s="45">
        <v>400.37999999999988</v>
      </c>
      <c r="E133" s="45"/>
      <c r="F133" s="45"/>
      <c r="G133" s="45"/>
      <c r="H133" s="45"/>
      <c r="I133" s="45"/>
      <c r="J133" s="51"/>
      <c r="K133" s="53">
        <v>10</v>
      </c>
      <c r="L133" s="45">
        <v>400.58999999999992</v>
      </c>
      <c r="M133" s="45"/>
      <c r="N133" s="45"/>
      <c r="O133" s="45"/>
      <c r="P133" s="45"/>
      <c r="Q133" s="45"/>
      <c r="R133" s="51"/>
      <c r="S133" s="53">
        <v>10</v>
      </c>
      <c r="T133" s="45">
        <v>400.50999999999982</v>
      </c>
      <c r="U133" s="45"/>
      <c r="V133" s="45"/>
      <c r="W133" s="45"/>
      <c r="X133" s="45"/>
      <c r="Y133" s="45"/>
      <c r="Z133" s="51"/>
      <c r="AA133" s="53">
        <v>10</v>
      </c>
      <c r="AB133" s="45">
        <v>401.13999999999987</v>
      </c>
      <c r="AC133" s="45"/>
      <c r="AD133" s="45"/>
      <c r="AE133" s="45"/>
      <c r="AF133" s="45"/>
      <c r="AG133" s="45"/>
      <c r="AH133" s="51"/>
      <c r="AI133" s="53">
        <v>10</v>
      </c>
      <c r="AJ133" s="45">
        <v>401.21</v>
      </c>
      <c r="AK133" s="45"/>
      <c r="AL133" s="45"/>
      <c r="AM133" s="45"/>
      <c r="AN133" s="45"/>
      <c r="AO133" s="45"/>
      <c r="AP133" s="51"/>
    </row>
    <row r="134" spans="1:42" ht="21" customHeight="1" thickTop="1" thickBot="1" x14ac:dyDescent="0.35">
      <c r="A134" s="63"/>
      <c r="B134" s="66"/>
      <c r="C134" s="53"/>
      <c r="D134" s="45"/>
      <c r="E134" s="45"/>
      <c r="F134" s="45"/>
      <c r="G134" s="45"/>
      <c r="H134" s="45"/>
      <c r="I134" s="45"/>
      <c r="J134" s="51"/>
      <c r="K134" s="53"/>
      <c r="L134" s="45"/>
      <c r="M134" s="45"/>
      <c r="N134" s="45"/>
      <c r="O134" s="45"/>
      <c r="P134" s="45"/>
      <c r="Q134" s="45"/>
      <c r="R134" s="51"/>
      <c r="S134" s="53"/>
      <c r="T134" s="45"/>
      <c r="U134" s="45"/>
      <c r="V134" s="45"/>
      <c r="W134" s="45"/>
      <c r="X134" s="45"/>
      <c r="Y134" s="45"/>
      <c r="Z134" s="51"/>
      <c r="AA134" s="53"/>
      <c r="AB134" s="45"/>
      <c r="AC134" s="45"/>
      <c r="AD134" s="45"/>
      <c r="AE134" s="45"/>
      <c r="AF134" s="45"/>
      <c r="AG134" s="45"/>
      <c r="AH134" s="51"/>
      <c r="AI134" s="53"/>
      <c r="AJ134" s="45"/>
      <c r="AK134" s="45"/>
      <c r="AL134" s="45"/>
      <c r="AM134" s="45"/>
      <c r="AN134" s="45"/>
      <c r="AO134" s="45"/>
      <c r="AP134" s="51"/>
    </row>
    <row r="135" spans="1:42" ht="21" customHeight="1" thickTop="1" thickBot="1" x14ac:dyDescent="0.35">
      <c r="A135" s="63"/>
      <c r="B135" s="66"/>
      <c r="C135" s="54" t="s">
        <v>16</v>
      </c>
      <c r="D135" s="49">
        <f>MIN(D124:D133)</f>
        <v>399.46999999999991</v>
      </c>
      <c r="E135" s="45"/>
      <c r="F135" s="55" t="s">
        <v>17</v>
      </c>
      <c r="G135" s="49" t="s">
        <v>18</v>
      </c>
      <c r="H135" s="49" t="s">
        <v>19</v>
      </c>
      <c r="I135" s="45"/>
      <c r="J135" s="51"/>
      <c r="K135" s="54" t="s">
        <v>16</v>
      </c>
      <c r="L135" s="49">
        <f>MIN(L124:L133)</f>
        <v>400.30999999999989</v>
      </c>
      <c r="M135" s="45"/>
      <c r="N135" s="55" t="s">
        <v>17</v>
      </c>
      <c r="O135" s="49" t="s">
        <v>18</v>
      </c>
      <c r="P135" s="49" t="s">
        <v>19</v>
      </c>
      <c r="Q135" s="45"/>
      <c r="R135" s="51"/>
      <c r="S135" s="54" t="s">
        <v>16</v>
      </c>
      <c r="T135" s="49">
        <f>MIN(T124:T133)</f>
        <v>400.04999999999978</v>
      </c>
      <c r="U135" s="45"/>
      <c r="V135" s="55" t="s">
        <v>17</v>
      </c>
      <c r="W135" s="49" t="s">
        <v>18</v>
      </c>
      <c r="X135" s="49" t="s">
        <v>19</v>
      </c>
      <c r="Y135" s="45"/>
      <c r="Z135" s="51"/>
      <c r="AA135" s="54" t="s">
        <v>16</v>
      </c>
      <c r="AB135" s="49">
        <f>MIN(AB124:AB133)</f>
        <v>399.7299999999999</v>
      </c>
      <c r="AC135" s="45"/>
      <c r="AD135" s="55" t="s">
        <v>17</v>
      </c>
      <c r="AE135" s="49" t="s">
        <v>18</v>
      </c>
      <c r="AF135" s="49" t="s">
        <v>19</v>
      </c>
      <c r="AG135" s="45"/>
      <c r="AH135" s="51"/>
      <c r="AI135" s="54" t="s">
        <v>16</v>
      </c>
      <c r="AJ135" s="49">
        <f>MIN(AJ124:AJ133)</f>
        <v>400.54</v>
      </c>
      <c r="AK135" s="45"/>
      <c r="AL135" s="55" t="s">
        <v>17</v>
      </c>
      <c r="AM135" s="49" t="s">
        <v>18</v>
      </c>
      <c r="AN135" s="49" t="s">
        <v>19</v>
      </c>
      <c r="AO135" s="45"/>
      <c r="AP135" s="51"/>
    </row>
    <row r="136" spans="1:42" ht="21" customHeight="1" thickTop="1" thickBot="1" x14ac:dyDescent="0.35">
      <c r="A136" s="63"/>
      <c r="B136" s="66"/>
      <c r="C136" s="54" t="s">
        <v>20</v>
      </c>
      <c r="D136" s="48">
        <f>AVERAGE(D124:D133)</f>
        <v>400.44299999999987</v>
      </c>
      <c r="E136" s="47"/>
      <c r="F136" s="48">
        <f>_xlfn.STDEV.S(D124:D133) / AVERAGE(D124:D133) * 100%</f>
        <v>1.2199897683313917E-3</v>
      </c>
      <c r="G136" s="48">
        <f t="array" ref="G136">MIN((D124:D133 - MIN(D124:D133,L124:L133,T124:T133,AB124:AB133,AJ124:AJ133))/MIN(D124:D133,L124:L133,T124:T133,AB124:AB133,AJ124:AJ133)*100%)</f>
        <v>0</v>
      </c>
      <c r="H136" s="48">
        <f t="array" ref="H136">AVERAGE((D124:D133 - MIN(D124:D133,L124:L133,T124:T133,AB124:AB133,AJ124:AJ133))/MIN(D124:D133,L124:L133,T124:T133,AB124:AB133,AJ124:AJ133)*100%)</f>
        <v>2.4357273387237712E-3</v>
      </c>
      <c r="I136" s="45"/>
      <c r="J136" s="51"/>
      <c r="K136" s="54" t="s">
        <v>20</v>
      </c>
      <c r="L136" s="48">
        <f>AVERAGE(L124:L133)</f>
        <v>400.89899999999989</v>
      </c>
      <c r="M136" s="47"/>
      <c r="N136" s="48">
        <f>_xlfn.STDEV.S(L124:L133) / AVERAGE(L124:L133) * 100%</f>
        <v>1.7026742894413899E-3</v>
      </c>
      <c r="O136" s="48">
        <f t="array" ref="O136">MIN((L124:L133 - MIN(D124:D133,L124:L133,T124:T133,AB124:AB133,AJ124:AJ133))/MIN(D124:D133,L124:L133,T124:T133,AB124:AB133,AJ124:AJ133)*100%)</f>
        <v>2.1027861917039458E-3</v>
      </c>
      <c r="P136" s="48">
        <f t="array" ref="P136">AVERAGE((L124:L133 - MIN(D124:D133,L124:L133,T124:T133,AB124:AB133,AJ124:AJ133))/MIN(D124:D133,L124:L133,T124:T133,AB124:AB133,AJ124:AJ133)*100%)</f>
        <v>3.577239842791677E-3</v>
      </c>
      <c r="Q136" s="44"/>
      <c r="R136" s="51"/>
      <c r="S136" s="54" t="s">
        <v>20</v>
      </c>
      <c r="T136" s="48">
        <f>AVERAGE(T124:T133)</f>
        <v>401.59799999999984</v>
      </c>
      <c r="U136" s="47"/>
      <c r="V136" s="48">
        <f>_xlfn.STDEV.S(T124:T133) / AVERAGE(T124:T133) * 100%</f>
        <v>2.3034680592446425E-3</v>
      </c>
      <c r="W136" s="48">
        <f t="array" ref="W136">MIN((T124:T133 - MIN(D124:D133,L124:L133,T124:T133,AB124:AB133,AJ124:AJ133))/MIN(D124:D133,L124:L133,T124:T133,AB124:AB133,AJ124:AJ133)*100%)</f>
        <v>1.4519237990333956E-3</v>
      </c>
      <c r="X136" s="48">
        <f t="array" ref="X136">AVERAGE((T124:T133 - MIN(D124:D133,L124:L133,T124:T133,AB124:AB133,AJ124:AJ133))/MIN(D124:D133,L124:L133,T124:T133,AB124:AB133,AJ124:AJ133)*100%)</f>
        <v>5.3270583523167287E-3</v>
      </c>
      <c r="Y136" s="44"/>
      <c r="Z136" s="51"/>
      <c r="AA136" s="54" t="s">
        <v>20</v>
      </c>
      <c r="AB136" s="48">
        <f>AVERAGE(AB124:AB133)</f>
        <v>400.89799999999985</v>
      </c>
      <c r="AC136" s="47"/>
      <c r="AD136" s="48">
        <f>_xlfn.STDEV.S(AB124:AB133) / AVERAGE(AB124:AB133) * 100%</f>
        <v>2.8353818783667735E-3</v>
      </c>
      <c r="AE136" s="48">
        <f t="array" ref="AE136">MIN((AB124:AB133 - MIN(D124:D133,L124:L133,T124:T133,AB124:AB133,AJ124:AJ133))/MIN(D124:D133,L124:L133,T124:T133,AB124:AB133,AJ124:AJ133)*100%)</f>
        <v>6.5086239267026554E-4</v>
      </c>
      <c r="AF136" s="48">
        <f t="array" ref="AF136">AVERAGE((AB124:AB133 - MIN(D124:D133,L124:L133,T124:T133,AB124:AB133,AJ124:AJ133))/MIN(D124:D133,L124:L133,T124:T133,AB124:AB133,AJ124:AJ133)*100%)</f>
        <v>3.5747365258967079E-3</v>
      </c>
      <c r="AG136" s="44"/>
      <c r="AH136" s="51"/>
      <c r="AI136" s="54" t="s">
        <v>20</v>
      </c>
      <c r="AJ136" s="48">
        <f>AVERAGE(AJ124:AJ133)</f>
        <v>401.4799999999999</v>
      </c>
      <c r="AK136" s="47"/>
      <c r="AL136" s="48">
        <f>_xlfn.STDEV.S(AJ124:AJ133) / AVERAGE(AJ124:AJ133) * 100%</f>
        <v>1.0377270717008458E-3</v>
      </c>
      <c r="AM136" s="48">
        <f t="array" ref="AM136">MIN((AJ124:AJ133 - MIN(D124:D133,L124:L133,T124:T133,AB124:AB133,AJ124:AJ133))/MIN(D124:D133,L124:L133,T124:T133,AB124:AB133,AJ124:AJ133)*100%)</f>
        <v>2.6785490775279924E-3</v>
      </c>
      <c r="AN136" s="48">
        <f t="array" ref="AN136">AVERAGE((AJ124:AJ133 - MIN(D124:D133,L124:L133,T124:T133,AB124:AB133,AJ124:AJ133))/MIN(D124:D133,L124:L133,T124:T133,AB124:AB133,AJ124:AJ133)*100%)</f>
        <v>5.0316669587203537E-3</v>
      </c>
      <c r="AO136" s="44"/>
      <c r="AP136" s="51"/>
    </row>
    <row r="137" spans="1:42" ht="21" customHeight="1" thickTop="1" thickBot="1" x14ac:dyDescent="0.35">
      <c r="A137" s="63"/>
      <c r="B137" s="67"/>
      <c r="C137" s="53"/>
      <c r="D137" s="44"/>
      <c r="E137" s="44"/>
      <c r="F137" s="44"/>
      <c r="G137" s="44"/>
      <c r="H137" s="44"/>
      <c r="I137" s="44"/>
      <c r="J137" s="51"/>
      <c r="K137" s="53"/>
      <c r="L137" s="44"/>
      <c r="M137" s="44"/>
      <c r="N137" s="44"/>
      <c r="O137" s="44"/>
      <c r="P137" s="44"/>
      <c r="Q137" s="44"/>
      <c r="R137" s="51"/>
      <c r="S137" s="53"/>
      <c r="T137" s="44"/>
      <c r="U137" s="44"/>
      <c r="V137" s="44"/>
      <c r="W137" s="44"/>
      <c r="X137" s="44"/>
      <c r="Y137" s="44"/>
      <c r="Z137" s="51"/>
      <c r="AA137" s="53"/>
      <c r="AB137" s="44"/>
      <c r="AC137" s="44"/>
      <c r="AD137" s="44"/>
      <c r="AE137" s="44"/>
      <c r="AF137" s="44"/>
      <c r="AG137" s="44"/>
      <c r="AH137" s="51"/>
      <c r="AI137" s="53"/>
      <c r="AJ137" s="44"/>
      <c r="AK137" s="44"/>
      <c r="AL137" s="44"/>
      <c r="AM137" s="44"/>
      <c r="AN137" s="44"/>
      <c r="AO137" s="44"/>
      <c r="AP137" s="51"/>
    </row>
    <row r="138" spans="1:42" ht="21" customHeight="1" thickTop="1" thickBot="1" x14ac:dyDescent="0.35">
      <c r="A138" s="63"/>
      <c r="B138" s="65" t="s">
        <v>115</v>
      </c>
      <c r="C138" s="59" t="s">
        <v>8</v>
      </c>
      <c r="D138" s="46" t="s">
        <v>9</v>
      </c>
      <c r="E138" s="46" t="s">
        <v>10</v>
      </c>
      <c r="F138" s="46" t="s">
        <v>11</v>
      </c>
      <c r="G138" s="46" t="s">
        <v>12</v>
      </c>
      <c r="H138" s="46" t="s">
        <v>13</v>
      </c>
      <c r="I138" s="46" t="s">
        <v>14</v>
      </c>
      <c r="J138" s="60" t="s">
        <v>15</v>
      </c>
      <c r="K138" s="59" t="s">
        <v>8</v>
      </c>
      <c r="L138" s="46" t="s">
        <v>9</v>
      </c>
      <c r="M138" s="46" t="s">
        <v>10</v>
      </c>
      <c r="N138" s="46" t="s">
        <v>11</v>
      </c>
      <c r="O138" s="46" t="s">
        <v>12</v>
      </c>
      <c r="P138" s="46" t="s">
        <v>13</v>
      </c>
      <c r="Q138" s="46" t="s">
        <v>14</v>
      </c>
      <c r="R138" s="60" t="s">
        <v>15</v>
      </c>
      <c r="S138" s="59" t="s">
        <v>8</v>
      </c>
      <c r="T138" s="46" t="s">
        <v>9</v>
      </c>
      <c r="U138" s="46" t="s">
        <v>10</v>
      </c>
      <c r="V138" s="46" t="s">
        <v>11</v>
      </c>
      <c r="W138" s="46" t="s">
        <v>12</v>
      </c>
      <c r="X138" s="46" t="s">
        <v>13</v>
      </c>
      <c r="Y138" s="46" t="s">
        <v>14</v>
      </c>
      <c r="Z138" s="60" t="s">
        <v>15</v>
      </c>
      <c r="AA138" s="59" t="s">
        <v>8</v>
      </c>
      <c r="AB138" s="46" t="s">
        <v>9</v>
      </c>
      <c r="AC138" s="46" t="s">
        <v>10</v>
      </c>
      <c r="AD138" s="46" t="s">
        <v>11</v>
      </c>
      <c r="AE138" s="46" t="s">
        <v>12</v>
      </c>
      <c r="AF138" s="46" t="s">
        <v>13</v>
      </c>
      <c r="AG138" s="46" t="s">
        <v>14</v>
      </c>
      <c r="AH138" s="60" t="s">
        <v>15</v>
      </c>
      <c r="AI138" s="59" t="s">
        <v>8</v>
      </c>
      <c r="AJ138" s="46" t="s">
        <v>9</v>
      </c>
      <c r="AK138" s="46" t="s">
        <v>10</v>
      </c>
      <c r="AL138" s="46" t="s">
        <v>11</v>
      </c>
      <c r="AM138" s="46" t="s">
        <v>12</v>
      </c>
      <c r="AN138" s="46" t="s">
        <v>13</v>
      </c>
      <c r="AO138" s="46" t="s">
        <v>14</v>
      </c>
      <c r="AP138" s="60" t="s">
        <v>15</v>
      </c>
    </row>
    <row r="139" spans="1:42" ht="21" customHeight="1" thickTop="1" thickBot="1" x14ac:dyDescent="0.35">
      <c r="A139" s="63"/>
      <c r="B139" s="66"/>
      <c r="C139" s="52">
        <v>1</v>
      </c>
      <c r="D139" s="44">
        <v>448.61999999999978</v>
      </c>
      <c r="E139" s="44"/>
      <c r="F139" s="44"/>
      <c r="G139" s="44"/>
      <c r="H139" s="44"/>
      <c r="I139" s="44"/>
      <c r="J139" s="51"/>
      <c r="K139" s="52">
        <v>1</v>
      </c>
      <c r="L139" s="44">
        <v>448.87999999999982</v>
      </c>
      <c r="M139" s="44"/>
      <c r="N139" s="44"/>
      <c r="O139" s="44"/>
      <c r="P139" s="44"/>
      <c r="Q139" s="44"/>
      <c r="R139" s="51"/>
      <c r="S139" s="52">
        <v>1</v>
      </c>
      <c r="T139" s="44">
        <v>450.40999999999991</v>
      </c>
      <c r="U139" s="44"/>
      <c r="V139" s="44"/>
      <c r="W139" s="44"/>
      <c r="X139" s="44"/>
      <c r="Y139" s="44"/>
      <c r="Z139" s="51"/>
      <c r="AA139" s="52">
        <v>1</v>
      </c>
      <c r="AB139" s="44">
        <v>450.19999999999982</v>
      </c>
      <c r="AC139" s="44"/>
      <c r="AD139" s="44"/>
      <c r="AE139" s="44"/>
      <c r="AF139" s="44"/>
      <c r="AG139" s="44"/>
      <c r="AH139" s="51"/>
      <c r="AI139" s="52">
        <v>1</v>
      </c>
      <c r="AJ139" s="44">
        <v>449.40999999999991</v>
      </c>
      <c r="AK139" s="44"/>
      <c r="AL139" s="44"/>
      <c r="AM139" s="44"/>
      <c r="AN139" s="44"/>
      <c r="AO139" s="44"/>
      <c r="AP139" s="51"/>
    </row>
    <row r="140" spans="1:42" ht="21" customHeight="1" thickTop="1" thickBot="1" x14ac:dyDescent="0.35">
      <c r="A140" s="63"/>
      <c r="B140" s="66"/>
      <c r="C140" s="53">
        <v>2</v>
      </c>
      <c r="D140" s="45">
        <v>448.38999999999982</v>
      </c>
      <c r="E140" s="45"/>
      <c r="F140" s="45"/>
      <c r="G140" s="45"/>
      <c r="H140" s="45"/>
      <c r="I140" s="45"/>
      <c r="J140" s="51"/>
      <c r="K140" s="53">
        <v>2</v>
      </c>
      <c r="L140" s="45">
        <v>448.61999999999978</v>
      </c>
      <c r="M140" s="45"/>
      <c r="N140" s="45"/>
      <c r="O140" s="45"/>
      <c r="P140" s="45"/>
      <c r="Q140" s="45"/>
      <c r="R140" s="51"/>
      <c r="S140" s="53">
        <v>2</v>
      </c>
      <c r="T140" s="45">
        <v>450.62999999999988</v>
      </c>
      <c r="U140" s="45"/>
      <c r="V140" s="45"/>
      <c r="W140" s="45"/>
      <c r="X140" s="45"/>
      <c r="Y140" s="45"/>
      <c r="Z140" s="51"/>
      <c r="AA140" s="53">
        <v>2</v>
      </c>
      <c r="AB140" s="45">
        <v>448.62999999999982</v>
      </c>
      <c r="AC140" s="45"/>
      <c r="AD140" s="45"/>
      <c r="AE140" s="45"/>
      <c r="AF140" s="45"/>
      <c r="AG140" s="45"/>
      <c r="AH140" s="51"/>
      <c r="AI140" s="53">
        <v>2</v>
      </c>
      <c r="AJ140" s="45">
        <v>449.85999999999979</v>
      </c>
      <c r="AK140" s="45"/>
      <c r="AL140" s="45"/>
      <c r="AM140" s="45"/>
      <c r="AN140" s="45"/>
      <c r="AO140" s="45"/>
      <c r="AP140" s="51"/>
    </row>
    <row r="141" spans="1:42" ht="21" customHeight="1" thickTop="1" thickBot="1" x14ac:dyDescent="0.35">
      <c r="A141" s="63"/>
      <c r="B141" s="66"/>
      <c r="C141" s="53">
        <v>3</v>
      </c>
      <c r="D141" s="45">
        <v>448.87999999999988</v>
      </c>
      <c r="E141" s="45"/>
      <c r="F141" s="45"/>
      <c r="G141" s="44"/>
      <c r="H141" s="44"/>
      <c r="I141" s="44"/>
      <c r="J141" s="51"/>
      <c r="K141" s="53">
        <v>3</v>
      </c>
      <c r="L141" s="45">
        <v>449.47999999999979</v>
      </c>
      <c r="M141" s="45"/>
      <c r="N141" s="45"/>
      <c r="O141" s="44"/>
      <c r="P141" s="44"/>
      <c r="Q141" s="44"/>
      <c r="R141" s="51"/>
      <c r="S141" s="53">
        <v>3</v>
      </c>
      <c r="T141" s="45">
        <v>448.99999999999989</v>
      </c>
      <c r="U141" s="45"/>
      <c r="V141" s="45"/>
      <c r="W141" s="44"/>
      <c r="X141" s="44"/>
      <c r="Y141" s="44"/>
      <c r="Z141" s="51"/>
      <c r="AA141" s="53">
        <v>3</v>
      </c>
      <c r="AB141" s="45">
        <v>449.0999999999998</v>
      </c>
      <c r="AC141" s="45"/>
      <c r="AD141" s="45"/>
      <c r="AE141" s="44"/>
      <c r="AF141" s="44"/>
      <c r="AG141" s="44"/>
      <c r="AH141" s="51"/>
      <c r="AI141" s="53">
        <v>3</v>
      </c>
      <c r="AJ141" s="45">
        <v>448.67999999999978</v>
      </c>
      <c r="AK141" s="45"/>
      <c r="AL141" s="45"/>
      <c r="AM141" s="44"/>
      <c r="AN141" s="44"/>
      <c r="AO141" s="44"/>
      <c r="AP141" s="51"/>
    </row>
    <row r="142" spans="1:42" ht="21" customHeight="1" thickTop="1" thickBot="1" x14ac:dyDescent="0.35">
      <c r="A142" s="63"/>
      <c r="B142" s="66"/>
      <c r="C142" s="53">
        <v>4</v>
      </c>
      <c r="D142" s="45">
        <v>448.87999999999982</v>
      </c>
      <c r="E142" s="45"/>
      <c r="F142" s="45"/>
      <c r="G142" s="45"/>
      <c r="H142" s="45"/>
      <c r="I142" s="45"/>
      <c r="J142" s="51"/>
      <c r="K142" s="53">
        <v>4</v>
      </c>
      <c r="L142" s="45">
        <v>449.25999999999988</v>
      </c>
      <c r="M142" s="45"/>
      <c r="N142" s="45"/>
      <c r="O142" s="45"/>
      <c r="P142" s="45"/>
      <c r="Q142" s="45"/>
      <c r="R142" s="51"/>
      <c r="S142" s="53">
        <v>4</v>
      </c>
      <c r="T142" s="45">
        <v>448.90999999999991</v>
      </c>
      <c r="U142" s="45"/>
      <c r="V142" s="45"/>
      <c r="W142" s="45"/>
      <c r="X142" s="45"/>
      <c r="Y142" s="45"/>
      <c r="Z142" s="51"/>
      <c r="AA142" s="53">
        <v>4</v>
      </c>
      <c r="AB142" s="45">
        <v>450.09999999999991</v>
      </c>
      <c r="AC142" s="45"/>
      <c r="AD142" s="45"/>
      <c r="AE142" s="45"/>
      <c r="AF142" s="45"/>
      <c r="AG142" s="45"/>
      <c r="AH142" s="51"/>
      <c r="AI142" s="53">
        <v>4</v>
      </c>
      <c r="AJ142" s="45">
        <v>449.47999999999979</v>
      </c>
      <c r="AK142" s="45"/>
      <c r="AL142" s="45"/>
      <c r="AM142" s="45"/>
      <c r="AN142" s="45"/>
      <c r="AO142" s="45"/>
      <c r="AP142" s="51"/>
    </row>
    <row r="143" spans="1:42" ht="21" customHeight="1" thickTop="1" thickBot="1" x14ac:dyDescent="0.35">
      <c r="A143" s="63"/>
      <c r="B143" s="66"/>
      <c r="C143" s="53">
        <v>5</v>
      </c>
      <c r="D143" s="45">
        <v>449.25999999999982</v>
      </c>
      <c r="E143" s="45"/>
      <c r="F143" s="45"/>
      <c r="G143" s="45"/>
      <c r="H143" s="45"/>
      <c r="I143" s="45"/>
      <c r="J143" s="51"/>
      <c r="K143" s="53">
        <v>5</v>
      </c>
      <c r="L143" s="45">
        <v>448.95999999999981</v>
      </c>
      <c r="M143" s="45"/>
      <c r="N143" s="45"/>
      <c r="O143" s="45"/>
      <c r="P143" s="45"/>
      <c r="Q143" s="45"/>
      <c r="R143" s="51"/>
      <c r="S143" s="53">
        <v>5</v>
      </c>
      <c r="T143" s="45">
        <v>451.3399999999998</v>
      </c>
      <c r="U143" s="45"/>
      <c r="V143" s="45"/>
      <c r="W143" s="45"/>
      <c r="X143" s="45"/>
      <c r="Y143" s="45"/>
      <c r="Z143" s="51"/>
      <c r="AA143" s="53">
        <v>5</v>
      </c>
      <c r="AB143" s="45">
        <v>449.26999999999981</v>
      </c>
      <c r="AC143" s="45"/>
      <c r="AD143" s="45"/>
      <c r="AE143" s="45"/>
      <c r="AF143" s="45"/>
      <c r="AG143" s="45"/>
      <c r="AH143" s="51"/>
      <c r="AI143" s="53">
        <v>5</v>
      </c>
      <c r="AJ143" s="45">
        <v>448.45999999999992</v>
      </c>
      <c r="AK143" s="45"/>
      <c r="AL143" s="45"/>
      <c r="AM143" s="45"/>
      <c r="AN143" s="45"/>
      <c r="AO143" s="45"/>
      <c r="AP143" s="51"/>
    </row>
    <row r="144" spans="1:42" ht="21" customHeight="1" thickTop="1" thickBot="1" x14ac:dyDescent="0.35">
      <c r="A144" s="63"/>
      <c r="B144" s="66"/>
      <c r="C144" s="53">
        <v>6</v>
      </c>
      <c r="D144" s="45">
        <v>449.25999999999982</v>
      </c>
      <c r="E144" s="45"/>
      <c r="F144" s="45"/>
      <c r="G144" s="45"/>
      <c r="H144" s="45"/>
      <c r="I144" s="45"/>
      <c r="J144" s="51"/>
      <c r="K144" s="53">
        <v>6</v>
      </c>
      <c r="L144" s="45">
        <v>448.95999999999992</v>
      </c>
      <c r="M144" s="45"/>
      <c r="N144" s="45"/>
      <c r="O144" s="45"/>
      <c r="P144" s="45"/>
      <c r="Q144" s="45"/>
      <c r="R144" s="51"/>
      <c r="S144" s="53">
        <v>6</v>
      </c>
      <c r="T144" s="45">
        <v>450.20999999999981</v>
      </c>
      <c r="U144" s="45"/>
      <c r="V144" s="45"/>
      <c r="W144" s="45"/>
      <c r="X144" s="45"/>
      <c r="Y144" s="45"/>
      <c r="Z144" s="51"/>
      <c r="AA144" s="53">
        <v>6</v>
      </c>
      <c r="AB144" s="45">
        <v>450.26999999999981</v>
      </c>
      <c r="AC144" s="45"/>
      <c r="AD144" s="45"/>
      <c r="AE144" s="45"/>
      <c r="AF144" s="45"/>
      <c r="AG144" s="45"/>
      <c r="AH144" s="51"/>
      <c r="AI144" s="53">
        <v>6</v>
      </c>
      <c r="AJ144" s="45">
        <v>449.45999999999981</v>
      </c>
      <c r="AK144" s="45"/>
      <c r="AL144" s="45"/>
      <c r="AM144" s="45"/>
      <c r="AN144" s="45"/>
      <c r="AO144" s="45"/>
      <c r="AP144" s="51"/>
    </row>
    <row r="145" spans="1:42" ht="21" customHeight="1" thickTop="1" thickBot="1" x14ac:dyDescent="0.35">
      <c r="A145" s="63"/>
      <c r="B145" s="66"/>
      <c r="C145" s="53">
        <v>7</v>
      </c>
      <c r="D145" s="45">
        <v>448.51999999999981</v>
      </c>
      <c r="E145" s="45"/>
      <c r="F145" s="45"/>
      <c r="G145" s="45"/>
      <c r="H145" s="45"/>
      <c r="I145" s="45"/>
      <c r="J145" s="51"/>
      <c r="K145" s="53">
        <v>7</v>
      </c>
      <c r="L145" s="45">
        <v>449.44999999999982</v>
      </c>
      <c r="M145" s="45"/>
      <c r="N145" s="45"/>
      <c r="O145" s="45"/>
      <c r="P145" s="45"/>
      <c r="Q145" s="45"/>
      <c r="R145" s="51"/>
      <c r="S145" s="53">
        <v>7</v>
      </c>
      <c r="T145" s="45">
        <v>449.86999999999989</v>
      </c>
      <c r="U145" s="45"/>
      <c r="V145" s="45"/>
      <c r="W145" s="45"/>
      <c r="X145" s="45"/>
      <c r="Y145" s="45"/>
      <c r="Z145" s="51"/>
      <c r="AA145" s="53">
        <v>7</v>
      </c>
      <c r="AB145" s="45">
        <v>449.89999999999981</v>
      </c>
      <c r="AC145" s="45"/>
      <c r="AD145" s="45"/>
      <c r="AE145" s="45"/>
      <c r="AF145" s="45"/>
      <c r="AG145" s="45"/>
      <c r="AH145" s="51"/>
      <c r="AI145" s="53">
        <v>7</v>
      </c>
      <c r="AJ145" s="45">
        <v>449.52999999999992</v>
      </c>
      <c r="AK145" s="45"/>
      <c r="AL145" s="45"/>
      <c r="AM145" s="45"/>
      <c r="AN145" s="45"/>
      <c r="AO145" s="45"/>
      <c r="AP145" s="51"/>
    </row>
    <row r="146" spans="1:42" ht="21" customHeight="1" thickTop="1" thickBot="1" x14ac:dyDescent="0.35">
      <c r="A146" s="63"/>
      <c r="B146" s="66"/>
      <c r="C146" s="53">
        <v>8</v>
      </c>
      <c r="D146" s="45">
        <v>448.61999999999978</v>
      </c>
      <c r="E146" s="45"/>
      <c r="F146" s="45"/>
      <c r="G146" s="45"/>
      <c r="H146" s="45"/>
      <c r="I146" s="45"/>
      <c r="J146" s="51"/>
      <c r="K146" s="53">
        <v>8</v>
      </c>
      <c r="L146" s="45">
        <v>449.06999999999982</v>
      </c>
      <c r="M146" s="45"/>
      <c r="N146" s="45"/>
      <c r="O146" s="45"/>
      <c r="P146" s="45"/>
      <c r="Q146" s="45"/>
      <c r="R146" s="51"/>
      <c r="S146" s="53">
        <v>8</v>
      </c>
      <c r="T146" s="45">
        <v>449.29999999999978</v>
      </c>
      <c r="U146" s="45"/>
      <c r="V146" s="45"/>
      <c r="W146" s="45"/>
      <c r="X146" s="45"/>
      <c r="Y146" s="45"/>
      <c r="Z146" s="51"/>
      <c r="AA146" s="53">
        <v>8</v>
      </c>
      <c r="AB146" s="45">
        <v>449.47999999999979</v>
      </c>
      <c r="AC146" s="45"/>
      <c r="AD146" s="45"/>
      <c r="AE146" s="45"/>
      <c r="AF146" s="45"/>
      <c r="AG146" s="45"/>
      <c r="AH146" s="51"/>
      <c r="AI146" s="53">
        <v>8</v>
      </c>
      <c r="AJ146" s="45">
        <v>448.19999999999982</v>
      </c>
      <c r="AK146" s="45"/>
      <c r="AL146" s="45"/>
      <c r="AM146" s="45"/>
      <c r="AN146" s="45"/>
      <c r="AO146" s="45"/>
      <c r="AP146" s="51"/>
    </row>
    <row r="147" spans="1:42" ht="21" customHeight="1" thickTop="1" thickBot="1" x14ac:dyDescent="0.35">
      <c r="A147" s="63"/>
      <c r="B147" s="66"/>
      <c r="C147" s="53">
        <v>9</v>
      </c>
      <c r="D147" s="45">
        <v>449.25999999999982</v>
      </c>
      <c r="E147" s="45"/>
      <c r="F147" s="45"/>
      <c r="G147" s="45"/>
      <c r="H147" s="45"/>
      <c r="I147" s="45"/>
      <c r="J147" s="51"/>
      <c r="K147" s="53">
        <v>9</v>
      </c>
      <c r="L147" s="45">
        <v>448.61999999999978</v>
      </c>
      <c r="M147" s="45"/>
      <c r="N147" s="45"/>
      <c r="O147" s="45"/>
      <c r="P147" s="45"/>
      <c r="Q147" s="45"/>
      <c r="R147" s="51"/>
      <c r="S147" s="53">
        <v>9</v>
      </c>
      <c r="T147" s="45">
        <v>449.63999999999987</v>
      </c>
      <c r="U147" s="45"/>
      <c r="V147" s="45"/>
      <c r="W147" s="45"/>
      <c r="X147" s="45"/>
      <c r="Y147" s="45"/>
      <c r="Z147" s="51"/>
      <c r="AA147" s="53">
        <v>9</v>
      </c>
      <c r="AB147" s="45">
        <v>449.74999999999977</v>
      </c>
      <c r="AC147" s="45"/>
      <c r="AD147" s="45"/>
      <c r="AE147" s="45"/>
      <c r="AF147" s="45"/>
      <c r="AG147" s="45"/>
      <c r="AH147" s="51"/>
      <c r="AI147" s="53">
        <v>9</v>
      </c>
      <c r="AJ147" s="45">
        <v>449.40999999999991</v>
      </c>
      <c r="AK147" s="45"/>
      <c r="AL147" s="45"/>
      <c r="AM147" s="45"/>
      <c r="AN147" s="45"/>
      <c r="AO147" s="45"/>
      <c r="AP147" s="51"/>
    </row>
    <row r="148" spans="1:42" ht="21" customHeight="1" thickTop="1" thickBot="1" x14ac:dyDescent="0.35">
      <c r="A148" s="63"/>
      <c r="B148" s="66"/>
      <c r="C148" s="53">
        <v>10</v>
      </c>
      <c r="D148" s="45">
        <v>448.45999999999981</v>
      </c>
      <c r="E148" s="45"/>
      <c r="F148" s="45"/>
      <c r="G148" s="45"/>
      <c r="H148" s="45"/>
      <c r="I148" s="45"/>
      <c r="J148" s="51"/>
      <c r="K148" s="53">
        <v>10</v>
      </c>
      <c r="L148" s="45">
        <v>449.28999999999979</v>
      </c>
      <c r="M148" s="45"/>
      <c r="N148" s="45"/>
      <c r="O148" s="45"/>
      <c r="P148" s="45"/>
      <c r="Q148" s="45"/>
      <c r="R148" s="51"/>
      <c r="S148" s="53">
        <v>10</v>
      </c>
      <c r="T148" s="45">
        <v>449.85999999999979</v>
      </c>
      <c r="U148" s="45"/>
      <c r="V148" s="45"/>
      <c r="W148" s="45"/>
      <c r="X148" s="45"/>
      <c r="Y148" s="45"/>
      <c r="Z148" s="51"/>
      <c r="AA148" s="53">
        <v>10</v>
      </c>
      <c r="AB148" s="45">
        <v>448.61999999999978</v>
      </c>
      <c r="AC148" s="45"/>
      <c r="AD148" s="45"/>
      <c r="AE148" s="45"/>
      <c r="AF148" s="45"/>
      <c r="AG148" s="45"/>
      <c r="AH148" s="51"/>
      <c r="AI148" s="53">
        <v>10</v>
      </c>
      <c r="AJ148" s="45">
        <v>449.56999999999988</v>
      </c>
      <c r="AK148" s="45"/>
      <c r="AL148" s="45"/>
      <c r="AM148" s="45"/>
      <c r="AN148" s="45"/>
      <c r="AO148" s="45"/>
      <c r="AP148" s="51"/>
    </row>
    <row r="149" spans="1:42" ht="21" customHeight="1" thickTop="1" thickBot="1" x14ac:dyDescent="0.35">
      <c r="A149" s="63"/>
      <c r="B149" s="66"/>
      <c r="C149" s="53"/>
      <c r="D149" s="45"/>
      <c r="E149" s="45"/>
      <c r="F149" s="45"/>
      <c r="G149" s="45"/>
      <c r="H149" s="45"/>
      <c r="I149" s="45"/>
      <c r="J149" s="51"/>
      <c r="K149" s="53"/>
      <c r="L149" s="45"/>
      <c r="M149" s="45"/>
      <c r="N149" s="45"/>
      <c r="O149" s="45"/>
      <c r="P149" s="45"/>
      <c r="Q149" s="45"/>
      <c r="R149" s="51"/>
      <c r="S149" s="53"/>
      <c r="T149" s="45"/>
      <c r="U149" s="45"/>
      <c r="V149" s="45"/>
      <c r="W149" s="45"/>
      <c r="X149" s="45"/>
      <c r="Y149" s="45"/>
      <c r="Z149" s="51"/>
      <c r="AA149" s="53"/>
      <c r="AB149" s="45"/>
      <c r="AC149" s="45"/>
      <c r="AD149" s="45"/>
      <c r="AE149" s="45"/>
      <c r="AF149" s="45"/>
      <c r="AG149" s="45"/>
      <c r="AH149" s="51"/>
      <c r="AI149" s="53"/>
      <c r="AJ149" s="45"/>
      <c r="AK149" s="45"/>
      <c r="AL149" s="45"/>
      <c r="AM149" s="45"/>
      <c r="AN149" s="45"/>
      <c r="AO149" s="45"/>
      <c r="AP149" s="51"/>
    </row>
    <row r="150" spans="1:42" ht="21" customHeight="1" thickTop="1" thickBot="1" x14ac:dyDescent="0.35">
      <c r="A150" s="63"/>
      <c r="B150" s="66"/>
      <c r="C150" s="54" t="s">
        <v>16</v>
      </c>
      <c r="D150" s="49">
        <f>MIN(D139:D148)</f>
        <v>448.38999999999982</v>
      </c>
      <c r="E150" s="45"/>
      <c r="F150" s="55" t="s">
        <v>17</v>
      </c>
      <c r="G150" s="49" t="s">
        <v>18</v>
      </c>
      <c r="H150" s="49" t="s">
        <v>19</v>
      </c>
      <c r="I150" s="45"/>
      <c r="J150" s="51"/>
      <c r="K150" s="54" t="s">
        <v>16</v>
      </c>
      <c r="L150" s="49">
        <f>MIN(L139:L148)</f>
        <v>448.61999999999978</v>
      </c>
      <c r="M150" s="45"/>
      <c r="N150" s="55" t="s">
        <v>17</v>
      </c>
      <c r="O150" s="49" t="s">
        <v>18</v>
      </c>
      <c r="P150" s="49" t="s">
        <v>19</v>
      </c>
      <c r="Q150" s="45"/>
      <c r="R150" s="51"/>
      <c r="S150" s="54" t="s">
        <v>16</v>
      </c>
      <c r="T150" s="49">
        <f>MIN(T139:T148)</f>
        <v>448.90999999999991</v>
      </c>
      <c r="U150" s="45"/>
      <c r="V150" s="55" t="s">
        <v>17</v>
      </c>
      <c r="W150" s="49" t="s">
        <v>18</v>
      </c>
      <c r="X150" s="49" t="s">
        <v>19</v>
      </c>
      <c r="Y150" s="45"/>
      <c r="Z150" s="51"/>
      <c r="AA150" s="54" t="s">
        <v>16</v>
      </c>
      <c r="AB150" s="49">
        <f>MIN(AB139:AB148)</f>
        <v>448.61999999999978</v>
      </c>
      <c r="AC150" s="45"/>
      <c r="AD150" s="55" t="s">
        <v>17</v>
      </c>
      <c r="AE150" s="49" t="s">
        <v>18</v>
      </c>
      <c r="AF150" s="49" t="s">
        <v>19</v>
      </c>
      <c r="AG150" s="45"/>
      <c r="AH150" s="51"/>
      <c r="AI150" s="54" t="s">
        <v>16</v>
      </c>
      <c r="AJ150" s="49">
        <f>MIN(AJ139:AJ148)</f>
        <v>448.19999999999982</v>
      </c>
      <c r="AK150" s="45"/>
      <c r="AL150" s="55" t="s">
        <v>17</v>
      </c>
      <c r="AM150" s="49" t="s">
        <v>18</v>
      </c>
      <c r="AN150" s="49" t="s">
        <v>19</v>
      </c>
      <c r="AO150" s="45"/>
      <c r="AP150" s="51"/>
    </row>
    <row r="151" spans="1:42" ht="21" customHeight="1" thickTop="1" thickBot="1" x14ac:dyDescent="0.35">
      <c r="A151" s="63"/>
      <c r="B151" s="66"/>
      <c r="C151" s="54" t="s">
        <v>20</v>
      </c>
      <c r="D151" s="48">
        <f>AVERAGE(D139:D148)</f>
        <v>448.81499999999988</v>
      </c>
      <c r="E151" s="47"/>
      <c r="F151" s="48">
        <f>_xlfn.STDEV.S(D139:D148) / AVERAGE(D139:D148) * 100%</f>
        <v>7.6905855841742209E-4</v>
      </c>
      <c r="G151" s="48">
        <f t="array" ref="G151">MIN((D139:D148 - MIN(D139:D148,L139:L148,T139:T148,AB139:AB148,AJ139:AJ148))/MIN(D139:D148,L139:L148,T139:T148,AB139:AB148,AJ139:AJ148)*100%)</f>
        <v>4.2391789379740696E-4</v>
      </c>
      <c r="H151" s="48">
        <f t="array" ref="H151">AVERAGE((D139:D148 - MIN(D139:D148,L139:L148,T139:T148,AB139:AB148,AJ139:AJ148))/MIN(D139:D148,L139:L148,T139:T148,AB139:AB148,AJ139:AJ148)*100%)</f>
        <v>1.3721552878179339E-3</v>
      </c>
      <c r="I151" s="45"/>
      <c r="J151" s="51"/>
      <c r="K151" s="54" t="s">
        <v>20</v>
      </c>
      <c r="L151" s="48">
        <f>AVERAGE(L139:L148)</f>
        <v>449.05899999999986</v>
      </c>
      <c r="M151" s="47"/>
      <c r="N151" s="48">
        <f>_xlfn.STDEV.S(L139:L148) / AVERAGE(L139:L148) * 100%</f>
        <v>6.888102692268191E-4</v>
      </c>
      <c r="O151" s="48">
        <f t="array" ref="O151">MIN((L139:L148 - MIN(D139:D148,L139:L148,T139:T148,AB139:AB148,AJ139:AJ148))/MIN(D139:D148,L139:L148,T139:T148,AB139:AB148,AJ139:AJ148)*100%)</f>
        <v>9.3708165997313526E-4</v>
      </c>
      <c r="P151" s="48">
        <f t="array" ref="P151">AVERAGE((L139:L148 - MIN(D139:D148,L139:L148,T139:T148,AB139:AB148,AJ139:AJ148))/MIN(D139:D148,L139:L148,T139:T148,AB139:AB148,AJ139:AJ148)*100%)</f>
        <v>1.9165551093262012E-3</v>
      </c>
      <c r="Q151" s="44"/>
      <c r="R151" s="51"/>
      <c r="S151" s="54" t="s">
        <v>20</v>
      </c>
      <c r="T151" s="48">
        <f>AVERAGE(T139:T148)</f>
        <v>449.9169999999998</v>
      </c>
      <c r="U151" s="47"/>
      <c r="V151" s="48">
        <f>_xlfn.STDEV.S(T139:T148) / AVERAGE(T139:T148) * 100%</f>
        <v>1.686209924809086E-3</v>
      </c>
      <c r="W151" s="48">
        <f t="array" ref="W151">MIN((T139:T148 - MIN(D139:D148,L139:L148,T139:T148,AB139:AB148,AJ139:AJ148))/MIN(D139:D148,L139:L148,T139:T148,AB139:AB148,AJ139:AJ148)*100%)</f>
        <v>1.5841142347168529E-3</v>
      </c>
      <c r="X151" s="48">
        <f t="array" ref="X151">AVERAGE((T139:T148 - MIN(D139:D148,L139:L148,T139:T148,AB139:AB148,AJ139:AJ148))/MIN(D139:D148,L139:L148,T139:T148,AB139:AB148,AJ139:AJ148)*100%)</f>
        <v>3.8308790718430082E-3</v>
      </c>
      <c r="Y151" s="44"/>
      <c r="Z151" s="51"/>
      <c r="AA151" s="54" t="s">
        <v>20</v>
      </c>
      <c r="AB151" s="48">
        <f>AVERAGE(AB139:AB148)</f>
        <v>449.53199999999987</v>
      </c>
      <c r="AC151" s="47"/>
      <c r="AD151" s="48">
        <f>_xlfn.STDEV.S(AB139:AB148) / AVERAGE(AB139:AB148) * 100%</f>
        <v>1.3672321519363681E-3</v>
      </c>
      <c r="AE151" s="48">
        <f t="array" ref="AE151">MIN((AB139:AB148 - MIN(D139:D148,L139:L148,T139:T148,AB139:AB148,AJ139:AJ148))/MIN(D139:D148,L139:L148,T139:T148,AB139:AB148,AJ139:AJ148)*100%)</f>
        <v>9.3708165997313526E-4</v>
      </c>
      <c r="AF151" s="48">
        <f t="array" ref="AF151">AVERAGE((AB139:AB148 - MIN(D139:D148,L139:L148,T139:T148,AB139:AB148,AJ139:AJ148))/MIN(D139:D148,L139:L148,T139:T148,AB139:AB148,AJ139:AJ148)*100%)</f>
        <v>2.9718875502007898E-3</v>
      </c>
      <c r="AG151" s="44"/>
      <c r="AH151" s="51"/>
      <c r="AI151" s="54" t="s">
        <v>20</v>
      </c>
      <c r="AJ151" s="48">
        <f>AVERAGE(AJ139:AJ148)</f>
        <v>449.20599999999985</v>
      </c>
      <c r="AK151" s="47"/>
      <c r="AL151" s="48">
        <f>_xlfn.STDEV.S(AJ139:AJ148) / AVERAGE(AJ139:AJ148) * 100%</f>
        <v>1.2267952357811998E-3</v>
      </c>
      <c r="AM151" s="48">
        <f t="array" ref="AM151">MIN((AJ139:AJ148 - MIN(D139:D148,L139:L148,T139:T148,AB139:AB148,AJ139:AJ148))/MIN(D139:D148,L139:L148,T139:T148,AB139:AB148,AJ139:AJ148)*100%)</f>
        <v>0</v>
      </c>
      <c r="AN151" s="48">
        <f t="array" ref="AN151">AVERAGE((AJ139:AJ148 - MIN(D139:D148,L139:L148,T139:T148,AB139:AB148,AJ139:AJ148))/MIN(D139:D148,L139:L148,T139:T148,AB139:AB148,AJ139:AJ148)*100%)</f>
        <v>2.2445336903168999E-3</v>
      </c>
      <c r="AO151" s="44"/>
      <c r="AP151" s="51"/>
    </row>
    <row r="152" spans="1:42" ht="21" customHeight="1" thickTop="1" thickBot="1" x14ac:dyDescent="0.35">
      <c r="A152" s="63"/>
      <c r="B152" s="67"/>
      <c r="C152" s="53"/>
      <c r="D152" s="44"/>
      <c r="E152" s="44"/>
      <c r="F152" s="44"/>
      <c r="G152" s="44"/>
      <c r="H152" s="44"/>
      <c r="I152" s="44"/>
      <c r="J152" s="51"/>
      <c r="K152" s="53"/>
      <c r="L152" s="44"/>
      <c r="M152" s="44"/>
      <c r="N152" s="44"/>
      <c r="O152" s="44"/>
      <c r="P152" s="44"/>
      <c r="Q152" s="44"/>
      <c r="R152" s="51"/>
      <c r="S152" s="53"/>
      <c r="T152" s="44"/>
      <c r="U152" s="44"/>
      <c r="V152" s="44"/>
      <c r="W152" s="44"/>
      <c r="X152" s="44"/>
      <c r="Y152" s="44"/>
      <c r="Z152" s="51"/>
      <c r="AA152" s="53"/>
      <c r="AB152" s="44"/>
      <c r="AC152" s="44"/>
      <c r="AD152" s="44"/>
      <c r="AE152" s="44"/>
      <c r="AF152" s="44"/>
      <c r="AG152" s="44"/>
      <c r="AH152" s="51"/>
      <c r="AI152" s="53"/>
      <c r="AJ152" s="44"/>
      <c r="AK152" s="44"/>
      <c r="AL152" s="44"/>
      <c r="AM152" s="44"/>
      <c r="AN152" s="44"/>
      <c r="AO152" s="44"/>
      <c r="AP152" s="51"/>
    </row>
    <row r="153" spans="1:42" ht="21" customHeight="1" thickTop="1" thickBot="1" x14ac:dyDescent="0.35">
      <c r="A153" s="63"/>
      <c r="B153" s="65" t="s">
        <v>116</v>
      </c>
      <c r="C153" s="59" t="s">
        <v>8</v>
      </c>
      <c r="D153" s="46" t="s">
        <v>9</v>
      </c>
      <c r="E153" s="46" t="s">
        <v>10</v>
      </c>
      <c r="F153" s="46" t="s">
        <v>11</v>
      </c>
      <c r="G153" s="46" t="s">
        <v>12</v>
      </c>
      <c r="H153" s="46" t="s">
        <v>13</v>
      </c>
      <c r="I153" s="46" t="s">
        <v>14</v>
      </c>
      <c r="J153" s="60" t="s">
        <v>15</v>
      </c>
      <c r="K153" s="59" t="s">
        <v>8</v>
      </c>
      <c r="L153" s="46" t="s">
        <v>9</v>
      </c>
      <c r="M153" s="46" t="s">
        <v>10</v>
      </c>
      <c r="N153" s="46" t="s">
        <v>11</v>
      </c>
      <c r="O153" s="46" t="s">
        <v>12</v>
      </c>
      <c r="P153" s="46" t="s">
        <v>13</v>
      </c>
      <c r="Q153" s="46" t="s">
        <v>14</v>
      </c>
      <c r="R153" s="60" t="s">
        <v>15</v>
      </c>
      <c r="S153" s="59" t="s">
        <v>8</v>
      </c>
      <c r="T153" s="46" t="s">
        <v>9</v>
      </c>
      <c r="U153" s="46" t="s">
        <v>10</v>
      </c>
      <c r="V153" s="46" t="s">
        <v>11</v>
      </c>
      <c r="W153" s="46" t="s">
        <v>12</v>
      </c>
      <c r="X153" s="46" t="s">
        <v>13</v>
      </c>
      <c r="Y153" s="46" t="s">
        <v>14</v>
      </c>
      <c r="Z153" s="60" t="s">
        <v>15</v>
      </c>
      <c r="AA153" s="59" t="s">
        <v>8</v>
      </c>
      <c r="AB153" s="46" t="s">
        <v>9</v>
      </c>
      <c r="AC153" s="46" t="s">
        <v>10</v>
      </c>
      <c r="AD153" s="46" t="s">
        <v>11</v>
      </c>
      <c r="AE153" s="46" t="s">
        <v>12</v>
      </c>
      <c r="AF153" s="46" t="s">
        <v>13</v>
      </c>
      <c r="AG153" s="46" t="s">
        <v>14</v>
      </c>
      <c r="AH153" s="60" t="s">
        <v>15</v>
      </c>
      <c r="AI153" s="59" t="s">
        <v>8</v>
      </c>
      <c r="AJ153" s="46" t="s">
        <v>9</v>
      </c>
      <c r="AK153" s="46" t="s">
        <v>10</v>
      </c>
      <c r="AL153" s="46" t="s">
        <v>11</v>
      </c>
      <c r="AM153" s="46" t="s">
        <v>12</v>
      </c>
      <c r="AN153" s="46" t="s">
        <v>13</v>
      </c>
      <c r="AO153" s="46" t="s">
        <v>14</v>
      </c>
      <c r="AP153" s="60" t="s">
        <v>15</v>
      </c>
    </row>
    <row r="154" spans="1:42" ht="21" customHeight="1" thickTop="1" thickBot="1" x14ac:dyDescent="0.35">
      <c r="A154" s="63"/>
      <c r="B154" s="66"/>
      <c r="C154" s="52">
        <v>1</v>
      </c>
      <c r="D154" s="44">
        <v>455.12999999999982</v>
      </c>
      <c r="E154" s="44"/>
      <c r="F154" s="44"/>
      <c r="G154" s="44"/>
      <c r="H154" s="44"/>
      <c r="I154" s="44"/>
      <c r="J154" s="51"/>
      <c r="K154" s="52">
        <v>1</v>
      </c>
      <c r="L154" s="44">
        <v>455.85999999999979</v>
      </c>
      <c r="M154" s="44"/>
      <c r="N154" s="44"/>
      <c r="O154" s="44"/>
      <c r="P154" s="44"/>
      <c r="Q154" s="44"/>
      <c r="R154" s="51"/>
      <c r="S154" s="52">
        <v>1</v>
      </c>
      <c r="T154" s="44">
        <v>457.40999999999991</v>
      </c>
      <c r="U154" s="44"/>
      <c r="V154" s="44"/>
      <c r="W154" s="44"/>
      <c r="X154" s="44"/>
      <c r="Y154" s="44"/>
      <c r="Z154" s="51"/>
      <c r="AA154" s="52">
        <v>1</v>
      </c>
      <c r="AB154" s="44">
        <v>455.84999999999968</v>
      </c>
      <c r="AC154" s="44"/>
      <c r="AD154" s="44"/>
      <c r="AE154" s="44"/>
      <c r="AF154" s="44"/>
      <c r="AG154" s="44"/>
      <c r="AH154" s="51"/>
      <c r="AI154" s="52">
        <v>1</v>
      </c>
      <c r="AJ154" s="44">
        <v>454.32999999999993</v>
      </c>
      <c r="AK154" s="44"/>
      <c r="AL154" s="44"/>
      <c r="AM154" s="44"/>
      <c r="AN154" s="44"/>
      <c r="AO154" s="44"/>
      <c r="AP154" s="51"/>
    </row>
    <row r="155" spans="1:42" ht="21" customHeight="1" thickTop="1" thickBot="1" x14ac:dyDescent="0.35">
      <c r="A155" s="63"/>
      <c r="B155" s="66"/>
      <c r="C155" s="53">
        <v>2</v>
      </c>
      <c r="D155" s="45">
        <v>454.75999999999982</v>
      </c>
      <c r="E155" s="45"/>
      <c r="F155" s="45"/>
      <c r="G155" s="45"/>
      <c r="H155" s="45"/>
      <c r="I155" s="45"/>
      <c r="J155" s="51"/>
      <c r="K155" s="53">
        <v>2</v>
      </c>
      <c r="L155" s="45">
        <v>455.8399999999998</v>
      </c>
      <c r="M155" s="45"/>
      <c r="N155" s="45"/>
      <c r="O155" s="45"/>
      <c r="P155" s="45"/>
      <c r="Q155" s="45"/>
      <c r="R155" s="51"/>
      <c r="S155" s="53">
        <v>2</v>
      </c>
      <c r="T155" s="45">
        <v>453.9199999999999</v>
      </c>
      <c r="U155" s="45"/>
      <c r="V155" s="45"/>
      <c r="W155" s="45"/>
      <c r="X155" s="45"/>
      <c r="Y155" s="45"/>
      <c r="Z155" s="51"/>
      <c r="AA155" s="53">
        <v>2</v>
      </c>
      <c r="AB155" s="45">
        <v>455.95999999999992</v>
      </c>
      <c r="AC155" s="45"/>
      <c r="AD155" s="45"/>
      <c r="AE155" s="45"/>
      <c r="AF155" s="45"/>
      <c r="AG155" s="45"/>
      <c r="AH155" s="51"/>
      <c r="AI155" s="53">
        <v>2</v>
      </c>
      <c r="AJ155" s="45">
        <v>452.88999999999987</v>
      </c>
      <c r="AK155" s="45"/>
      <c r="AL155" s="45"/>
      <c r="AM155" s="45"/>
      <c r="AN155" s="45"/>
      <c r="AO155" s="45"/>
      <c r="AP155" s="51"/>
    </row>
    <row r="156" spans="1:42" ht="21" customHeight="1" thickTop="1" thickBot="1" x14ac:dyDescent="0.35">
      <c r="A156" s="63"/>
      <c r="B156" s="66"/>
      <c r="C156" s="53">
        <v>3</v>
      </c>
      <c r="D156" s="45">
        <v>455.43999999999988</v>
      </c>
      <c r="E156" s="45"/>
      <c r="F156" s="45"/>
      <c r="G156" s="44"/>
      <c r="H156" s="44"/>
      <c r="I156" s="44"/>
      <c r="J156" s="51"/>
      <c r="K156" s="53">
        <v>3</v>
      </c>
      <c r="L156" s="45">
        <v>454.26999999999992</v>
      </c>
      <c r="M156" s="45"/>
      <c r="N156" s="45"/>
      <c r="O156" s="44"/>
      <c r="P156" s="44"/>
      <c r="Q156" s="44"/>
      <c r="R156" s="51"/>
      <c r="S156" s="53">
        <v>3</v>
      </c>
      <c r="T156" s="45">
        <v>453.23999999999978</v>
      </c>
      <c r="U156" s="45"/>
      <c r="V156" s="45"/>
      <c r="W156" s="44"/>
      <c r="X156" s="44"/>
      <c r="Y156" s="44"/>
      <c r="Z156" s="51"/>
      <c r="AA156" s="53">
        <v>3</v>
      </c>
      <c r="AB156" s="45">
        <v>455.28999999999979</v>
      </c>
      <c r="AC156" s="45"/>
      <c r="AD156" s="45"/>
      <c r="AE156" s="44"/>
      <c r="AF156" s="44"/>
      <c r="AG156" s="44"/>
      <c r="AH156" s="51"/>
      <c r="AI156" s="53">
        <v>3</v>
      </c>
      <c r="AJ156" s="45">
        <v>452.71999999999991</v>
      </c>
      <c r="AK156" s="45"/>
      <c r="AL156" s="45"/>
      <c r="AM156" s="44"/>
      <c r="AN156" s="44"/>
      <c r="AO156" s="44"/>
      <c r="AP156" s="51"/>
    </row>
    <row r="157" spans="1:42" ht="21" customHeight="1" thickTop="1" thickBot="1" x14ac:dyDescent="0.35">
      <c r="A157" s="63"/>
      <c r="B157" s="66"/>
      <c r="C157" s="53">
        <v>4</v>
      </c>
      <c r="D157" s="45">
        <v>454.68999999999983</v>
      </c>
      <c r="E157" s="45"/>
      <c r="F157" s="45"/>
      <c r="G157" s="45"/>
      <c r="H157" s="45"/>
      <c r="I157" s="45"/>
      <c r="J157" s="51"/>
      <c r="K157" s="53">
        <v>4</v>
      </c>
      <c r="L157" s="45">
        <v>455.82999999999993</v>
      </c>
      <c r="M157" s="45"/>
      <c r="N157" s="45"/>
      <c r="O157" s="45"/>
      <c r="P157" s="45"/>
      <c r="Q157" s="45"/>
      <c r="R157" s="51"/>
      <c r="S157" s="53">
        <v>4</v>
      </c>
      <c r="T157" s="45">
        <v>453.32999999999993</v>
      </c>
      <c r="U157" s="45"/>
      <c r="V157" s="45"/>
      <c r="W157" s="45"/>
      <c r="X157" s="45"/>
      <c r="Y157" s="45"/>
      <c r="Z157" s="51"/>
      <c r="AA157" s="53">
        <v>4</v>
      </c>
      <c r="AB157" s="45">
        <v>453.73999999999978</v>
      </c>
      <c r="AC157" s="45"/>
      <c r="AD157" s="45"/>
      <c r="AE157" s="45"/>
      <c r="AF157" s="45"/>
      <c r="AG157" s="45"/>
      <c r="AH157" s="51"/>
      <c r="AI157" s="53">
        <v>4</v>
      </c>
      <c r="AJ157" s="45">
        <v>453.08999999999992</v>
      </c>
      <c r="AK157" s="45"/>
      <c r="AL157" s="45"/>
      <c r="AM157" s="45"/>
      <c r="AN157" s="45"/>
      <c r="AO157" s="45"/>
      <c r="AP157" s="51"/>
    </row>
    <row r="158" spans="1:42" ht="21" customHeight="1" thickTop="1" thickBot="1" x14ac:dyDescent="0.35">
      <c r="A158" s="63"/>
      <c r="B158" s="66"/>
      <c r="C158" s="53">
        <v>5</v>
      </c>
      <c r="D158" s="45">
        <v>454.26999999999981</v>
      </c>
      <c r="E158" s="45"/>
      <c r="F158" s="45"/>
      <c r="G158" s="45"/>
      <c r="H158" s="45"/>
      <c r="I158" s="45"/>
      <c r="J158" s="51"/>
      <c r="K158" s="53">
        <v>5</v>
      </c>
      <c r="L158" s="45">
        <v>455.51999999999981</v>
      </c>
      <c r="M158" s="45"/>
      <c r="N158" s="45"/>
      <c r="O158" s="45"/>
      <c r="P158" s="45"/>
      <c r="Q158" s="45"/>
      <c r="R158" s="51"/>
      <c r="S158" s="53">
        <v>5</v>
      </c>
      <c r="T158" s="45">
        <v>455.00999999999982</v>
      </c>
      <c r="U158" s="45"/>
      <c r="V158" s="45"/>
      <c r="W158" s="45"/>
      <c r="X158" s="45"/>
      <c r="Y158" s="45"/>
      <c r="Z158" s="51"/>
      <c r="AA158" s="53">
        <v>5</v>
      </c>
      <c r="AB158" s="45">
        <v>454.75999999999988</v>
      </c>
      <c r="AC158" s="45"/>
      <c r="AD158" s="45"/>
      <c r="AE158" s="45"/>
      <c r="AF158" s="45"/>
      <c r="AG158" s="45"/>
      <c r="AH158" s="51"/>
      <c r="AI158" s="53">
        <v>5</v>
      </c>
      <c r="AJ158" s="45">
        <v>454.03999999999991</v>
      </c>
      <c r="AK158" s="45"/>
      <c r="AL158" s="45"/>
      <c r="AM158" s="45"/>
      <c r="AN158" s="45"/>
      <c r="AO158" s="45"/>
      <c r="AP158" s="51"/>
    </row>
    <row r="159" spans="1:42" ht="21" customHeight="1" thickTop="1" thickBot="1" x14ac:dyDescent="0.35">
      <c r="A159" s="63"/>
      <c r="B159" s="66"/>
      <c r="C159" s="53">
        <v>6</v>
      </c>
      <c r="D159" s="45">
        <v>455.37999999999988</v>
      </c>
      <c r="E159" s="45"/>
      <c r="F159" s="45"/>
      <c r="G159" s="45"/>
      <c r="H159" s="45"/>
      <c r="I159" s="45"/>
      <c r="J159" s="51"/>
      <c r="K159" s="53">
        <v>6</v>
      </c>
      <c r="L159" s="45">
        <v>455.89999999999992</v>
      </c>
      <c r="M159" s="45"/>
      <c r="N159" s="45"/>
      <c r="O159" s="45"/>
      <c r="P159" s="45"/>
      <c r="Q159" s="45"/>
      <c r="R159" s="51"/>
      <c r="S159" s="53">
        <v>6</v>
      </c>
      <c r="T159" s="45">
        <v>454.86999999999978</v>
      </c>
      <c r="U159" s="45"/>
      <c r="V159" s="45"/>
      <c r="W159" s="45"/>
      <c r="X159" s="45"/>
      <c r="Y159" s="45"/>
      <c r="Z159" s="51"/>
      <c r="AA159" s="53">
        <v>6</v>
      </c>
      <c r="AB159" s="45">
        <v>454.61999999999978</v>
      </c>
      <c r="AC159" s="45"/>
      <c r="AD159" s="45"/>
      <c r="AE159" s="45"/>
      <c r="AF159" s="45"/>
      <c r="AG159" s="45"/>
      <c r="AH159" s="51"/>
      <c r="AI159" s="53">
        <v>6</v>
      </c>
      <c r="AJ159" s="45">
        <v>453.59</v>
      </c>
      <c r="AK159" s="45"/>
      <c r="AL159" s="45"/>
      <c r="AM159" s="45"/>
      <c r="AN159" s="45"/>
      <c r="AO159" s="45"/>
      <c r="AP159" s="51"/>
    </row>
    <row r="160" spans="1:42" ht="21" customHeight="1" thickTop="1" thickBot="1" x14ac:dyDescent="0.35">
      <c r="A160" s="63"/>
      <c r="B160" s="66"/>
      <c r="C160" s="53">
        <v>7</v>
      </c>
      <c r="D160" s="45">
        <v>454.47999999999979</v>
      </c>
      <c r="E160" s="45"/>
      <c r="F160" s="45"/>
      <c r="G160" s="45"/>
      <c r="H160" s="45"/>
      <c r="I160" s="45"/>
      <c r="J160" s="51"/>
      <c r="K160" s="53">
        <v>7</v>
      </c>
      <c r="L160" s="45">
        <v>455.4099999999998</v>
      </c>
      <c r="M160" s="45"/>
      <c r="N160" s="45"/>
      <c r="O160" s="45"/>
      <c r="P160" s="45"/>
      <c r="Q160" s="45"/>
      <c r="R160" s="51"/>
      <c r="S160" s="53">
        <v>7</v>
      </c>
      <c r="T160" s="45">
        <v>455.70999999999992</v>
      </c>
      <c r="U160" s="45"/>
      <c r="V160" s="45"/>
      <c r="W160" s="45"/>
      <c r="X160" s="45"/>
      <c r="Y160" s="45"/>
      <c r="Z160" s="51"/>
      <c r="AA160" s="53">
        <v>7</v>
      </c>
      <c r="AB160" s="45">
        <v>454.7199999999998</v>
      </c>
      <c r="AC160" s="45"/>
      <c r="AD160" s="45"/>
      <c r="AE160" s="45"/>
      <c r="AF160" s="45"/>
      <c r="AG160" s="45"/>
      <c r="AH160" s="51"/>
      <c r="AI160" s="53">
        <v>7</v>
      </c>
      <c r="AJ160" s="45">
        <v>452.7299999999999</v>
      </c>
      <c r="AK160" s="45"/>
      <c r="AL160" s="45"/>
      <c r="AM160" s="45"/>
      <c r="AN160" s="45"/>
      <c r="AO160" s="45"/>
      <c r="AP160" s="51"/>
    </row>
    <row r="161" spans="1:42" ht="21" customHeight="1" thickTop="1" thickBot="1" x14ac:dyDescent="0.35">
      <c r="A161" s="63"/>
      <c r="B161" s="66"/>
      <c r="C161" s="53">
        <v>8</v>
      </c>
      <c r="D161" s="45">
        <v>455.2199999999998</v>
      </c>
      <c r="E161" s="45"/>
      <c r="F161" s="45"/>
      <c r="G161" s="45"/>
      <c r="H161" s="45"/>
      <c r="I161" s="45"/>
      <c r="J161" s="51"/>
      <c r="K161" s="53">
        <v>8</v>
      </c>
      <c r="L161" s="45">
        <v>455.02999999999992</v>
      </c>
      <c r="M161" s="45"/>
      <c r="N161" s="45"/>
      <c r="O161" s="45"/>
      <c r="P161" s="45"/>
      <c r="Q161" s="45"/>
      <c r="R161" s="51"/>
      <c r="S161" s="53">
        <v>8</v>
      </c>
      <c r="T161" s="45">
        <v>456.75999999999982</v>
      </c>
      <c r="U161" s="45"/>
      <c r="V161" s="45"/>
      <c r="W161" s="45"/>
      <c r="X161" s="45"/>
      <c r="Y161" s="45"/>
      <c r="Z161" s="51"/>
      <c r="AA161" s="53">
        <v>8</v>
      </c>
      <c r="AB161" s="45">
        <v>455.00999999999982</v>
      </c>
      <c r="AC161" s="45"/>
      <c r="AD161" s="45"/>
      <c r="AE161" s="45"/>
      <c r="AF161" s="45"/>
      <c r="AG161" s="45"/>
      <c r="AH161" s="51"/>
      <c r="AI161" s="53">
        <v>8</v>
      </c>
      <c r="AJ161" s="45">
        <v>452.88999999999987</v>
      </c>
      <c r="AK161" s="45"/>
      <c r="AL161" s="45"/>
      <c r="AM161" s="45"/>
      <c r="AN161" s="45"/>
      <c r="AO161" s="45"/>
      <c r="AP161" s="51"/>
    </row>
    <row r="162" spans="1:42" ht="21" customHeight="1" thickTop="1" thickBot="1" x14ac:dyDescent="0.35">
      <c r="A162" s="63"/>
      <c r="B162" s="66"/>
      <c r="C162" s="53">
        <v>9</v>
      </c>
      <c r="D162" s="45">
        <v>454.37999999999982</v>
      </c>
      <c r="E162" s="45"/>
      <c r="F162" s="45"/>
      <c r="G162" s="45"/>
      <c r="H162" s="45"/>
      <c r="I162" s="45"/>
      <c r="J162" s="51"/>
      <c r="K162" s="53">
        <v>9</v>
      </c>
      <c r="L162" s="45">
        <v>455.35999999999979</v>
      </c>
      <c r="M162" s="45"/>
      <c r="N162" s="45"/>
      <c r="O162" s="45"/>
      <c r="P162" s="45"/>
      <c r="Q162" s="45"/>
      <c r="R162" s="51"/>
      <c r="S162" s="53">
        <v>9</v>
      </c>
      <c r="T162" s="45">
        <v>452.71999999999991</v>
      </c>
      <c r="U162" s="45"/>
      <c r="V162" s="45"/>
      <c r="W162" s="45"/>
      <c r="X162" s="45"/>
      <c r="Y162" s="45"/>
      <c r="Z162" s="51"/>
      <c r="AA162" s="53">
        <v>9</v>
      </c>
      <c r="AB162" s="45">
        <v>455.44999999999987</v>
      </c>
      <c r="AC162" s="45"/>
      <c r="AD162" s="45"/>
      <c r="AE162" s="45"/>
      <c r="AF162" s="45"/>
      <c r="AG162" s="45"/>
      <c r="AH162" s="51"/>
      <c r="AI162" s="53">
        <v>9</v>
      </c>
      <c r="AJ162" s="45">
        <v>454.04</v>
      </c>
      <c r="AK162" s="45"/>
      <c r="AL162" s="45"/>
      <c r="AM162" s="45"/>
      <c r="AN162" s="45"/>
      <c r="AO162" s="45"/>
      <c r="AP162" s="51"/>
    </row>
    <row r="163" spans="1:42" ht="21" customHeight="1" thickTop="1" thickBot="1" x14ac:dyDescent="0.35">
      <c r="A163" s="63"/>
      <c r="B163" s="66"/>
      <c r="C163" s="53">
        <v>10</v>
      </c>
      <c r="D163" s="45">
        <v>454.66999999999979</v>
      </c>
      <c r="E163" s="45"/>
      <c r="F163" s="45"/>
      <c r="G163" s="45"/>
      <c r="H163" s="45"/>
      <c r="I163" s="45"/>
      <c r="J163" s="51"/>
      <c r="K163" s="53">
        <v>10</v>
      </c>
      <c r="L163" s="45">
        <v>454.71999999999991</v>
      </c>
      <c r="M163" s="45"/>
      <c r="N163" s="45"/>
      <c r="O163" s="45"/>
      <c r="P163" s="45"/>
      <c r="Q163" s="45"/>
      <c r="R163" s="51"/>
      <c r="S163" s="53">
        <v>10</v>
      </c>
      <c r="T163" s="45">
        <v>455.3499999999998</v>
      </c>
      <c r="U163" s="45"/>
      <c r="V163" s="45"/>
      <c r="W163" s="45"/>
      <c r="X163" s="45"/>
      <c r="Y163" s="45"/>
      <c r="Z163" s="51"/>
      <c r="AA163" s="53">
        <v>10</v>
      </c>
      <c r="AB163" s="45">
        <v>454.78999999999979</v>
      </c>
      <c r="AC163" s="45"/>
      <c r="AD163" s="45"/>
      <c r="AE163" s="45"/>
      <c r="AF163" s="45"/>
      <c r="AG163" s="45"/>
      <c r="AH163" s="51"/>
      <c r="AI163" s="53">
        <v>10</v>
      </c>
      <c r="AJ163" s="45">
        <v>454.19999999999987</v>
      </c>
      <c r="AK163" s="45"/>
      <c r="AL163" s="45"/>
      <c r="AM163" s="45"/>
      <c r="AN163" s="45"/>
      <c r="AO163" s="45"/>
      <c r="AP163" s="51"/>
    </row>
    <row r="164" spans="1:42" ht="21" customHeight="1" thickTop="1" thickBot="1" x14ac:dyDescent="0.35">
      <c r="A164" s="63"/>
      <c r="B164" s="66"/>
      <c r="C164" s="53"/>
      <c r="D164" s="45"/>
      <c r="E164" s="45"/>
      <c r="F164" s="45"/>
      <c r="G164" s="45"/>
      <c r="H164" s="45"/>
      <c r="I164" s="45"/>
      <c r="J164" s="51"/>
      <c r="K164" s="53"/>
      <c r="L164" s="45"/>
      <c r="M164" s="45"/>
      <c r="N164" s="45"/>
      <c r="O164" s="45"/>
      <c r="P164" s="45"/>
      <c r="Q164" s="45"/>
      <c r="R164" s="51"/>
      <c r="S164" s="53"/>
      <c r="T164" s="45"/>
      <c r="U164" s="45"/>
      <c r="V164" s="45"/>
      <c r="W164" s="45"/>
      <c r="X164" s="45"/>
      <c r="Y164" s="45"/>
      <c r="Z164" s="51"/>
      <c r="AA164" s="53"/>
      <c r="AB164" s="45"/>
      <c r="AC164" s="45"/>
      <c r="AD164" s="45"/>
      <c r="AE164" s="45"/>
      <c r="AF164" s="45"/>
      <c r="AG164" s="45"/>
      <c r="AH164" s="51"/>
      <c r="AI164" s="53"/>
      <c r="AJ164" s="45"/>
      <c r="AK164" s="45"/>
      <c r="AL164" s="45"/>
      <c r="AM164" s="45"/>
      <c r="AN164" s="45"/>
      <c r="AO164" s="45"/>
      <c r="AP164" s="51"/>
    </row>
    <row r="165" spans="1:42" ht="21" customHeight="1" thickTop="1" thickBot="1" x14ac:dyDescent="0.35">
      <c r="A165" s="63"/>
      <c r="B165" s="66"/>
      <c r="C165" s="54" t="s">
        <v>16</v>
      </c>
      <c r="D165" s="49">
        <f>MIN(D154:D163)</f>
        <v>454.26999999999981</v>
      </c>
      <c r="E165" s="45"/>
      <c r="F165" s="55" t="s">
        <v>17</v>
      </c>
      <c r="G165" s="49" t="s">
        <v>18</v>
      </c>
      <c r="H165" s="49" t="s">
        <v>19</v>
      </c>
      <c r="I165" s="45"/>
      <c r="J165" s="51"/>
      <c r="K165" s="54" t="s">
        <v>16</v>
      </c>
      <c r="L165" s="49">
        <f>MIN(L154:L163)</f>
        <v>454.26999999999992</v>
      </c>
      <c r="M165" s="45"/>
      <c r="N165" s="55" t="s">
        <v>17</v>
      </c>
      <c r="O165" s="49" t="s">
        <v>18</v>
      </c>
      <c r="P165" s="49" t="s">
        <v>19</v>
      </c>
      <c r="Q165" s="45"/>
      <c r="R165" s="51"/>
      <c r="S165" s="54" t="s">
        <v>16</v>
      </c>
      <c r="T165" s="49">
        <f>MIN(T154:T163)</f>
        <v>452.71999999999991</v>
      </c>
      <c r="U165" s="45"/>
      <c r="V165" s="55" t="s">
        <v>17</v>
      </c>
      <c r="W165" s="49" t="s">
        <v>18</v>
      </c>
      <c r="X165" s="49" t="s">
        <v>19</v>
      </c>
      <c r="Y165" s="45"/>
      <c r="Z165" s="51"/>
      <c r="AA165" s="54" t="s">
        <v>16</v>
      </c>
      <c r="AB165" s="49">
        <f>MIN(AB154:AB163)</f>
        <v>453.73999999999978</v>
      </c>
      <c r="AC165" s="45"/>
      <c r="AD165" s="55" t="s">
        <v>17</v>
      </c>
      <c r="AE165" s="49" t="s">
        <v>18</v>
      </c>
      <c r="AF165" s="49" t="s">
        <v>19</v>
      </c>
      <c r="AG165" s="45"/>
      <c r="AH165" s="51"/>
      <c r="AI165" s="54" t="s">
        <v>16</v>
      </c>
      <c r="AJ165" s="49">
        <f>MIN(AJ154:AJ163)</f>
        <v>452.71999999999991</v>
      </c>
      <c r="AK165" s="45"/>
      <c r="AL165" s="55" t="s">
        <v>17</v>
      </c>
      <c r="AM165" s="49" t="s">
        <v>18</v>
      </c>
      <c r="AN165" s="49" t="s">
        <v>19</v>
      </c>
      <c r="AO165" s="45"/>
      <c r="AP165" s="51"/>
    </row>
    <row r="166" spans="1:42" ht="21" customHeight="1" thickTop="1" thickBot="1" x14ac:dyDescent="0.35">
      <c r="A166" s="63"/>
      <c r="B166" s="66"/>
      <c r="C166" s="54" t="s">
        <v>20</v>
      </c>
      <c r="D166" s="48">
        <f>AVERAGE(D154:D163)</f>
        <v>454.84199999999981</v>
      </c>
      <c r="E166" s="47"/>
      <c r="F166" s="48">
        <f>_xlfn.STDEV.S(D154:D163) / AVERAGE(D154:D163) * 100%</f>
        <v>9.2814312380971246E-4</v>
      </c>
      <c r="G166" s="48">
        <f t="array" ref="G166">MIN((D154:D163 - MIN(D154:D163,L154:L163,T154:T163,AB154:AB163,AJ154:AJ163))/MIN(D154:D163,L154:L163,T154:T163,AB154:AB163,AJ154:AJ163)*100%)</f>
        <v>3.4237497791126921E-3</v>
      </c>
      <c r="H166" s="48">
        <f t="array" ref="H166">AVERAGE((D154:D163 - MIN(D154:D163,L154:L163,T154:T163,AB154:AB163,AJ154:AJ163))/MIN(D154:D163,L154:L163,T154:T163,AB154:AB163,AJ154:AJ163)*100%)</f>
        <v>4.687223891146652E-3</v>
      </c>
      <c r="I166" s="45"/>
      <c r="J166" s="51"/>
      <c r="K166" s="54" t="s">
        <v>20</v>
      </c>
      <c r="L166" s="48">
        <f>AVERAGE(L154:L163)</f>
        <v>455.37399999999991</v>
      </c>
      <c r="M166" s="47"/>
      <c r="N166" s="48">
        <f>_xlfn.STDEV.S(L154:L163) / AVERAGE(L154:L163) * 100%</f>
        <v>1.2084947324994635E-3</v>
      </c>
      <c r="O166" s="48">
        <f t="array" ref="O166">MIN((L154:L163 - MIN(D154:D163,L154:L163,T154:T163,AB154:AB163,AJ154:AJ163))/MIN(D154:D163,L154:L163,T154:T163,AB154:AB163,AJ154:AJ163)*100%)</f>
        <v>3.4237497791129432E-3</v>
      </c>
      <c r="P166" s="48">
        <f t="array" ref="P166">AVERAGE((L154:L163 - MIN(D154:D163,L154:L163,T154:T163,AB154:AB163,AJ154:AJ163))/MIN(D154:D163,L154:L163,T154:T163,AB154:AB163,AJ154:AJ163)*100%)</f>
        <v>5.8623431701712884E-3</v>
      </c>
      <c r="Q166" s="44"/>
      <c r="R166" s="51"/>
      <c r="S166" s="54" t="s">
        <v>20</v>
      </c>
      <c r="T166" s="48">
        <f>AVERAGE(T154:T163)</f>
        <v>454.83199999999988</v>
      </c>
      <c r="U166" s="47"/>
      <c r="V166" s="48">
        <f>_xlfn.STDEV.S(T154:T163) / AVERAGE(T154:T163) * 100%</f>
        <v>3.3996352022855865E-3</v>
      </c>
      <c r="W166" s="48">
        <f t="array" ref="W166">MIN((T154:T163 - MIN(D154:D163,L154:L163,T154:T163,AB154:AB163,AJ154:AJ163))/MIN(D154:D163,L154:L163,T154:T163,AB154:AB163,AJ154:AJ163)*100%)</f>
        <v>0</v>
      </c>
      <c r="X166" s="48">
        <f t="array" ref="X166">AVERAGE((T154:T163 - MIN(D154:D163,L154:L163,T154:T163,AB154:AB163,AJ154:AJ163))/MIN(D154:D163,L154:L163,T154:T163,AB154:AB163,AJ154:AJ163)*100%)</f>
        <v>4.6651351828943801E-3</v>
      </c>
      <c r="Y166" s="44"/>
      <c r="Z166" s="51"/>
      <c r="AA166" s="54" t="s">
        <v>20</v>
      </c>
      <c r="AB166" s="48">
        <f>AVERAGE(AB154:AB163)</f>
        <v>455.01899999999978</v>
      </c>
      <c r="AC166" s="47"/>
      <c r="AD166" s="48">
        <f>_xlfn.STDEV.S(AB154:AB163) / AVERAGE(AB154:AB163) * 100%</f>
        <v>1.4354057198146062E-3</v>
      </c>
      <c r="AE166" s="48">
        <f t="array" ref="AE166">MIN((AB154:AB163 - MIN(D154:D163,L154:L163,T154:T163,AB154:AB163,AJ154:AJ163))/MIN(D154:D163,L154:L163,T154:T163,AB154:AB163,AJ154:AJ163)*100%)</f>
        <v>2.2530482417385321E-3</v>
      </c>
      <c r="AF166" s="48">
        <f t="array" ref="AF166">AVERAGE((AB154:AB163 - MIN(D154:D163,L154:L163,T154:T163,AB154:AB163,AJ154:AJ163))/MIN(D154:D163,L154:L163,T154:T163,AB154:AB163,AJ154:AJ163)*100%)</f>
        <v>5.0781940272130654E-3</v>
      </c>
      <c r="AG166" s="44"/>
      <c r="AH166" s="51"/>
      <c r="AI166" s="54" t="s">
        <v>20</v>
      </c>
      <c r="AJ166" s="48">
        <f>AVERAGE(AJ154:AJ163)</f>
        <v>453.45199999999994</v>
      </c>
      <c r="AK166" s="47"/>
      <c r="AL166" s="48">
        <f>_xlfn.STDEV.S(AJ154:AJ163) / AVERAGE(AJ154:AJ163) * 100%</f>
        <v>1.4443878483476889E-3</v>
      </c>
      <c r="AM166" s="48">
        <f t="array" ref="AM166">MIN((AJ154:AJ163 - MIN(D154:D163,L154:L163,T154:T163,AB154:AB163,AJ154:AJ163))/MIN(D154:D163,L154:L163,T154:T163,AB154:AB163,AJ154:AJ163)*100%)</f>
        <v>0</v>
      </c>
      <c r="AN166" s="48">
        <f t="array" ref="AN166">AVERAGE((AJ154:AJ163 - MIN(D154:D163,L154:L163,T154:T163,AB154:AB163,AJ154:AJ163))/MIN(D154:D163,L154:L163,T154:T163,AB154:AB163,AJ154:AJ163)*100%)</f>
        <v>1.6168934440714019E-3</v>
      </c>
      <c r="AO166" s="44"/>
      <c r="AP166" s="51"/>
    </row>
    <row r="167" spans="1:42" ht="21" customHeight="1" thickTop="1" thickBot="1" x14ac:dyDescent="0.35">
      <c r="A167" s="63"/>
      <c r="B167" s="67"/>
      <c r="C167" s="53"/>
      <c r="D167" s="44"/>
      <c r="E167" s="44"/>
      <c r="F167" s="44"/>
      <c r="G167" s="44"/>
      <c r="H167" s="44"/>
      <c r="I167" s="44"/>
      <c r="J167" s="51"/>
      <c r="K167" s="53"/>
      <c r="L167" s="44"/>
      <c r="M167" s="44"/>
      <c r="N167" s="44"/>
      <c r="O167" s="44"/>
      <c r="P167" s="44"/>
      <c r="Q167" s="44"/>
      <c r="R167" s="51"/>
      <c r="S167" s="53"/>
      <c r="T167" s="44"/>
      <c r="U167" s="44"/>
      <c r="V167" s="44"/>
      <c r="W167" s="44"/>
      <c r="X167" s="44"/>
      <c r="Y167" s="44"/>
      <c r="Z167" s="51"/>
      <c r="AA167" s="53"/>
      <c r="AB167" s="44"/>
      <c r="AC167" s="44"/>
      <c r="AD167" s="44"/>
      <c r="AE167" s="44"/>
      <c r="AF167" s="44"/>
      <c r="AG167" s="44"/>
      <c r="AH167" s="51"/>
      <c r="AI167" s="53"/>
      <c r="AJ167" s="44"/>
      <c r="AK167" s="44"/>
      <c r="AL167" s="44"/>
      <c r="AM167" s="44"/>
      <c r="AN167" s="44"/>
      <c r="AO167" s="44"/>
      <c r="AP167" s="51"/>
    </row>
    <row r="168" spans="1:42" ht="21" customHeight="1" thickTop="1" thickBot="1" x14ac:dyDescent="0.35">
      <c r="A168" s="63"/>
      <c r="B168" s="65" t="s">
        <v>117</v>
      </c>
      <c r="C168" s="59" t="s">
        <v>8</v>
      </c>
      <c r="D168" s="46" t="s">
        <v>9</v>
      </c>
      <c r="E168" s="46" t="s">
        <v>10</v>
      </c>
      <c r="F168" s="46" t="s">
        <v>11</v>
      </c>
      <c r="G168" s="46" t="s">
        <v>12</v>
      </c>
      <c r="H168" s="46" t="s">
        <v>13</v>
      </c>
      <c r="I168" s="46" t="s">
        <v>14</v>
      </c>
      <c r="J168" s="60" t="s">
        <v>15</v>
      </c>
      <c r="K168" s="59" t="s">
        <v>8</v>
      </c>
      <c r="L168" s="46" t="s">
        <v>9</v>
      </c>
      <c r="M168" s="46" t="s">
        <v>10</v>
      </c>
      <c r="N168" s="46" t="s">
        <v>11</v>
      </c>
      <c r="O168" s="46" t="s">
        <v>12</v>
      </c>
      <c r="P168" s="46" t="s">
        <v>13</v>
      </c>
      <c r="Q168" s="46" t="s">
        <v>14</v>
      </c>
      <c r="R168" s="60" t="s">
        <v>15</v>
      </c>
      <c r="S168" s="59" t="s">
        <v>8</v>
      </c>
      <c r="T168" s="46" t="s">
        <v>9</v>
      </c>
      <c r="U168" s="46" t="s">
        <v>10</v>
      </c>
      <c r="V168" s="46" t="s">
        <v>11</v>
      </c>
      <c r="W168" s="46" t="s">
        <v>12</v>
      </c>
      <c r="X168" s="46" t="s">
        <v>13</v>
      </c>
      <c r="Y168" s="46" t="s">
        <v>14</v>
      </c>
      <c r="Z168" s="60" t="s">
        <v>15</v>
      </c>
      <c r="AA168" s="59" t="s">
        <v>8</v>
      </c>
      <c r="AB168" s="46" t="s">
        <v>9</v>
      </c>
      <c r="AC168" s="46" t="s">
        <v>10</v>
      </c>
      <c r="AD168" s="46" t="s">
        <v>11</v>
      </c>
      <c r="AE168" s="46" t="s">
        <v>12</v>
      </c>
      <c r="AF168" s="46" t="s">
        <v>13</v>
      </c>
      <c r="AG168" s="46" t="s">
        <v>14</v>
      </c>
      <c r="AH168" s="60" t="s">
        <v>15</v>
      </c>
      <c r="AI168" s="59" t="s">
        <v>8</v>
      </c>
      <c r="AJ168" s="46" t="s">
        <v>9</v>
      </c>
      <c r="AK168" s="46" t="s">
        <v>10</v>
      </c>
      <c r="AL168" s="46" t="s">
        <v>11</v>
      </c>
      <c r="AM168" s="46" t="s">
        <v>12</v>
      </c>
      <c r="AN168" s="46" t="s">
        <v>13</v>
      </c>
      <c r="AO168" s="46" t="s">
        <v>14</v>
      </c>
      <c r="AP168" s="60" t="s">
        <v>15</v>
      </c>
    </row>
    <row r="169" spans="1:42" ht="21" customHeight="1" thickTop="1" thickBot="1" x14ac:dyDescent="0.35">
      <c r="A169" s="63"/>
      <c r="B169" s="66"/>
      <c r="C169" s="52">
        <v>1</v>
      </c>
      <c r="D169" s="44">
        <v>484.68999999999983</v>
      </c>
      <c r="E169" s="44"/>
      <c r="F169" s="44"/>
      <c r="G169" s="44"/>
      <c r="H169" s="44"/>
      <c r="I169" s="44"/>
      <c r="J169" s="51"/>
      <c r="K169" s="52">
        <v>1</v>
      </c>
      <c r="L169" s="44">
        <v>485.95999999999981</v>
      </c>
      <c r="M169" s="44"/>
      <c r="N169" s="44"/>
      <c r="O169" s="44"/>
      <c r="P169" s="44"/>
      <c r="Q169" s="44"/>
      <c r="R169" s="51"/>
      <c r="S169" s="52">
        <v>1</v>
      </c>
      <c r="T169" s="44">
        <v>484.79999999999978</v>
      </c>
      <c r="U169" s="44"/>
      <c r="V169" s="44"/>
      <c r="W169" s="44"/>
      <c r="X169" s="44"/>
      <c r="Y169" s="44"/>
      <c r="Z169" s="51"/>
      <c r="AA169" s="52">
        <v>1</v>
      </c>
      <c r="AB169" s="44">
        <v>485.56999999999982</v>
      </c>
      <c r="AC169" s="44"/>
      <c r="AD169" s="44"/>
      <c r="AE169" s="44"/>
      <c r="AF169" s="44"/>
      <c r="AG169" s="44"/>
      <c r="AH169" s="51"/>
      <c r="AI169" s="52">
        <v>1</v>
      </c>
      <c r="AJ169" s="44">
        <v>482.83999999999992</v>
      </c>
      <c r="AK169" s="44"/>
      <c r="AL169" s="44"/>
      <c r="AM169" s="44"/>
      <c r="AN169" s="44"/>
      <c r="AO169" s="44"/>
      <c r="AP169" s="51"/>
    </row>
    <row r="170" spans="1:42" ht="21" customHeight="1" thickTop="1" thickBot="1" x14ac:dyDescent="0.35">
      <c r="A170" s="63"/>
      <c r="B170" s="66"/>
      <c r="C170" s="53">
        <v>2</v>
      </c>
      <c r="D170" s="45">
        <v>484.75999999999982</v>
      </c>
      <c r="E170" s="45"/>
      <c r="F170" s="45"/>
      <c r="G170" s="45"/>
      <c r="H170" s="45"/>
      <c r="I170" s="45"/>
      <c r="J170" s="51"/>
      <c r="K170" s="53">
        <v>2</v>
      </c>
      <c r="L170" s="45">
        <v>485.6599999999998</v>
      </c>
      <c r="M170" s="45"/>
      <c r="N170" s="45"/>
      <c r="O170" s="45"/>
      <c r="P170" s="45"/>
      <c r="Q170" s="45"/>
      <c r="R170" s="51"/>
      <c r="S170" s="53">
        <v>2</v>
      </c>
      <c r="T170" s="45">
        <v>484.42999999999978</v>
      </c>
      <c r="U170" s="45"/>
      <c r="V170" s="45"/>
      <c r="W170" s="45"/>
      <c r="X170" s="45"/>
      <c r="Y170" s="45"/>
      <c r="Z170" s="51"/>
      <c r="AA170" s="53">
        <v>2</v>
      </c>
      <c r="AB170" s="45">
        <v>485.37999999999971</v>
      </c>
      <c r="AC170" s="45"/>
      <c r="AD170" s="45"/>
      <c r="AE170" s="45"/>
      <c r="AF170" s="45"/>
      <c r="AG170" s="45"/>
      <c r="AH170" s="51"/>
      <c r="AI170" s="53">
        <v>2</v>
      </c>
      <c r="AJ170" s="45">
        <v>483.12999999999988</v>
      </c>
      <c r="AK170" s="45"/>
      <c r="AL170" s="45"/>
      <c r="AM170" s="45"/>
      <c r="AN170" s="45"/>
      <c r="AO170" s="45"/>
      <c r="AP170" s="51"/>
    </row>
    <row r="171" spans="1:42" ht="21" customHeight="1" thickTop="1" thickBot="1" x14ac:dyDescent="0.35">
      <c r="A171" s="63"/>
      <c r="B171" s="66"/>
      <c r="C171" s="53">
        <v>3</v>
      </c>
      <c r="D171" s="45">
        <v>484.0899999999998</v>
      </c>
      <c r="E171" s="45"/>
      <c r="F171" s="45"/>
      <c r="G171" s="44"/>
      <c r="H171" s="44"/>
      <c r="I171" s="44"/>
      <c r="J171" s="51"/>
      <c r="K171" s="53">
        <v>3</v>
      </c>
      <c r="L171" s="45">
        <v>486.06999999999982</v>
      </c>
      <c r="M171" s="45"/>
      <c r="N171" s="45"/>
      <c r="O171" s="44"/>
      <c r="P171" s="44"/>
      <c r="Q171" s="44"/>
      <c r="R171" s="51"/>
      <c r="S171" s="53">
        <v>3</v>
      </c>
      <c r="T171" s="45">
        <v>485.86999999999978</v>
      </c>
      <c r="U171" s="45"/>
      <c r="V171" s="45"/>
      <c r="W171" s="44"/>
      <c r="X171" s="44"/>
      <c r="Y171" s="44"/>
      <c r="Z171" s="51"/>
      <c r="AA171" s="53">
        <v>3</v>
      </c>
      <c r="AB171" s="45">
        <v>485.56999999999982</v>
      </c>
      <c r="AC171" s="45"/>
      <c r="AD171" s="45"/>
      <c r="AE171" s="44"/>
      <c r="AF171" s="44"/>
      <c r="AG171" s="44"/>
      <c r="AH171" s="51"/>
      <c r="AI171" s="53">
        <v>3</v>
      </c>
      <c r="AJ171" s="45">
        <v>483.56999999999982</v>
      </c>
      <c r="AK171" s="45"/>
      <c r="AL171" s="45"/>
      <c r="AM171" s="44"/>
      <c r="AN171" s="44"/>
      <c r="AO171" s="44"/>
      <c r="AP171" s="51"/>
    </row>
    <row r="172" spans="1:42" ht="21" customHeight="1" thickTop="1" thickBot="1" x14ac:dyDescent="0.35">
      <c r="A172" s="63"/>
      <c r="B172" s="66"/>
      <c r="C172" s="53">
        <v>4</v>
      </c>
      <c r="D172" s="45">
        <v>483.23999999999978</v>
      </c>
      <c r="E172" s="45"/>
      <c r="F172" s="45"/>
      <c r="G172" s="45"/>
      <c r="H172" s="45"/>
      <c r="I172" s="45"/>
      <c r="J172" s="51"/>
      <c r="K172" s="53">
        <v>4</v>
      </c>
      <c r="L172" s="45">
        <v>484.16999999999979</v>
      </c>
      <c r="M172" s="45"/>
      <c r="N172" s="45"/>
      <c r="O172" s="45"/>
      <c r="P172" s="45"/>
      <c r="Q172" s="45"/>
      <c r="R172" s="51"/>
      <c r="S172" s="53">
        <v>4</v>
      </c>
      <c r="T172" s="45">
        <v>483.56999999999988</v>
      </c>
      <c r="U172" s="45"/>
      <c r="V172" s="45"/>
      <c r="W172" s="45"/>
      <c r="X172" s="45"/>
      <c r="Y172" s="45"/>
      <c r="Z172" s="51"/>
      <c r="AA172" s="53">
        <v>4</v>
      </c>
      <c r="AB172" s="45">
        <v>485.50999999999982</v>
      </c>
      <c r="AC172" s="45"/>
      <c r="AD172" s="45"/>
      <c r="AE172" s="45"/>
      <c r="AF172" s="45"/>
      <c r="AG172" s="45"/>
      <c r="AH172" s="51"/>
      <c r="AI172" s="53">
        <v>4</v>
      </c>
      <c r="AJ172" s="45">
        <v>483.12999999999988</v>
      </c>
      <c r="AK172" s="45"/>
      <c r="AL172" s="45"/>
      <c r="AM172" s="45"/>
      <c r="AN172" s="45"/>
      <c r="AO172" s="45"/>
      <c r="AP172" s="51"/>
    </row>
    <row r="173" spans="1:42" ht="21" customHeight="1" thickTop="1" thickBot="1" x14ac:dyDescent="0.35">
      <c r="A173" s="63"/>
      <c r="B173" s="66"/>
      <c r="C173" s="53">
        <v>5</v>
      </c>
      <c r="D173" s="45">
        <v>484.32999999999981</v>
      </c>
      <c r="E173" s="45"/>
      <c r="F173" s="45"/>
      <c r="G173" s="45"/>
      <c r="H173" s="45"/>
      <c r="I173" s="45"/>
      <c r="J173" s="51"/>
      <c r="K173" s="53">
        <v>5</v>
      </c>
      <c r="L173" s="45">
        <v>484.91999999999979</v>
      </c>
      <c r="M173" s="45"/>
      <c r="N173" s="45"/>
      <c r="O173" s="45"/>
      <c r="P173" s="45"/>
      <c r="Q173" s="45"/>
      <c r="R173" s="51"/>
      <c r="S173" s="53">
        <v>5</v>
      </c>
      <c r="T173" s="45">
        <v>483.54999999999978</v>
      </c>
      <c r="U173" s="45"/>
      <c r="V173" s="45"/>
      <c r="W173" s="45"/>
      <c r="X173" s="45"/>
      <c r="Y173" s="45"/>
      <c r="Z173" s="51"/>
      <c r="AA173" s="53">
        <v>5</v>
      </c>
      <c r="AB173" s="45">
        <v>484.42999999999978</v>
      </c>
      <c r="AC173" s="45"/>
      <c r="AD173" s="45"/>
      <c r="AE173" s="45"/>
      <c r="AF173" s="45"/>
      <c r="AG173" s="45"/>
      <c r="AH173" s="51"/>
      <c r="AI173" s="53">
        <v>5</v>
      </c>
      <c r="AJ173" s="45">
        <v>482.53999999999991</v>
      </c>
      <c r="AK173" s="45"/>
      <c r="AL173" s="45"/>
      <c r="AM173" s="45"/>
      <c r="AN173" s="45"/>
      <c r="AO173" s="45"/>
      <c r="AP173" s="51"/>
    </row>
    <row r="174" spans="1:42" ht="21" customHeight="1" thickTop="1" thickBot="1" x14ac:dyDescent="0.35">
      <c r="A174" s="63"/>
      <c r="B174" s="66"/>
      <c r="C174" s="53">
        <v>6</v>
      </c>
      <c r="D174" s="45">
        <v>484.0899999999998</v>
      </c>
      <c r="E174" s="45"/>
      <c r="F174" s="45"/>
      <c r="G174" s="45"/>
      <c r="H174" s="45"/>
      <c r="I174" s="45"/>
      <c r="J174" s="51"/>
      <c r="K174" s="53">
        <v>6</v>
      </c>
      <c r="L174" s="45">
        <v>485.32999999999981</v>
      </c>
      <c r="M174" s="45"/>
      <c r="N174" s="45"/>
      <c r="O174" s="45"/>
      <c r="P174" s="45"/>
      <c r="Q174" s="45"/>
      <c r="R174" s="51"/>
      <c r="S174" s="53">
        <v>6</v>
      </c>
      <c r="T174" s="45">
        <v>486.73999999999978</v>
      </c>
      <c r="U174" s="45"/>
      <c r="V174" s="45"/>
      <c r="W174" s="45"/>
      <c r="X174" s="45"/>
      <c r="Y174" s="45"/>
      <c r="Z174" s="51"/>
      <c r="AA174" s="53">
        <v>6</v>
      </c>
      <c r="AB174" s="45">
        <v>485.88999999999982</v>
      </c>
      <c r="AC174" s="45"/>
      <c r="AD174" s="45"/>
      <c r="AE174" s="45"/>
      <c r="AF174" s="45"/>
      <c r="AG174" s="45"/>
      <c r="AH174" s="51"/>
      <c r="AI174" s="53">
        <v>6</v>
      </c>
      <c r="AJ174" s="45">
        <v>483.74999999999989</v>
      </c>
      <c r="AK174" s="45"/>
      <c r="AL174" s="45"/>
      <c r="AM174" s="45"/>
      <c r="AN174" s="45"/>
      <c r="AO174" s="45"/>
      <c r="AP174" s="51"/>
    </row>
    <row r="175" spans="1:42" ht="21" customHeight="1" thickTop="1" thickBot="1" x14ac:dyDescent="0.35">
      <c r="A175" s="63"/>
      <c r="B175" s="66"/>
      <c r="C175" s="53">
        <v>7</v>
      </c>
      <c r="D175" s="45">
        <v>484.56999999999988</v>
      </c>
      <c r="E175" s="45"/>
      <c r="F175" s="45"/>
      <c r="G175" s="45"/>
      <c r="H175" s="45"/>
      <c r="I175" s="45"/>
      <c r="J175" s="51"/>
      <c r="K175" s="53">
        <v>7</v>
      </c>
      <c r="L175" s="45">
        <v>484.91999999999979</v>
      </c>
      <c r="M175" s="45"/>
      <c r="N175" s="45"/>
      <c r="O175" s="45"/>
      <c r="P175" s="45"/>
      <c r="Q175" s="45"/>
      <c r="R175" s="51"/>
      <c r="S175" s="53">
        <v>7</v>
      </c>
      <c r="T175" s="45">
        <v>484.08999999999992</v>
      </c>
      <c r="U175" s="45"/>
      <c r="V175" s="45"/>
      <c r="W175" s="45"/>
      <c r="X175" s="45"/>
      <c r="Y175" s="45"/>
      <c r="Z175" s="51"/>
      <c r="AA175" s="53">
        <v>7</v>
      </c>
      <c r="AB175" s="45">
        <v>484.23999999999978</v>
      </c>
      <c r="AC175" s="45"/>
      <c r="AD175" s="45"/>
      <c r="AE175" s="45"/>
      <c r="AF175" s="45"/>
      <c r="AG175" s="45"/>
      <c r="AH175" s="51"/>
      <c r="AI175" s="53">
        <v>7</v>
      </c>
      <c r="AJ175" s="45">
        <v>482.45999999999992</v>
      </c>
      <c r="AK175" s="45"/>
      <c r="AL175" s="45"/>
      <c r="AM175" s="45"/>
      <c r="AN175" s="45"/>
      <c r="AO175" s="45"/>
      <c r="AP175" s="51"/>
    </row>
    <row r="176" spans="1:42" ht="21" customHeight="1" thickTop="1" thickBot="1" x14ac:dyDescent="0.35">
      <c r="A176" s="63"/>
      <c r="B176" s="66"/>
      <c r="C176" s="53">
        <v>8</v>
      </c>
      <c r="D176" s="45">
        <v>484.8499999999998</v>
      </c>
      <c r="E176" s="45"/>
      <c r="F176" s="45"/>
      <c r="G176" s="45"/>
      <c r="H176" s="45"/>
      <c r="I176" s="45"/>
      <c r="J176" s="51"/>
      <c r="K176" s="53">
        <v>8</v>
      </c>
      <c r="L176" s="45">
        <v>485.38999999999982</v>
      </c>
      <c r="M176" s="45"/>
      <c r="N176" s="45"/>
      <c r="O176" s="45"/>
      <c r="P176" s="45"/>
      <c r="Q176" s="45"/>
      <c r="R176" s="51"/>
      <c r="S176" s="53">
        <v>8</v>
      </c>
      <c r="T176" s="45">
        <v>483.74999999999989</v>
      </c>
      <c r="U176" s="45"/>
      <c r="V176" s="45"/>
      <c r="W176" s="45"/>
      <c r="X176" s="45"/>
      <c r="Y176" s="45"/>
      <c r="Z176" s="51"/>
      <c r="AA176" s="53">
        <v>8</v>
      </c>
      <c r="AB176" s="45">
        <v>485.57999999999981</v>
      </c>
      <c r="AC176" s="45"/>
      <c r="AD176" s="45"/>
      <c r="AE176" s="45"/>
      <c r="AF176" s="45"/>
      <c r="AG176" s="45"/>
      <c r="AH176" s="51"/>
      <c r="AI176" s="53">
        <v>8</v>
      </c>
      <c r="AJ176" s="45">
        <v>481.69999999999987</v>
      </c>
      <c r="AK176" s="45"/>
      <c r="AL176" s="45"/>
      <c r="AM176" s="45"/>
      <c r="AN176" s="45"/>
      <c r="AO176" s="45"/>
      <c r="AP176" s="51"/>
    </row>
    <row r="177" spans="1:42" ht="21" customHeight="1" thickTop="1" thickBot="1" x14ac:dyDescent="0.35">
      <c r="A177" s="63"/>
      <c r="B177" s="66"/>
      <c r="C177" s="53">
        <v>9</v>
      </c>
      <c r="D177" s="45">
        <v>483.72999999999979</v>
      </c>
      <c r="E177" s="45"/>
      <c r="F177" s="45"/>
      <c r="G177" s="45"/>
      <c r="H177" s="45"/>
      <c r="I177" s="45"/>
      <c r="J177" s="51"/>
      <c r="K177" s="53">
        <v>9</v>
      </c>
      <c r="L177" s="45">
        <v>485.27999999999992</v>
      </c>
      <c r="M177" s="45"/>
      <c r="N177" s="45"/>
      <c r="O177" s="45"/>
      <c r="P177" s="45"/>
      <c r="Q177" s="45"/>
      <c r="R177" s="51"/>
      <c r="S177" s="53">
        <v>9</v>
      </c>
      <c r="T177" s="45">
        <v>485.5499999999999</v>
      </c>
      <c r="U177" s="45"/>
      <c r="V177" s="45"/>
      <c r="W177" s="45"/>
      <c r="X177" s="45"/>
      <c r="Y177" s="45"/>
      <c r="Z177" s="51"/>
      <c r="AA177" s="53">
        <v>9</v>
      </c>
      <c r="AB177" s="45">
        <v>484.25999999999982</v>
      </c>
      <c r="AC177" s="45"/>
      <c r="AD177" s="45"/>
      <c r="AE177" s="45"/>
      <c r="AF177" s="45"/>
      <c r="AG177" s="45"/>
      <c r="AH177" s="51"/>
      <c r="AI177" s="53">
        <v>9</v>
      </c>
      <c r="AJ177" s="45">
        <v>483.56999999999988</v>
      </c>
      <c r="AK177" s="45"/>
      <c r="AL177" s="45"/>
      <c r="AM177" s="45"/>
      <c r="AN177" s="45"/>
      <c r="AO177" s="45"/>
      <c r="AP177" s="51"/>
    </row>
    <row r="178" spans="1:42" ht="21" customHeight="1" thickTop="1" thickBot="1" x14ac:dyDescent="0.35">
      <c r="A178" s="63"/>
      <c r="B178" s="66"/>
      <c r="C178" s="53">
        <v>10</v>
      </c>
      <c r="D178" s="45">
        <v>482.68999999999983</v>
      </c>
      <c r="E178" s="45"/>
      <c r="F178" s="45"/>
      <c r="G178" s="45"/>
      <c r="H178" s="45"/>
      <c r="I178" s="45"/>
      <c r="J178" s="51"/>
      <c r="K178" s="53">
        <v>10</v>
      </c>
      <c r="L178" s="45">
        <v>484.0899999999998</v>
      </c>
      <c r="M178" s="45"/>
      <c r="N178" s="45"/>
      <c r="O178" s="45"/>
      <c r="P178" s="45"/>
      <c r="Q178" s="45"/>
      <c r="R178" s="51"/>
      <c r="S178" s="53">
        <v>10</v>
      </c>
      <c r="T178" s="45">
        <v>487.68999999999983</v>
      </c>
      <c r="U178" s="45"/>
      <c r="V178" s="45"/>
      <c r="W178" s="45"/>
      <c r="X178" s="45"/>
      <c r="Y178" s="45"/>
      <c r="Z178" s="51"/>
      <c r="AA178" s="53">
        <v>10</v>
      </c>
      <c r="AB178" s="45">
        <v>484.08999999999992</v>
      </c>
      <c r="AC178" s="45"/>
      <c r="AD178" s="45"/>
      <c r="AE178" s="45"/>
      <c r="AF178" s="45"/>
      <c r="AG178" s="45"/>
      <c r="AH178" s="51"/>
      <c r="AI178" s="53">
        <v>10</v>
      </c>
      <c r="AJ178" s="45">
        <v>482.68999999999988</v>
      </c>
      <c r="AK178" s="45"/>
      <c r="AL178" s="45"/>
      <c r="AM178" s="45"/>
      <c r="AN178" s="45"/>
      <c r="AO178" s="45"/>
      <c r="AP178" s="51"/>
    </row>
    <row r="179" spans="1:42" ht="21" customHeight="1" thickTop="1" thickBot="1" x14ac:dyDescent="0.35">
      <c r="A179" s="63"/>
      <c r="B179" s="66"/>
      <c r="C179" s="53"/>
      <c r="D179" s="45"/>
      <c r="E179" s="45"/>
      <c r="F179" s="45"/>
      <c r="G179" s="45"/>
      <c r="H179" s="45"/>
      <c r="I179" s="45"/>
      <c r="J179" s="51"/>
      <c r="K179" s="53"/>
      <c r="L179" s="45"/>
      <c r="M179" s="45"/>
      <c r="N179" s="45"/>
      <c r="O179" s="45"/>
      <c r="P179" s="45"/>
      <c r="Q179" s="45"/>
      <c r="R179" s="51"/>
      <c r="S179" s="53"/>
      <c r="T179" s="45"/>
      <c r="U179" s="45"/>
      <c r="V179" s="45"/>
      <c r="W179" s="45"/>
      <c r="X179" s="45"/>
      <c r="Y179" s="45"/>
      <c r="Z179" s="51"/>
      <c r="AA179" s="53"/>
      <c r="AB179" s="45"/>
      <c r="AC179" s="45"/>
      <c r="AD179" s="45"/>
      <c r="AE179" s="45"/>
      <c r="AF179" s="45"/>
      <c r="AG179" s="45"/>
      <c r="AH179" s="51"/>
      <c r="AI179" s="53"/>
      <c r="AJ179" s="45"/>
      <c r="AK179" s="45"/>
      <c r="AL179" s="45"/>
      <c r="AM179" s="45"/>
      <c r="AN179" s="45"/>
      <c r="AO179" s="45"/>
      <c r="AP179" s="51"/>
    </row>
    <row r="180" spans="1:42" ht="21" customHeight="1" thickTop="1" thickBot="1" x14ac:dyDescent="0.35">
      <c r="A180" s="63"/>
      <c r="B180" s="66"/>
      <c r="C180" s="54" t="s">
        <v>16</v>
      </c>
      <c r="D180" s="49">
        <f>MIN(D169:D178)</f>
        <v>482.68999999999983</v>
      </c>
      <c r="E180" s="45"/>
      <c r="F180" s="55" t="s">
        <v>17</v>
      </c>
      <c r="G180" s="49" t="s">
        <v>18</v>
      </c>
      <c r="H180" s="49" t="s">
        <v>19</v>
      </c>
      <c r="I180" s="45"/>
      <c r="J180" s="51"/>
      <c r="K180" s="54" t="s">
        <v>16</v>
      </c>
      <c r="L180" s="49">
        <f>MIN(L169:L178)</f>
        <v>484.0899999999998</v>
      </c>
      <c r="M180" s="45"/>
      <c r="N180" s="55" t="s">
        <v>17</v>
      </c>
      <c r="O180" s="49" t="s">
        <v>18</v>
      </c>
      <c r="P180" s="49" t="s">
        <v>19</v>
      </c>
      <c r="Q180" s="45"/>
      <c r="R180" s="51"/>
      <c r="S180" s="54" t="s">
        <v>16</v>
      </c>
      <c r="T180" s="49">
        <f>MIN(T169:T178)</f>
        <v>483.54999999999978</v>
      </c>
      <c r="U180" s="45"/>
      <c r="V180" s="55" t="s">
        <v>17</v>
      </c>
      <c r="W180" s="49" t="s">
        <v>18</v>
      </c>
      <c r="X180" s="49" t="s">
        <v>19</v>
      </c>
      <c r="Y180" s="45"/>
      <c r="Z180" s="51"/>
      <c r="AA180" s="54" t="s">
        <v>16</v>
      </c>
      <c r="AB180" s="49">
        <f>MIN(AB169:AB178)</f>
        <v>484.08999999999992</v>
      </c>
      <c r="AC180" s="45"/>
      <c r="AD180" s="55" t="s">
        <v>17</v>
      </c>
      <c r="AE180" s="49" t="s">
        <v>18</v>
      </c>
      <c r="AF180" s="49" t="s">
        <v>19</v>
      </c>
      <c r="AG180" s="45"/>
      <c r="AH180" s="51"/>
      <c r="AI180" s="54" t="s">
        <v>16</v>
      </c>
      <c r="AJ180" s="49">
        <f>MIN(AJ169:AJ178)</f>
        <v>481.69999999999987</v>
      </c>
      <c r="AK180" s="45"/>
      <c r="AL180" s="55" t="s">
        <v>17</v>
      </c>
      <c r="AM180" s="49" t="s">
        <v>18</v>
      </c>
      <c r="AN180" s="49" t="s">
        <v>19</v>
      </c>
      <c r="AO180" s="45"/>
      <c r="AP180" s="51"/>
    </row>
    <row r="181" spans="1:42" ht="21" customHeight="1" thickTop="1" thickBot="1" x14ac:dyDescent="0.35">
      <c r="A181" s="63"/>
      <c r="B181" s="66"/>
      <c r="C181" s="54" t="s">
        <v>20</v>
      </c>
      <c r="D181" s="48">
        <f>AVERAGE(D169:D178)</f>
        <v>484.10399999999981</v>
      </c>
      <c r="E181" s="47"/>
      <c r="F181" s="48">
        <f>_xlfn.STDEV.S(D169:D178) / AVERAGE(D169:D178) * 100%</f>
        <v>1.4581555906440747E-3</v>
      </c>
      <c r="G181" s="48">
        <f t="array" ref="G181">MIN((D169:D178 - MIN(D169:D178,L169:L178,T169:T178,AB169:AB178,AJ169:AJ178))/MIN(D169:D178,L169:L178,T169:T178,AB169:AB178,AJ169:AJ178)*100%)</f>
        <v>2.0552210919658554E-3</v>
      </c>
      <c r="H181" s="48">
        <f t="array" ref="H181">AVERAGE((D169:D178 - MIN(D169:D178,L169:L178,T169:T178,AB169:AB178,AJ169:AJ178))/MIN(D169:D178,L169:L178,T169:T178,AB169:AB178,AJ169:AJ178)*100%)</f>
        <v>4.9906580859454845E-3</v>
      </c>
      <c r="I181" s="45"/>
      <c r="J181" s="51"/>
      <c r="K181" s="54" t="s">
        <v>20</v>
      </c>
      <c r="L181" s="48">
        <f>AVERAGE(L169:L178)</f>
        <v>485.17899999999992</v>
      </c>
      <c r="M181" s="47"/>
      <c r="N181" s="48">
        <f>_xlfn.STDEV.S(L169:L178) / AVERAGE(L169:L178) * 100%</f>
        <v>1.3827764528698844E-3</v>
      </c>
      <c r="O181" s="48">
        <f t="array" ref="O181">MIN((L169:L178 - MIN(D169:D178,L169:L178,T169:T178,AB169:AB178,AJ169:AJ178))/MIN(D169:D178,L169:L178,T169:T178,AB169:AB178,AJ169:AJ178)*100%)</f>
        <v>4.9615943533318045E-3</v>
      </c>
      <c r="P181" s="48">
        <f t="array" ref="P181">AVERAGE((L169:L178 - MIN(D169:D178,L169:L178,T169:T178,AB169:AB178,AJ169:AJ178))/MIN(D169:D178,L169:L178,T169:T178,AB169:AB178,AJ169:AJ178)*100%)</f>
        <v>7.2223375544943746E-3</v>
      </c>
      <c r="Q181" s="44"/>
      <c r="R181" s="51"/>
      <c r="S181" s="54" t="s">
        <v>20</v>
      </c>
      <c r="T181" s="48">
        <f>AVERAGE(T169:T178)</f>
        <v>485.00399999999991</v>
      </c>
      <c r="U181" s="47"/>
      <c r="V181" s="48">
        <f>_xlfn.STDEV.S(T169:T178) / AVERAGE(T169:T178) * 100%</f>
        <v>2.93411547263206E-3</v>
      </c>
      <c r="W181" s="48">
        <f t="array" ref="W181">MIN((T169:T178 - MIN(D169:D178,L169:L178,T169:T178,AB169:AB178,AJ169:AJ178))/MIN(D169:D178,L169:L178,T169:T178,AB169:AB178,AJ169:AJ178)*100%)</f>
        <v>3.8405646668048777E-3</v>
      </c>
      <c r="X181" s="48">
        <f t="array" ref="X181">AVERAGE((T169:T178 - MIN(D169:D178,L169:L178,T169:T178,AB169:AB178,AJ169:AJ178))/MIN(D169:D178,L169:L178,T169:T178,AB169:AB178,AJ169:AJ178)*100%)</f>
        <v>6.8590408968236607E-3</v>
      </c>
      <c r="Y181" s="44"/>
      <c r="Z181" s="51"/>
      <c r="AA181" s="54" t="s">
        <v>20</v>
      </c>
      <c r="AB181" s="48">
        <f>AVERAGE(AB169:AB178)</f>
        <v>485.05199999999985</v>
      </c>
      <c r="AC181" s="47"/>
      <c r="AD181" s="48">
        <f>_xlfn.STDEV.S(AB169:AB178) / AVERAGE(AB169:AB178) * 100%</f>
        <v>1.4470593078943221E-3</v>
      </c>
      <c r="AE181" s="48">
        <f t="array" ref="AE181">MIN((AB169:AB178 - MIN(D169:D178,L169:L178,T169:T178,AB169:AB178,AJ169:AJ178))/MIN(D169:D178,L169:L178,T169:T178,AB169:AB178,AJ169:AJ178)*100%)</f>
        <v>4.9615943533320404E-3</v>
      </c>
      <c r="AF181" s="48">
        <f t="array" ref="AF181">AVERAGE((AB169:AB178 - MIN(D169:D178,L169:L178,T169:T178,AB169:AB178,AJ169:AJ178))/MIN(D169:D178,L169:L178,T169:T178,AB169:AB178,AJ169:AJ178)*100%)</f>
        <v>6.9586879800704517E-3</v>
      </c>
      <c r="AG181" s="44"/>
      <c r="AH181" s="51"/>
      <c r="AI181" s="54" t="s">
        <v>20</v>
      </c>
      <c r="AJ181" s="48">
        <f>AVERAGE(AJ169:AJ178)</f>
        <v>482.93799999999982</v>
      </c>
      <c r="AK181" s="47"/>
      <c r="AL181" s="48">
        <f>_xlfn.STDEV.S(AJ169:AJ178) / AVERAGE(AJ169:AJ178) * 100%</f>
        <v>1.2954378010032424E-3</v>
      </c>
      <c r="AM181" s="48">
        <f t="array" ref="AM181">MIN((AJ169:AJ178 - MIN(D169:D178,L169:L178,T169:T178,AB169:AB178,AJ169:AJ178))/MIN(D169:D178,L169:L178,T169:T178,AB169:AB178,AJ169:AJ178)*100%)</f>
        <v>0</v>
      </c>
      <c r="AN181" s="48">
        <f t="array" ref="AN181">AVERAGE((AJ169:AJ178 - MIN(D169:D178,L169:L178,T169:T178,AB169:AB178,AJ169:AJ178))/MIN(D169:D178,L169:L178,T169:T178,AB169:AB178,AJ169:AJ178)*100%)</f>
        <v>2.5700643554079534E-3</v>
      </c>
      <c r="AO181" s="44"/>
      <c r="AP181" s="51"/>
    </row>
    <row r="182" spans="1:42" ht="21" customHeight="1" thickTop="1" thickBot="1" x14ac:dyDescent="0.35">
      <c r="A182" s="63"/>
      <c r="B182" s="67"/>
      <c r="C182" s="53"/>
      <c r="D182" s="44"/>
      <c r="E182" s="44"/>
      <c r="F182" s="44"/>
      <c r="G182" s="44"/>
      <c r="H182" s="44"/>
      <c r="I182" s="44"/>
      <c r="J182" s="51"/>
      <c r="K182" s="53"/>
      <c r="L182" s="44"/>
      <c r="M182" s="44"/>
      <c r="N182" s="44"/>
      <c r="O182" s="44"/>
      <c r="P182" s="44"/>
      <c r="Q182" s="44"/>
      <c r="R182" s="51"/>
      <c r="S182" s="53"/>
      <c r="T182" s="44"/>
      <c r="U182" s="44"/>
      <c r="V182" s="44"/>
      <c r="W182" s="44"/>
      <c r="X182" s="44"/>
      <c r="Y182" s="44"/>
      <c r="Z182" s="51"/>
      <c r="AA182" s="53"/>
      <c r="AB182" s="44"/>
      <c r="AC182" s="44"/>
      <c r="AD182" s="44"/>
      <c r="AE182" s="44"/>
      <c r="AF182" s="44"/>
      <c r="AG182" s="44"/>
      <c r="AH182" s="51"/>
      <c r="AI182" s="53"/>
      <c r="AJ182" s="44"/>
      <c r="AK182" s="44"/>
      <c r="AL182" s="44"/>
      <c r="AM182" s="44"/>
      <c r="AN182" s="44"/>
      <c r="AO182" s="44"/>
      <c r="AP182" s="51"/>
    </row>
    <row r="183" spans="1:42" ht="21" customHeight="1" thickTop="1" thickBot="1" x14ac:dyDescent="0.35">
      <c r="A183" s="63"/>
      <c r="B183" s="65" t="s">
        <v>118</v>
      </c>
      <c r="C183" s="59" t="s">
        <v>8</v>
      </c>
      <c r="D183" s="46" t="s">
        <v>9</v>
      </c>
      <c r="E183" s="46" t="s">
        <v>10</v>
      </c>
      <c r="F183" s="46" t="s">
        <v>11</v>
      </c>
      <c r="G183" s="46" t="s">
        <v>12</v>
      </c>
      <c r="H183" s="46" t="s">
        <v>13</v>
      </c>
      <c r="I183" s="46" t="s">
        <v>14</v>
      </c>
      <c r="J183" s="60" t="s">
        <v>15</v>
      </c>
      <c r="K183" s="59" t="s">
        <v>8</v>
      </c>
      <c r="L183" s="46" t="s">
        <v>9</v>
      </c>
      <c r="M183" s="46" t="s">
        <v>10</v>
      </c>
      <c r="N183" s="46" t="s">
        <v>11</v>
      </c>
      <c r="O183" s="46" t="s">
        <v>12</v>
      </c>
      <c r="P183" s="46" t="s">
        <v>13</v>
      </c>
      <c r="Q183" s="46" t="s">
        <v>14</v>
      </c>
      <c r="R183" s="60" t="s">
        <v>15</v>
      </c>
      <c r="S183" s="59" t="s">
        <v>8</v>
      </c>
      <c r="T183" s="46" t="s">
        <v>9</v>
      </c>
      <c r="U183" s="46" t="s">
        <v>10</v>
      </c>
      <c r="V183" s="46" t="s">
        <v>11</v>
      </c>
      <c r="W183" s="46" t="s">
        <v>12</v>
      </c>
      <c r="X183" s="46" t="s">
        <v>13</v>
      </c>
      <c r="Y183" s="46" t="s">
        <v>14</v>
      </c>
      <c r="Z183" s="60" t="s">
        <v>15</v>
      </c>
      <c r="AA183" s="59" t="s">
        <v>8</v>
      </c>
      <c r="AB183" s="46" t="s">
        <v>9</v>
      </c>
      <c r="AC183" s="46" t="s">
        <v>10</v>
      </c>
      <c r="AD183" s="46" t="s">
        <v>11</v>
      </c>
      <c r="AE183" s="46" t="s">
        <v>12</v>
      </c>
      <c r="AF183" s="46" t="s">
        <v>13</v>
      </c>
      <c r="AG183" s="46" t="s">
        <v>14</v>
      </c>
      <c r="AH183" s="60" t="s">
        <v>15</v>
      </c>
      <c r="AI183" s="59" t="s">
        <v>8</v>
      </c>
      <c r="AJ183" s="46" t="s">
        <v>9</v>
      </c>
      <c r="AK183" s="46" t="s">
        <v>10</v>
      </c>
      <c r="AL183" s="46" t="s">
        <v>11</v>
      </c>
      <c r="AM183" s="46" t="s">
        <v>12</v>
      </c>
      <c r="AN183" s="46" t="s">
        <v>13</v>
      </c>
      <c r="AO183" s="46" t="s">
        <v>14</v>
      </c>
      <c r="AP183" s="60" t="s">
        <v>15</v>
      </c>
    </row>
    <row r="184" spans="1:42" ht="21" customHeight="1" thickTop="1" thickBot="1" x14ac:dyDescent="0.35">
      <c r="A184" s="63"/>
      <c r="B184" s="66"/>
      <c r="C184" s="52">
        <v>1</v>
      </c>
      <c r="D184" s="44">
        <v>484.00999999999982</v>
      </c>
      <c r="E184" s="44"/>
      <c r="F184" s="44"/>
      <c r="G184" s="44"/>
      <c r="H184" s="44"/>
      <c r="I184" s="44"/>
      <c r="J184" s="51"/>
      <c r="K184" s="52">
        <v>1</v>
      </c>
      <c r="L184" s="44">
        <v>483.20999999999981</v>
      </c>
      <c r="M184" s="44"/>
      <c r="N184" s="44"/>
      <c r="O184" s="44"/>
      <c r="P184" s="44"/>
      <c r="Q184" s="44"/>
      <c r="R184" s="51"/>
      <c r="S184" s="52">
        <v>1</v>
      </c>
      <c r="T184" s="44">
        <v>483.66999999999979</v>
      </c>
      <c r="U184" s="44"/>
      <c r="V184" s="44"/>
      <c r="W184" s="44"/>
      <c r="X184" s="44"/>
      <c r="Y184" s="44"/>
      <c r="Z184" s="51"/>
      <c r="AA184" s="52">
        <v>1</v>
      </c>
      <c r="AB184" s="44">
        <v>484.15999999999968</v>
      </c>
      <c r="AC184" s="44"/>
      <c r="AD184" s="44"/>
      <c r="AE184" s="44"/>
      <c r="AF184" s="44"/>
      <c r="AG184" s="44"/>
      <c r="AH184" s="51"/>
      <c r="AI184" s="52">
        <v>1</v>
      </c>
      <c r="AJ184" s="44">
        <v>482.26999999999981</v>
      </c>
      <c r="AK184" s="44"/>
      <c r="AL184" s="44"/>
      <c r="AM184" s="44"/>
      <c r="AN184" s="44"/>
      <c r="AO184" s="44"/>
      <c r="AP184" s="51"/>
    </row>
    <row r="185" spans="1:42" ht="21" customHeight="1" thickTop="1" thickBot="1" x14ac:dyDescent="0.35">
      <c r="A185" s="63"/>
      <c r="B185" s="66"/>
      <c r="C185" s="53">
        <v>2</v>
      </c>
      <c r="D185" s="45">
        <v>482.67999999999978</v>
      </c>
      <c r="E185" s="45"/>
      <c r="F185" s="45"/>
      <c r="G185" s="45"/>
      <c r="H185" s="45"/>
      <c r="I185" s="45"/>
      <c r="J185" s="51"/>
      <c r="K185" s="53">
        <v>2</v>
      </c>
      <c r="L185" s="45">
        <v>485.07999999999981</v>
      </c>
      <c r="M185" s="45"/>
      <c r="N185" s="45"/>
      <c r="O185" s="45"/>
      <c r="P185" s="45"/>
      <c r="Q185" s="45"/>
      <c r="R185" s="51"/>
      <c r="S185" s="53">
        <v>2</v>
      </c>
      <c r="T185" s="45">
        <v>482.36999999999978</v>
      </c>
      <c r="U185" s="45"/>
      <c r="V185" s="45"/>
      <c r="W185" s="45"/>
      <c r="X185" s="45"/>
      <c r="Y185" s="45"/>
      <c r="Z185" s="51"/>
      <c r="AA185" s="53">
        <v>2</v>
      </c>
      <c r="AB185" s="45">
        <v>483.92999999999978</v>
      </c>
      <c r="AC185" s="45"/>
      <c r="AD185" s="45"/>
      <c r="AE185" s="45"/>
      <c r="AF185" s="45"/>
      <c r="AG185" s="45"/>
      <c r="AH185" s="51"/>
      <c r="AI185" s="53">
        <v>2</v>
      </c>
      <c r="AJ185" s="45">
        <v>482.26999999999992</v>
      </c>
      <c r="AK185" s="45"/>
      <c r="AL185" s="45"/>
      <c r="AM185" s="45"/>
      <c r="AN185" s="45"/>
      <c r="AO185" s="45"/>
      <c r="AP185" s="51"/>
    </row>
    <row r="186" spans="1:42" ht="21" customHeight="1" thickTop="1" thickBot="1" x14ac:dyDescent="0.35">
      <c r="A186" s="63"/>
      <c r="B186" s="66"/>
      <c r="C186" s="53">
        <v>3</v>
      </c>
      <c r="D186" s="45">
        <v>484.2199999999998</v>
      </c>
      <c r="E186" s="45"/>
      <c r="F186" s="45"/>
      <c r="G186" s="44"/>
      <c r="H186" s="44"/>
      <c r="I186" s="44"/>
      <c r="J186" s="51"/>
      <c r="K186" s="53">
        <v>3</v>
      </c>
      <c r="L186" s="45">
        <v>484.63999999999982</v>
      </c>
      <c r="M186" s="45"/>
      <c r="N186" s="45"/>
      <c r="O186" s="44"/>
      <c r="P186" s="44"/>
      <c r="Q186" s="44"/>
      <c r="R186" s="51"/>
      <c r="S186" s="53">
        <v>3</v>
      </c>
      <c r="T186" s="45">
        <v>482.26999999999981</v>
      </c>
      <c r="U186" s="45"/>
      <c r="V186" s="45"/>
      <c r="W186" s="44"/>
      <c r="X186" s="44"/>
      <c r="Y186" s="44"/>
      <c r="Z186" s="51"/>
      <c r="AA186" s="53">
        <v>3</v>
      </c>
      <c r="AB186" s="45">
        <v>482.53999999999979</v>
      </c>
      <c r="AC186" s="45"/>
      <c r="AD186" s="45"/>
      <c r="AE186" s="44"/>
      <c r="AF186" s="44"/>
      <c r="AG186" s="44"/>
      <c r="AH186" s="51"/>
      <c r="AI186" s="53">
        <v>3</v>
      </c>
      <c r="AJ186" s="45">
        <v>482.26999999999981</v>
      </c>
      <c r="AK186" s="45"/>
      <c r="AL186" s="45"/>
      <c r="AM186" s="44"/>
      <c r="AN186" s="44"/>
      <c r="AO186" s="44"/>
      <c r="AP186" s="51"/>
    </row>
    <row r="187" spans="1:42" ht="21" customHeight="1" thickTop="1" thickBot="1" x14ac:dyDescent="0.35">
      <c r="A187" s="63"/>
      <c r="B187" s="66"/>
      <c r="C187" s="53">
        <v>4</v>
      </c>
      <c r="D187" s="45">
        <v>483.7799999999998</v>
      </c>
      <c r="E187" s="45"/>
      <c r="F187" s="45"/>
      <c r="G187" s="45"/>
      <c r="H187" s="45"/>
      <c r="I187" s="45"/>
      <c r="J187" s="51"/>
      <c r="K187" s="53">
        <v>4</v>
      </c>
      <c r="L187" s="45">
        <v>483.97999999999979</v>
      </c>
      <c r="M187" s="45"/>
      <c r="N187" s="45"/>
      <c r="O187" s="45"/>
      <c r="P187" s="45"/>
      <c r="Q187" s="45"/>
      <c r="R187" s="51"/>
      <c r="S187" s="53">
        <v>4</v>
      </c>
      <c r="T187" s="45">
        <v>483.35999999999979</v>
      </c>
      <c r="U187" s="45"/>
      <c r="V187" s="45"/>
      <c r="W187" s="45"/>
      <c r="X187" s="45"/>
      <c r="Y187" s="45"/>
      <c r="Z187" s="51"/>
      <c r="AA187" s="53">
        <v>4</v>
      </c>
      <c r="AB187" s="45">
        <v>484.73999999999978</v>
      </c>
      <c r="AC187" s="45"/>
      <c r="AD187" s="45"/>
      <c r="AE187" s="45"/>
      <c r="AF187" s="45"/>
      <c r="AG187" s="45"/>
      <c r="AH187" s="51"/>
      <c r="AI187" s="53">
        <v>4</v>
      </c>
      <c r="AJ187" s="45">
        <v>482.64999999999992</v>
      </c>
      <c r="AK187" s="45"/>
      <c r="AL187" s="45"/>
      <c r="AM187" s="45"/>
      <c r="AN187" s="45"/>
      <c r="AO187" s="45"/>
      <c r="AP187" s="51"/>
    </row>
    <row r="188" spans="1:42" ht="21" customHeight="1" thickTop="1" thickBot="1" x14ac:dyDescent="0.35">
      <c r="A188" s="63"/>
      <c r="B188" s="66"/>
      <c r="C188" s="53">
        <v>5</v>
      </c>
      <c r="D188" s="45">
        <v>483.48999999999978</v>
      </c>
      <c r="E188" s="45"/>
      <c r="F188" s="45"/>
      <c r="G188" s="45"/>
      <c r="H188" s="45"/>
      <c r="I188" s="45"/>
      <c r="J188" s="51"/>
      <c r="K188" s="53">
        <v>5</v>
      </c>
      <c r="L188" s="45">
        <v>483.31999999999982</v>
      </c>
      <c r="M188" s="45"/>
      <c r="N188" s="45"/>
      <c r="O188" s="45"/>
      <c r="P188" s="45"/>
      <c r="Q188" s="45"/>
      <c r="R188" s="51"/>
      <c r="S188" s="53">
        <v>5</v>
      </c>
      <c r="T188" s="45">
        <v>482.26999999999981</v>
      </c>
      <c r="U188" s="45"/>
      <c r="V188" s="45"/>
      <c r="W188" s="45"/>
      <c r="X188" s="45"/>
      <c r="Y188" s="45"/>
      <c r="Z188" s="51"/>
      <c r="AA188" s="53">
        <v>5</v>
      </c>
      <c r="AB188" s="45">
        <v>482.53999999999968</v>
      </c>
      <c r="AC188" s="45"/>
      <c r="AD188" s="45"/>
      <c r="AE188" s="45"/>
      <c r="AF188" s="45"/>
      <c r="AG188" s="45"/>
      <c r="AH188" s="51"/>
      <c r="AI188" s="53">
        <v>5</v>
      </c>
      <c r="AJ188" s="45">
        <v>482.44999999999987</v>
      </c>
      <c r="AK188" s="45"/>
      <c r="AL188" s="45"/>
      <c r="AM188" s="45"/>
      <c r="AN188" s="45"/>
      <c r="AO188" s="45"/>
      <c r="AP188" s="51"/>
    </row>
    <row r="189" spans="1:42" ht="21" customHeight="1" thickTop="1" thickBot="1" x14ac:dyDescent="0.35">
      <c r="A189" s="63"/>
      <c r="B189" s="66"/>
      <c r="C189" s="53">
        <v>6</v>
      </c>
      <c r="D189" s="45">
        <v>483.6599999999998</v>
      </c>
      <c r="E189" s="45"/>
      <c r="F189" s="45"/>
      <c r="G189" s="45"/>
      <c r="H189" s="45"/>
      <c r="I189" s="45"/>
      <c r="J189" s="51"/>
      <c r="K189" s="53">
        <v>6</v>
      </c>
      <c r="L189" s="45">
        <v>483.97999999999979</v>
      </c>
      <c r="M189" s="45"/>
      <c r="N189" s="45"/>
      <c r="O189" s="45"/>
      <c r="P189" s="45"/>
      <c r="Q189" s="45"/>
      <c r="R189" s="51"/>
      <c r="S189" s="53">
        <v>6</v>
      </c>
      <c r="T189" s="45">
        <v>482.44999999999987</v>
      </c>
      <c r="U189" s="45"/>
      <c r="V189" s="45"/>
      <c r="W189" s="45"/>
      <c r="X189" s="45"/>
      <c r="Y189" s="45"/>
      <c r="Z189" s="51"/>
      <c r="AA189" s="53">
        <v>6</v>
      </c>
      <c r="AB189" s="45">
        <v>483.06999999999982</v>
      </c>
      <c r="AC189" s="45"/>
      <c r="AD189" s="45"/>
      <c r="AE189" s="45"/>
      <c r="AF189" s="45"/>
      <c r="AG189" s="45"/>
      <c r="AH189" s="51"/>
      <c r="AI189" s="53">
        <v>6</v>
      </c>
      <c r="AJ189" s="45">
        <v>482.44999999999982</v>
      </c>
      <c r="AK189" s="45"/>
      <c r="AL189" s="45"/>
      <c r="AM189" s="45"/>
      <c r="AN189" s="45"/>
      <c r="AO189" s="45"/>
      <c r="AP189" s="51"/>
    </row>
    <row r="190" spans="1:42" ht="21" customHeight="1" thickTop="1" thickBot="1" x14ac:dyDescent="0.35">
      <c r="A190" s="63"/>
      <c r="B190" s="66"/>
      <c r="C190" s="53">
        <v>7</v>
      </c>
      <c r="D190" s="45">
        <v>483.36999999999978</v>
      </c>
      <c r="E190" s="45"/>
      <c r="F190" s="45"/>
      <c r="G190" s="45"/>
      <c r="H190" s="45"/>
      <c r="I190" s="45"/>
      <c r="J190" s="51"/>
      <c r="K190" s="53">
        <v>7</v>
      </c>
      <c r="L190" s="45">
        <v>483.88999999999982</v>
      </c>
      <c r="M190" s="45"/>
      <c r="N190" s="45"/>
      <c r="O190" s="45"/>
      <c r="P190" s="45"/>
      <c r="Q190" s="45"/>
      <c r="R190" s="51"/>
      <c r="S190" s="53">
        <v>7</v>
      </c>
      <c r="T190" s="45">
        <v>483.00999999999982</v>
      </c>
      <c r="U190" s="45"/>
      <c r="V190" s="45"/>
      <c r="W190" s="45"/>
      <c r="X190" s="45"/>
      <c r="Y190" s="45"/>
      <c r="Z190" s="51"/>
      <c r="AA190" s="53">
        <v>7</v>
      </c>
      <c r="AB190" s="45">
        <v>483.09999999999991</v>
      </c>
      <c r="AC190" s="45"/>
      <c r="AD190" s="45"/>
      <c r="AE190" s="45"/>
      <c r="AF190" s="45"/>
      <c r="AG190" s="45"/>
      <c r="AH190" s="51"/>
      <c r="AI190" s="53">
        <v>7</v>
      </c>
      <c r="AJ190" s="45">
        <v>483.22999999999979</v>
      </c>
      <c r="AK190" s="45"/>
      <c r="AL190" s="45"/>
      <c r="AM190" s="45"/>
      <c r="AN190" s="45"/>
      <c r="AO190" s="45"/>
      <c r="AP190" s="51"/>
    </row>
    <row r="191" spans="1:42" ht="21" customHeight="1" thickTop="1" thickBot="1" x14ac:dyDescent="0.35">
      <c r="A191" s="63"/>
      <c r="B191" s="66"/>
      <c r="C191" s="53">
        <v>8</v>
      </c>
      <c r="D191" s="45">
        <v>482.91999999999979</v>
      </c>
      <c r="E191" s="45"/>
      <c r="F191" s="45"/>
      <c r="G191" s="45"/>
      <c r="H191" s="45"/>
      <c r="I191" s="45"/>
      <c r="J191" s="51"/>
      <c r="K191" s="53">
        <v>8</v>
      </c>
      <c r="L191" s="45">
        <v>484.30999999999977</v>
      </c>
      <c r="M191" s="45"/>
      <c r="N191" s="45"/>
      <c r="O191" s="45"/>
      <c r="P191" s="45"/>
      <c r="Q191" s="45"/>
      <c r="R191" s="51"/>
      <c r="S191" s="53">
        <v>8</v>
      </c>
      <c r="T191" s="45">
        <v>483.02999999999992</v>
      </c>
      <c r="U191" s="45"/>
      <c r="V191" s="45"/>
      <c r="W191" s="45"/>
      <c r="X191" s="45"/>
      <c r="Y191" s="45"/>
      <c r="Z191" s="51"/>
      <c r="AA191" s="53">
        <v>8</v>
      </c>
      <c r="AB191" s="45">
        <v>483.32999999999981</v>
      </c>
      <c r="AC191" s="45"/>
      <c r="AD191" s="45"/>
      <c r="AE191" s="45"/>
      <c r="AF191" s="45"/>
      <c r="AG191" s="45"/>
      <c r="AH191" s="51"/>
      <c r="AI191" s="53">
        <v>8</v>
      </c>
      <c r="AJ191" s="45">
        <v>482.37999999999982</v>
      </c>
      <c r="AK191" s="45"/>
      <c r="AL191" s="45"/>
      <c r="AM191" s="45"/>
      <c r="AN191" s="45"/>
      <c r="AO191" s="45"/>
      <c r="AP191" s="51"/>
    </row>
    <row r="192" spans="1:42" ht="21" customHeight="1" thickTop="1" thickBot="1" x14ac:dyDescent="0.35">
      <c r="A192" s="63"/>
      <c r="B192" s="66"/>
      <c r="C192" s="53">
        <v>9</v>
      </c>
      <c r="D192" s="45">
        <v>482.85999999999979</v>
      </c>
      <c r="E192" s="45"/>
      <c r="F192" s="45"/>
      <c r="G192" s="45"/>
      <c r="H192" s="45"/>
      <c r="I192" s="45"/>
      <c r="J192" s="51"/>
      <c r="K192" s="53">
        <v>9</v>
      </c>
      <c r="L192" s="45">
        <v>483.7199999999998</v>
      </c>
      <c r="M192" s="45"/>
      <c r="N192" s="45"/>
      <c r="O192" s="45"/>
      <c r="P192" s="45"/>
      <c r="Q192" s="45"/>
      <c r="R192" s="51"/>
      <c r="S192" s="53">
        <v>9</v>
      </c>
      <c r="T192" s="45">
        <v>483.48999999999978</v>
      </c>
      <c r="U192" s="45"/>
      <c r="V192" s="45"/>
      <c r="W192" s="45"/>
      <c r="X192" s="45"/>
      <c r="Y192" s="45"/>
      <c r="Z192" s="51"/>
      <c r="AA192" s="53">
        <v>9</v>
      </c>
      <c r="AB192" s="45">
        <v>483.24999999999977</v>
      </c>
      <c r="AC192" s="45"/>
      <c r="AD192" s="45"/>
      <c r="AE192" s="45"/>
      <c r="AF192" s="45"/>
      <c r="AG192" s="45"/>
      <c r="AH192" s="51"/>
      <c r="AI192" s="53">
        <v>9</v>
      </c>
      <c r="AJ192" s="45">
        <v>482.26999999999981</v>
      </c>
      <c r="AK192" s="45"/>
      <c r="AL192" s="45"/>
      <c r="AM192" s="45"/>
      <c r="AN192" s="45"/>
      <c r="AO192" s="45"/>
      <c r="AP192" s="51"/>
    </row>
    <row r="193" spans="1:42" ht="21" customHeight="1" thickTop="1" thickBot="1" x14ac:dyDescent="0.35">
      <c r="A193" s="63"/>
      <c r="B193" s="66"/>
      <c r="C193" s="53">
        <v>10</v>
      </c>
      <c r="D193" s="45">
        <v>483.53999999999979</v>
      </c>
      <c r="E193" s="45"/>
      <c r="F193" s="45"/>
      <c r="G193" s="45"/>
      <c r="H193" s="45"/>
      <c r="I193" s="45"/>
      <c r="J193" s="51"/>
      <c r="K193" s="53">
        <v>10</v>
      </c>
      <c r="L193" s="45">
        <v>483.22999999999979</v>
      </c>
      <c r="M193" s="45"/>
      <c r="N193" s="45"/>
      <c r="O193" s="45"/>
      <c r="P193" s="45"/>
      <c r="Q193" s="45"/>
      <c r="R193" s="51"/>
      <c r="S193" s="53">
        <v>10</v>
      </c>
      <c r="T193" s="45">
        <v>482.55999999999977</v>
      </c>
      <c r="U193" s="45"/>
      <c r="V193" s="45"/>
      <c r="W193" s="45"/>
      <c r="X193" s="45"/>
      <c r="Y193" s="45"/>
      <c r="Z193" s="51"/>
      <c r="AA193" s="53">
        <v>10</v>
      </c>
      <c r="AB193" s="45">
        <v>484.19999999999982</v>
      </c>
      <c r="AC193" s="45"/>
      <c r="AD193" s="45"/>
      <c r="AE193" s="45"/>
      <c r="AF193" s="45"/>
      <c r="AG193" s="45"/>
      <c r="AH193" s="51"/>
      <c r="AI193" s="53">
        <v>10</v>
      </c>
      <c r="AJ193" s="45">
        <v>482.69999999999987</v>
      </c>
      <c r="AK193" s="45"/>
      <c r="AL193" s="45"/>
      <c r="AM193" s="45"/>
      <c r="AN193" s="45"/>
      <c r="AO193" s="45"/>
      <c r="AP193" s="51"/>
    </row>
    <row r="194" spans="1:42" ht="21" customHeight="1" thickTop="1" thickBot="1" x14ac:dyDescent="0.35">
      <c r="A194" s="63"/>
      <c r="B194" s="66"/>
      <c r="C194" s="53"/>
      <c r="D194" s="45"/>
      <c r="E194" s="45"/>
      <c r="F194" s="45"/>
      <c r="G194" s="45"/>
      <c r="H194" s="45"/>
      <c r="I194" s="45"/>
      <c r="J194" s="51"/>
      <c r="K194" s="53"/>
      <c r="L194" s="45"/>
      <c r="M194" s="45"/>
      <c r="N194" s="45"/>
      <c r="O194" s="45"/>
      <c r="P194" s="45"/>
      <c r="Q194" s="45"/>
      <c r="R194" s="51"/>
      <c r="S194" s="53"/>
      <c r="T194" s="45"/>
      <c r="U194" s="45"/>
      <c r="V194" s="45"/>
      <c r="W194" s="45"/>
      <c r="X194" s="45"/>
      <c r="Y194" s="45"/>
      <c r="Z194" s="51"/>
      <c r="AA194" s="53"/>
      <c r="AB194" s="45"/>
      <c r="AC194" s="45"/>
      <c r="AD194" s="45"/>
      <c r="AE194" s="45"/>
      <c r="AF194" s="45"/>
      <c r="AG194" s="45"/>
      <c r="AH194" s="51"/>
      <c r="AI194" s="53"/>
      <c r="AJ194" s="45"/>
      <c r="AK194" s="45"/>
      <c r="AL194" s="45"/>
      <c r="AM194" s="45"/>
      <c r="AN194" s="45"/>
      <c r="AO194" s="45"/>
      <c r="AP194" s="51"/>
    </row>
    <row r="195" spans="1:42" ht="21" customHeight="1" thickTop="1" thickBot="1" x14ac:dyDescent="0.35">
      <c r="A195" s="63"/>
      <c r="B195" s="66"/>
      <c r="C195" s="54" t="s">
        <v>16</v>
      </c>
      <c r="D195" s="49">
        <f>MIN(D184:D193)</f>
        <v>482.67999999999978</v>
      </c>
      <c r="E195" s="45"/>
      <c r="F195" s="55" t="s">
        <v>17</v>
      </c>
      <c r="G195" s="49" t="s">
        <v>18</v>
      </c>
      <c r="H195" s="49" t="s">
        <v>19</v>
      </c>
      <c r="I195" s="45"/>
      <c r="J195" s="51"/>
      <c r="K195" s="54" t="s">
        <v>16</v>
      </c>
      <c r="L195" s="49">
        <f>MIN(L184:L193)</f>
        <v>483.20999999999981</v>
      </c>
      <c r="M195" s="45"/>
      <c r="N195" s="55" t="s">
        <v>17</v>
      </c>
      <c r="O195" s="49" t="s">
        <v>18</v>
      </c>
      <c r="P195" s="49" t="s">
        <v>19</v>
      </c>
      <c r="Q195" s="45"/>
      <c r="R195" s="51"/>
      <c r="S195" s="54" t="s">
        <v>16</v>
      </c>
      <c r="T195" s="49">
        <f>MIN(T184:T193)</f>
        <v>482.26999999999981</v>
      </c>
      <c r="U195" s="45"/>
      <c r="V195" s="55" t="s">
        <v>17</v>
      </c>
      <c r="W195" s="49" t="s">
        <v>18</v>
      </c>
      <c r="X195" s="49" t="s">
        <v>19</v>
      </c>
      <c r="Y195" s="45"/>
      <c r="Z195" s="51"/>
      <c r="AA195" s="54" t="s">
        <v>16</v>
      </c>
      <c r="AB195" s="49">
        <f>MIN(AB184:AB193)</f>
        <v>482.53999999999968</v>
      </c>
      <c r="AC195" s="45"/>
      <c r="AD195" s="55" t="s">
        <v>17</v>
      </c>
      <c r="AE195" s="49" t="s">
        <v>18</v>
      </c>
      <c r="AF195" s="49" t="s">
        <v>19</v>
      </c>
      <c r="AG195" s="45"/>
      <c r="AH195" s="51"/>
      <c r="AI195" s="54" t="s">
        <v>16</v>
      </c>
      <c r="AJ195" s="49">
        <f>MIN(AJ184:AJ193)</f>
        <v>482.26999999999981</v>
      </c>
      <c r="AK195" s="45"/>
      <c r="AL195" s="55" t="s">
        <v>17</v>
      </c>
      <c r="AM195" s="49" t="s">
        <v>18</v>
      </c>
      <c r="AN195" s="49" t="s">
        <v>19</v>
      </c>
      <c r="AO195" s="45"/>
      <c r="AP195" s="51"/>
    </row>
    <row r="196" spans="1:42" ht="21" customHeight="1" thickTop="1" thickBot="1" x14ac:dyDescent="0.35">
      <c r="A196" s="63"/>
      <c r="B196" s="66"/>
      <c r="C196" s="54" t="s">
        <v>20</v>
      </c>
      <c r="D196" s="48">
        <f>AVERAGE(D184:D193)</f>
        <v>483.4529999999998</v>
      </c>
      <c r="E196" s="47"/>
      <c r="F196" s="48">
        <f>_xlfn.STDEV.S(D184:D193) / AVERAGE(D184:D193) * 100%</f>
        <v>1.0450660495581272E-3</v>
      </c>
      <c r="G196" s="48">
        <f t="array" ref="G196">MIN((D184:D193 - MIN(D184:D193,L184:L193,T184:T193,AB184:AB193,AJ184:AJ193))/MIN(D184:D193,L184:L193,T184:T193,AB184:AB193,AJ184:AJ193)*100%)</f>
        <v>8.5014618367298055E-4</v>
      </c>
      <c r="H196" s="48">
        <f t="array" ref="H196">AVERAGE((D184:D193 - MIN(D184:D193,L184:L193,T184:T193,AB184:AB193,AJ184:AJ193))/MIN(D184:D193,L184:L193,T184:T193,AB184:AB193,AJ184:AJ193)*100%)</f>
        <v>2.4529827689882887E-3</v>
      </c>
      <c r="I196" s="45"/>
      <c r="J196" s="51"/>
      <c r="K196" s="54" t="s">
        <v>20</v>
      </c>
      <c r="L196" s="48">
        <f>AVERAGE(L184:L193)</f>
        <v>483.93599999999986</v>
      </c>
      <c r="M196" s="47"/>
      <c r="N196" s="48">
        <f>_xlfn.STDEV.S(L184:L193) / AVERAGE(L184:L193) * 100%</f>
        <v>1.2704212705992577E-3</v>
      </c>
      <c r="O196" s="48">
        <f t="array" ref="O196">MIN((L184:L193 - MIN(D184:D193,L184:L193,T184:T193,AB184:AB193,AJ184:AJ193))/MIN(D184:D193,L184:L193,T184:T193,AB184:AB193,AJ184:AJ193)*100%)</f>
        <v>1.9491156406162484E-3</v>
      </c>
      <c r="P196" s="48">
        <f t="array" ref="P196">AVERAGE((L184:L193 - MIN(D184:D193,L184:L193,T184:T193,AB184:AB193,AJ184:AJ193))/MIN(D184:D193,L184:L193,T184:T193,AB184:AB193,AJ184:AJ193)*100%)</f>
        <v>3.4544964439007023E-3</v>
      </c>
      <c r="Q196" s="44"/>
      <c r="R196" s="51"/>
      <c r="S196" s="54" t="s">
        <v>20</v>
      </c>
      <c r="T196" s="48">
        <f>AVERAGE(T184:T193)</f>
        <v>482.84799999999979</v>
      </c>
      <c r="U196" s="47"/>
      <c r="V196" s="48">
        <f>_xlfn.STDEV.S(T184:T193) / AVERAGE(T184:T193) * 100%</f>
        <v>1.1018271534343268E-3</v>
      </c>
      <c r="W196" s="48">
        <f t="array" ref="W196">MIN((T184:T193 - MIN(D184:D193,L184:L193,T184:T193,AB184:AB193,AJ184:AJ193))/MIN(D184:D193,L184:L193,T184:T193,AB184:AB193,AJ184:AJ193)*100%)</f>
        <v>0</v>
      </c>
      <c r="X196" s="48">
        <f t="array" ref="X196">AVERAGE((T184:T193 - MIN(D184:D193,L184:L193,T184:T193,AB184:AB193,AJ184:AJ193))/MIN(D184:D193,L184:L193,T184:T193,AB184:AB193,AJ184:AJ193)*100%)</f>
        <v>1.1984987662512767E-3</v>
      </c>
      <c r="Y196" s="44"/>
      <c r="Z196" s="51"/>
      <c r="AA196" s="54" t="s">
        <v>20</v>
      </c>
      <c r="AB196" s="48">
        <f>AVERAGE(AB184:AB193)</f>
        <v>483.48599999999976</v>
      </c>
      <c r="AC196" s="47"/>
      <c r="AD196" s="48">
        <f>_xlfn.STDEV.S(AB184:AB193) / AVERAGE(AB184:AB193) * 100%</f>
        <v>1.5301224105240805E-3</v>
      </c>
      <c r="AE196" s="48">
        <f t="array" ref="AE196">MIN((AB184:AB193 - MIN(D184:D193,L184:L193,T184:T193,AB184:AB193,AJ184:AJ193))/MIN(D184:D193,L184:L193,T184:T193,AB184:AB193,AJ184:AJ193)*100%)</f>
        <v>5.5985236485758642E-4</v>
      </c>
      <c r="AF196" s="48">
        <f t="array" ref="AF196">AVERAGE((AB184:AB193 - MIN(D184:D193,L184:L193,T184:T193,AB184:AB193,AJ184:AJ193))/MIN(D184:D193,L184:L193,T184:T193,AB184:AB193,AJ184:AJ193)*100%)</f>
        <v>2.5214091691375677E-3</v>
      </c>
      <c r="AG196" s="44"/>
      <c r="AH196" s="51"/>
      <c r="AI196" s="54" t="s">
        <v>20</v>
      </c>
      <c r="AJ196" s="48">
        <f>AVERAGE(AJ184:AJ193)</f>
        <v>482.49399999999986</v>
      </c>
      <c r="AK196" s="47"/>
      <c r="AL196" s="48">
        <f>_xlfn.STDEV.S(AJ184:AJ193) / AVERAGE(AJ184:AJ193) * 100%</f>
        <v>6.2789549512610326E-4</v>
      </c>
      <c r="AM196" s="48">
        <f t="array" ref="AM196">MIN((AJ184:AJ193 - MIN(D184:D193,L184:L193,T184:T193,AB184:AB193,AJ184:AJ193))/MIN(D184:D193,L184:L193,T184:T193,AB184:AB193,AJ184:AJ193)*100%)</f>
        <v>0</v>
      </c>
      <c r="AN196" s="48">
        <f t="array" ref="AN196">AVERAGE((AJ184:AJ193 - MIN(D184:D193,L184:L193,T184:T193,AB184:AB193,AJ184:AJ193))/MIN(D184:D193,L184:L193,T184:T193,AB184:AB193,AJ184:AJ193)*100%)</f>
        <v>4.6447011010437118E-4</v>
      </c>
      <c r="AO196" s="44"/>
      <c r="AP196" s="51"/>
    </row>
    <row r="197" spans="1:42" ht="21" customHeight="1" thickTop="1" thickBot="1" x14ac:dyDescent="0.35">
      <c r="A197" s="63"/>
      <c r="B197" s="67"/>
      <c r="C197" s="53"/>
      <c r="D197" s="44"/>
      <c r="E197" s="44"/>
      <c r="F197" s="44"/>
      <c r="G197" s="44"/>
      <c r="H197" s="44"/>
      <c r="I197" s="44"/>
      <c r="J197" s="51"/>
      <c r="K197" s="53"/>
      <c r="L197" s="44"/>
      <c r="M197" s="44"/>
      <c r="N197" s="44"/>
      <c r="O197" s="44"/>
      <c r="P197" s="44"/>
      <c r="Q197" s="44"/>
      <c r="R197" s="51"/>
      <c r="S197" s="53"/>
      <c r="T197" s="44"/>
      <c r="U197" s="44"/>
      <c r="V197" s="44"/>
      <c r="W197" s="44"/>
      <c r="X197" s="44"/>
      <c r="Y197" s="44"/>
      <c r="Z197" s="51"/>
      <c r="AA197" s="53"/>
      <c r="AB197" s="44"/>
      <c r="AC197" s="44"/>
      <c r="AD197" s="44"/>
      <c r="AE197" s="44"/>
      <c r="AF197" s="44"/>
      <c r="AG197" s="44"/>
      <c r="AH197" s="51"/>
      <c r="AI197" s="53"/>
      <c r="AJ197" s="44"/>
      <c r="AK197" s="44"/>
      <c r="AL197" s="44"/>
      <c r="AM197" s="44"/>
      <c r="AN197" s="44"/>
      <c r="AO197" s="44"/>
      <c r="AP197" s="51"/>
    </row>
    <row r="198" spans="1:42" ht="21" customHeight="1" thickTop="1" thickBot="1" x14ac:dyDescent="0.35">
      <c r="A198" s="63"/>
      <c r="B198" s="65" t="s">
        <v>119</v>
      </c>
      <c r="C198" s="59" t="s">
        <v>8</v>
      </c>
      <c r="D198" s="46" t="s">
        <v>9</v>
      </c>
      <c r="E198" s="46" t="s">
        <v>10</v>
      </c>
      <c r="F198" s="46" t="s">
        <v>11</v>
      </c>
      <c r="G198" s="46" t="s">
        <v>12</v>
      </c>
      <c r="H198" s="46" t="s">
        <v>13</v>
      </c>
      <c r="I198" s="46" t="s">
        <v>14</v>
      </c>
      <c r="J198" s="60" t="s">
        <v>15</v>
      </c>
      <c r="K198" s="59" t="s">
        <v>8</v>
      </c>
      <c r="L198" s="46" t="s">
        <v>9</v>
      </c>
      <c r="M198" s="46" t="s">
        <v>10</v>
      </c>
      <c r="N198" s="46" t="s">
        <v>11</v>
      </c>
      <c r="O198" s="46" t="s">
        <v>12</v>
      </c>
      <c r="P198" s="46" t="s">
        <v>13</v>
      </c>
      <c r="Q198" s="46" t="s">
        <v>14</v>
      </c>
      <c r="R198" s="60" t="s">
        <v>15</v>
      </c>
      <c r="S198" s="59" t="s">
        <v>8</v>
      </c>
      <c r="T198" s="46" t="s">
        <v>9</v>
      </c>
      <c r="U198" s="46" t="s">
        <v>10</v>
      </c>
      <c r="V198" s="46" t="s">
        <v>11</v>
      </c>
      <c r="W198" s="46" t="s">
        <v>12</v>
      </c>
      <c r="X198" s="46" t="s">
        <v>13</v>
      </c>
      <c r="Y198" s="46" t="s">
        <v>14</v>
      </c>
      <c r="Z198" s="60" t="s">
        <v>15</v>
      </c>
      <c r="AA198" s="59" t="s">
        <v>8</v>
      </c>
      <c r="AB198" s="46" t="s">
        <v>9</v>
      </c>
      <c r="AC198" s="46" t="s">
        <v>10</v>
      </c>
      <c r="AD198" s="46" t="s">
        <v>11</v>
      </c>
      <c r="AE198" s="46" t="s">
        <v>12</v>
      </c>
      <c r="AF198" s="46" t="s">
        <v>13</v>
      </c>
      <c r="AG198" s="46" t="s">
        <v>14</v>
      </c>
      <c r="AH198" s="60" t="s">
        <v>15</v>
      </c>
      <c r="AI198" s="59" t="s">
        <v>8</v>
      </c>
      <c r="AJ198" s="46" t="s">
        <v>9</v>
      </c>
      <c r="AK198" s="46" t="s">
        <v>10</v>
      </c>
      <c r="AL198" s="46" t="s">
        <v>11</v>
      </c>
      <c r="AM198" s="46" t="s">
        <v>12</v>
      </c>
      <c r="AN198" s="46" t="s">
        <v>13</v>
      </c>
      <c r="AO198" s="46" t="s">
        <v>14</v>
      </c>
      <c r="AP198" s="60" t="s">
        <v>15</v>
      </c>
    </row>
    <row r="199" spans="1:42" ht="21" customHeight="1" thickTop="1" thickBot="1" x14ac:dyDescent="0.35">
      <c r="A199" s="63"/>
      <c r="B199" s="66"/>
      <c r="C199" s="52">
        <v>1</v>
      </c>
      <c r="D199" s="44">
        <v>521.66999999999973</v>
      </c>
      <c r="E199" s="44"/>
      <c r="F199" s="44"/>
      <c r="G199" s="44"/>
      <c r="H199" s="44"/>
      <c r="I199" s="44"/>
      <c r="J199" s="51"/>
      <c r="K199" s="52">
        <v>1</v>
      </c>
      <c r="L199" s="44">
        <v>522.25999999999976</v>
      </c>
      <c r="M199" s="44"/>
      <c r="N199" s="44"/>
      <c r="O199" s="44"/>
      <c r="P199" s="44"/>
      <c r="Q199" s="44"/>
      <c r="R199" s="51"/>
      <c r="S199" s="52">
        <v>1</v>
      </c>
      <c r="T199" s="44">
        <v>522.40999999999974</v>
      </c>
      <c r="U199" s="44"/>
      <c r="V199" s="44"/>
      <c r="W199" s="44"/>
      <c r="X199" s="44"/>
      <c r="Y199" s="44"/>
      <c r="Z199" s="51"/>
      <c r="AA199" s="52">
        <v>1</v>
      </c>
      <c r="AB199" s="44">
        <v>521.39999999999986</v>
      </c>
      <c r="AC199" s="44"/>
      <c r="AD199" s="44"/>
      <c r="AE199" s="44"/>
      <c r="AF199" s="44"/>
      <c r="AG199" s="44"/>
      <c r="AH199" s="51"/>
      <c r="AI199" s="52">
        <v>1</v>
      </c>
      <c r="AJ199" s="44">
        <v>522.13999999999987</v>
      </c>
      <c r="AK199" s="44"/>
      <c r="AL199" s="44"/>
      <c r="AM199" s="44"/>
      <c r="AN199" s="44"/>
      <c r="AO199" s="44"/>
      <c r="AP199" s="51"/>
    </row>
    <row r="200" spans="1:42" ht="21" customHeight="1" thickTop="1" thickBot="1" x14ac:dyDescent="0.35">
      <c r="A200" s="63"/>
      <c r="B200" s="66"/>
      <c r="C200" s="53">
        <v>2</v>
      </c>
      <c r="D200" s="45">
        <v>522.08999999999969</v>
      </c>
      <c r="E200" s="45"/>
      <c r="F200" s="45"/>
      <c r="G200" s="45"/>
      <c r="H200" s="45"/>
      <c r="I200" s="45"/>
      <c r="J200" s="51"/>
      <c r="K200" s="53">
        <v>2</v>
      </c>
      <c r="L200" s="45">
        <v>522.9699999999998</v>
      </c>
      <c r="M200" s="45"/>
      <c r="N200" s="45"/>
      <c r="O200" s="45"/>
      <c r="P200" s="45"/>
      <c r="Q200" s="45"/>
      <c r="R200" s="51"/>
      <c r="S200" s="53">
        <v>2</v>
      </c>
      <c r="T200" s="45">
        <v>521.51999999999975</v>
      </c>
      <c r="U200" s="45"/>
      <c r="V200" s="45"/>
      <c r="W200" s="45"/>
      <c r="X200" s="45"/>
      <c r="Y200" s="45"/>
      <c r="Z200" s="51"/>
      <c r="AA200" s="53">
        <v>2</v>
      </c>
      <c r="AB200" s="45">
        <v>522.51999999999975</v>
      </c>
      <c r="AC200" s="45"/>
      <c r="AD200" s="45"/>
      <c r="AE200" s="45"/>
      <c r="AF200" s="45"/>
      <c r="AG200" s="45"/>
      <c r="AH200" s="51"/>
      <c r="AI200" s="53">
        <v>2</v>
      </c>
      <c r="AJ200" s="45">
        <v>523.32999999999993</v>
      </c>
      <c r="AK200" s="45"/>
      <c r="AL200" s="45"/>
      <c r="AM200" s="45"/>
      <c r="AN200" s="45"/>
      <c r="AO200" s="45"/>
      <c r="AP200" s="51"/>
    </row>
    <row r="201" spans="1:42" ht="21" customHeight="1" thickTop="1" thickBot="1" x14ac:dyDescent="0.35">
      <c r="A201" s="63"/>
      <c r="B201" s="66"/>
      <c r="C201" s="53">
        <v>3</v>
      </c>
      <c r="D201" s="45">
        <v>521.29999999999973</v>
      </c>
      <c r="E201" s="45"/>
      <c r="F201" s="45"/>
      <c r="G201" s="44"/>
      <c r="H201" s="44"/>
      <c r="I201" s="44"/>
      <c r="J201" s="51"/>
      <c r="K201" s="53">
        <v>3</v>
      </c>
      <c r="L201" s="45">
        <v>522.72999999999979</v>
      </c>
      <c r="M201" s="45"/>
      <c r="N201" s="45"/>
      <c r="O201" s="44"/>
      <c r="P201" s="44"/>
      <c r="Q201" s="44"/>
      <c r="R201" s="51"/>
      <c r="S201" s="53">
        <v>3</v>
      </c>
      <c r="T201" s="45">
        <v>523.10999999999979</v>
      </c>
      <c r="U201" s="45"/>
      <c r="V201" s="45"/>
      <c r="W201" s="44"/>
      <c r="X201" s="44"/>
      <c r="Y201" s="44"/>
      <c r="Z201" s="51"/>
      <c r="AA201" s="53">
        <v>3</v>
      </c>
      <c r="AB201" s="45">
        <v>521.4699999999998</v>
      </c>
      <c r="AC201" s="45"/>
      <c r="AD201" s="45"/>
      <c r="AE201" s="44"/>
      <c r="AF201" s="44"/>
      <c r="AG201" s="44"/>
      <c r="AH201" s="51"/>
      <c r="AI201" s="53">
        <v>3</v>
      </c>
      <c r="AJ201" s="45">
        <v>524.14999999999975</v>
      </c>
      <c r="AK201" s="45"/>
      <c r="AL201" s="45"/>
      <c r="AM201" s="44"/>
      <c r="AN201" s="44"/>
      <c r="AO201" s="44"/>
      <c r="AP201" s="51"/>
    </row>
    <row r="202" spans="1:42" ht="21" customHeight="1" thickTop="1" thickBot="1" x14ac:dyDescent="0.35">
      <c r="A202" s="63"/>
      <c r="B202" s="66"/>
      <c r="C202" s="53">
        <v>4</v>
      </c>
      <c r="D202" s="45">
        <v>521.90999999999974</v>
      </c>
      <c r="E202" s="45"/>
      <c r="F202" s="45"/>
      <c r="G202" s="45"/>
      <c r="H202" s="45"/>
      <c r="I202" s="45"/>
      <c r="J202" s="51"/>
      <c r="K202" s="53">
        <v>4</v>
      </c>
      <c r="L202" s="45">
        <v>522.18999999999983</v>
      </c>
      <c r="M202" s="45"/>
      <c r="N202" s="45"/>
      <c r="O202" s="45"/>
      <c r="P202" s="45"/>
      <c r="Q202" s="45"/>
      <c r="R202" s="51"/>
      <c r="S202" s="53">
        <v>4</v>
      </c>
      <c r="T202" s="45">
        <v>523.56999999999982</v>
      </c>
      <c r="U202" s="45"/>
      <c r="V202" s="45"/>
      <c r="W202" s="45"/>
      <c r="X202" s="45"/>
      <c r="Y202" s="45"/>
      <c r="Z202" s="51"/>
      <c r="AA202" s="53">
        <v>4</v>
      </c>
      <c r="AB202" s="45">
        <v>522.99999999999977</v>
      </c>
      <c r="AC202" s="45"/>
      <c r="AD202" s="45"/>
      <c r="AE202" s="45"/>
      <c r="AF202" s="45"/>
      <c r="AG202" s="45"/>
      <c r="AH202" s="51"/>
      <c r="AI202" s="53">
        <v>4</v>
      </c>
      <c r="AJ202" s="45">
        <v>524.39</v>
      </c>
      <c r="AK202" s="45"/>
      <c r="AL202" s="45"/>
      <c r="AM202" s="45"/>
      <c r="AN202" s="45"/>
      <c r="AO202" s="45"/>
      <c r="AP202" s="51"/>
    </row>
    <row r="203" spans="1:42" ht="21" customHeight="1" thickTop="1" thickBot="1" x14ac:dyDescent="0.35">
      <c r="A203" s="63"/>
      <c r="B203" s="66"/>
      <c r="C203" s="53">
        <v>5</v>
      </c>
      <c r="D203" s="45">
        <v>521.87999999999977</v>
      </c>
      <c r="E203" s="45"/>
      <c r="F203" s="45"/>
      <c r="G203" s="45"/>
      <c r="H203" s="45"/>
      <c r="I203" s="45"/>
      <c r="J203" s="51"/>
      <c r="K203" s="53">
        <v>5</v>
      </c>
      <c r="L203" s="45">
        <v>522.18999999999983</v>
      </c>
      <c r="M203" s="45"/>
      <c r="N203" s="45"/>
      <c r="O203" s="45"/>
      <c r="P203" s="45"/>
      <c r="Q203" s="45"/>
      <c r="R203" s="51"/>
      <c r="S203" s="53">
        <v>5</v>
      </c>
      <c r="T203" s="45">
        <v>522.47999999999979</v>
      </c>
      <c r="U203" s="45"/>
      <c r="V203" s="45"/>
      <c r="W203" s="45"/>
      <c r="X203" s="45"/>
      <c r="Y203" s="45"/>
      <c r="Z203" s="51"/>
      <c r="AA203" s="53">
        <v>5</v>
      </c>
      <c r="AB203" s="45">
        <v>523.01999999999975</v>
      </c>
      <c r="AC203" s="45"/>
      <c r="AD203" s="45"/>
      <c r="AE203" s="45"/>
      <c r="AF203" s="45"/>
      <c r="AG203" s="45"/>
      <c r="AH203" s="51"/>
      <c r="AI203" s="53">
        <v>5</v>
      </c>
      <c r="AJ203" s="45">
        <v>524.54999999999984</v>
      </c>
      <c r="AK203" s="45"/>
      <c r="AL203" s="45"/>
      <c r="AM203" s="45"/>
      <c r="AN203" s="45"/>
      <c r="AO203" s="45"/>
      <c r="AP203" s="51"/>
    </row>
    <row r="204" spans="1:42" ht="21" customHeight="1" thickTop="1" thickBot="1" x14ac:dyDescent="0.35">
      <c r="A204" s="63"/>
      <c r="B204" s="66"/>
      <c r="C204" s="53">
        <v>6</v>
      </c>
      <c r="D204" s="45">
        <v>521.44999999999982</v>
      </c>
      <c r="E204" s="45"/>
      <c r="F204" s="45"/>
      <c r="G204" s="45"/>
      <c r="H204" s="45"/>
      <c r="I204" s="45"/>
      <c r="J204" s="51"/>
      <c r="K204" s="53">
        <v>6</v>
      </c>
      <c r="L204" s="45">
        <v>522.42999999999984</v>
      </c>
      <c r="M204" s="45"/>
      <c r="N204" s="45"/>
      <c r="O204" s="45"/>
      <c r="P204" s="45"/>
      <c r="Q204" s="45"/>
      <c r="R204" s="51"/>
      <c r="S204" s="53">
        <v>6</v>
      </c>
      <c r="T204" s="45">
        <v>522.18999999999983</v>
      </c>
      <c r="U204" s="45"/>
      <c r="V204" s="45"/>
      <c r="W204" s="45"/>
      <c r="X204" s="45"/>
      <c r="Y204" s="45"/>
      <c r="Z204" s="51"/>
      <c r="AA204" s="53">
        <v>6</v>
      </c>
      <c r="AB204" s="45">
        <v>522.40999999999985</v>
      </c>
      <c r="AC204" s="45"/>
      <c r="AD204" s="45"/>
      <c r="AE204" s="45"/>
      <c r="AF204" s="45"/>
      <c r="AG204" s="45"/>
      <c r="AH204" s="51"/>
      <c r="AI204" s="53">
        <v>6</v>
      </c>
      <c r="AJ204" s="45">
        <v>524.16999999999985</v>
      </c>
      <c r="AK204" s="45"/>
      <c r="AL204" s="45"/>
      <c r="AM204" s="45"/>
      <c r="AN204" s="45"/>
      <c r="AO204" s="45"/>
      <c r="AP204" s="51"/>
    </row>
    <row r="205" spans="1:42" ht="21" customHeight="1" thickTop="1" thickBot="1" x14ac:dyDescent="0.35">
      <c r="A205" s="63"/>
      <c r="B205" s="66"/>
      <c r="C205" s="53">
        <v>7</v>
      </c>
      <c r="D205" s="45">
        <v>521.82999999999981</v>
      </c>
      <c r="E205" s="45"/>
      <c r="F205" s="45"/>
      <c r="G205" s="45"/>
      <c r="H205" s="45"/>
      <c r="I205" s="45"/>
      <c r="J205" s="51"/>
      <c r="K205" s="53">
        <v>7</v>
      </c>
      <c r="L205" s="45">
        <v>522.50999999999976</v>
      </c>
      <c r="M205" s="45"/>
      <c r="N205" s="45"/>
      <c r="O205" s="45"/>
      <c r="P205" s="45"/>
      <c r="Q205" s="45"/>
      <c r="R205" s="51"/>
      <c r="S205" s="53">
        <v>7</v>
      </c>
      <c r="T205" s="45">
        <v>522.54999999999973</v>
      </c>
      <c r="U205" s="45"/>
      <c r="V205" s="45"/>
      <c r="W205" s="45"/>
      <c r="X205" s="45"/>
      <c r="Y205" s="45"/>
      <c r="Z205" s="51"/>
      <c r="AA205" s="53">
        <v>7</v>
      </c>
      <c r="AB205" s="45">
        <v>522.00999999999976</v>
      </c>
      <c r="AC205" s="45"/>
      <c r="AD205" s="45"/>
      <c r="AE205" s="45"/>
      <c r="AF205" s="45"/>
      <c r="AG205" s="45"/>
      <c r="AH205" s="51"/>
      <c r="AI205" s="53">
        <v>7</v>
      </c>
      <c r="AJ205" s="45">
        <v>524.27999999999986</v>
      </c>
      <c r="AK205" s="45"/>
      <c r="AL205" s="45"/>
      <c r="AM205" s="45"/>
      <c r="AN205" s="45"/>
      <c r="AO205" s="45"/>
      <c r="AP205" s="51"/>
    </row>
    <row r="206" spans="1:42" ht="21" customHeight="1" thickTop="1" thickBot="1" x14ac:dyDescent="0.35">
      <c r="A206" s="63"/>
      <c r="B206" s="66"/>
      <c r="C206" s="53">
        <v>8</v>
      </c>
      <c r="D206" s="45">
        <v>521.61999999999978</v>
      </c>
      <c r="E206" s="45"/>
      <c r="F206" s="45"/>
      <c r="G206" s="45"/>
      <c r="H206" s="45"/>
      <c r="I206" s="45"/>
      <c r="J206" s="51"/>
      <c r="K206" s="53">
        <v>8</v>
      </c>
      <c r="L206" s="45">
        <v>522.15999999999974</v>
      </c>
      <c r="M206" s="45"/>
      <c r="N206" s="45"/>
      <c r="O206" s="45"/>
      <c r="P206" s="45"/>
      <c r="Q206" s="45"/>
      <c r="R206" s="51"/>
      <c r="S206" s="53">
        <v>8</v>
      </c>
      <c r="T206" s="45">
        <v>523.97999999999979</v>
      </c>
      <c r="U206" s="45"/>
      <c r="V206" s="45"/>
      <c r="W206" s="45"/>
      <c r="X206" s="45"/>
      <c r="Y206" s="45"/>
      <c r="Z206" s="51"/>
      <c r="AA206" s="53">
        <v>8</v>
      </c>
      <c r="AB206" s="45">
        <v>521.29999999999973</v>
      </c>
      <c r="AC206" s="45"/>
      <c r="AD206" s="45"/>
      <c r="AE206" s="45"/>
      <c r="AF206" s="45"/>
      <c r="AG206" s="45"/>
      <c r="AH206" s="51"/>
      <c r="AI206" s="53">
        <v>8</v>
      </c>
      <c r="AJ206" s="45">
        <v>523.04999999999984</v>
      </c>
      <c r="AK206" s="45"/>
      <c r="AL206" s="45"/>
      <c r="AM206" s="45"/>
      <c r="AN206" s="45"/>
      <c r="AO206" s="45"/>
      <c r="AP206" s="51"/>
    </row>
    <row r="207" spans="1:42" ht="21" customHeight="1" thickTop="1" thickBot="1" x14ac:dyDescent="0.35">
      <c r="A207" s="63"/>
      <c r="B207" s="66"/>
      <c r="C207" s="53">
        <v>9</v>
      </c>
      <c r="D207" s="45">
        <v>521.35999999999967</v>
      </c>
      <c r="E207" s="45"/>
      <c r="F207" s="45"/>
      <c r="G207" s="45"/>
      <c r="H207" s="45"/>
      <c r="I207" s="45"/>
      <c r="J207" s="51"/>
      <c r="K207" s="53">
        <v>9</v>
      </c>
      <c r="L207" s="45">
        <v>522.44999999999982</v>
      </c>
      <c r="M207" s="45"/>
      <c r="N207" s="45"/>
      <c r="O207" s="45"/>
      <c r="P207" s="45"/>
      <c r="Q207" s="45"/>
      <c r="R207" s="51"/>
      <c r="S207" s="53">
        <v>9</v>
      </c>
      <c r="T207" s="45">
        <v>524.68999999999971</v>
      </c>
      <c r="U207" s="45"/>
      <c r="V207" s="45"/>
      <c r="W207" s="45"/>
      <c r="X207" s="45"/>
      <c r="Y207" s="45"/>
      <c r="Z207" s="51"/>
      <c r="AA207" s="53">
        <v>9</v>
      </c>
      <c r="AB207" s="45">
        <v>521.35999999999967</v>
      </c>
      <c r="AC207" s="45"/>
      <c r="AD207" s="45"/>
      <c r="AE207" s="45"/>
      <c r="AF207" s="45"/>
      <c r="AG207" s="45"/>
      <c r="AH207" s="51"/>
      <c r="AI207" s="53">
        <v>9</v>
      </c>
      <c r="AJ207" s="45">
        <v>523.87999999999988</v>
      </c>
      <c r="AK207" s="45"/>
      <c r="AL207" s="45"/>
      <c r="AM207" s="45"/>
      <c r="AN207" s="45"/>
      <c r="AO207" s="45"/>
      <c r="AP207" s="51"/>
    </row>
    <row r="208" spans="1:42" ht="21" customHeight="1" thickTop="1" thickBot="1" x14ac:dyDescent="0.35">
      <c r="A208" s="63"/>
      <c r="B208" s="66"/>
      <c r="C208" s="53">
        <v>10</v>
      </c>
      <c r="D208" s="45">
        <v>521.39999999999975</v>
      </c>
      <c r="E208" s="45"/>
      <c r="F208" s="45"/>
      <c r="G208" s="45"/>
      <c r="H208" s="45"/>
      <c r="I208" s="45"/>
      <c r="J208" s="51"/>
      <c r="K208" s="53">
        <v>10</v>
      </c>
      <c r="L208" s="45">
        <v>522.56999999999971</v>
      </c>
      <c r="M208" s="45"/>
      <c r="N208" s="45"/>
      <c r="O208" s="45"/>
      <c r="P208" s="45"/>
      <c r="Q208" s="45"/>
      <c r="R208" s="51"/>
      <c r="S208" s="53">
        <v>10</v>
      </c>
      <c r="T208" s="45">
        <v>523.69999999999982</v>
      </c>
      <c r="U208" s="45"/>
      <c r="V208" s="45"/>
      <c r="W208" s="45"/>
      <c r="X208" s="45"/>
      <c r="Y208" s="45"/>
      <c r="Z208" s="51"/>
      <c r="AA208" s="53">
        <v>10</v>
      </c>
      <c r="AB208" s="45">
        <v>522.5899999999998</v>
      </c>
      <c r="AC208" s="45"/>
      <c r="AD208" s="45"/>
      <c r="AE208" s="45"/>
      <c r="AF208" s="45"/>
      <c r="AG208" s="45"/>
      <c r="AH208" s="51"/>
      <c r="AI208" s="53">
        <v>10</v>
      </c>
      <c r="AJ208" s="45">
        <v>522.99999999999989</v>
      </c>
      <c r="AK208" s="45"/>
      <c r="AL208" s="45"/>
      <c r="AM208" s="45"/>
      <c r="AN208" s="45"/>
      <c r="AO208" s="45"/>
      <c r="AP208" s="51"/>
    </row>
    <row r="209" spans="1:42" ht="21" customHeight="1" thickTop="1" thickBot="1" x14ac:dyDescent="0.35">
      <c r="A209" s="63"/>
      <c r="B209" s="66"/>
      <c r="C209" s="53"/>
      <c r="D209" s="45"/>
      <c r="E209" s="45"/>
      <c r="F209" s="45"/>
      <c r="G209" s="45"/>
      <c r="H209" s="45"/>
      <c r="I209" s="45"/>
      <c r="J209" s="51"/>
      <c r="K209" s="53"/>
      <c r="L209" s="45"/>
      <c r="M209" s="45"/>
      <c r="N209" s="45"/>
      <c r="O209" s="45"/>
      <c r="P209" s="45"/>
      <c r="Q209" s="45"/>
      <c r="R209" s="51"/>
      <c r="S209" s="53"/>
      <c r="T209" s="45"/>
      <c r="U209" s="45"/>
      <c r="V209" s="45"/>
      <c r="W209" s="45"/>
      <c r="X209" s="45"/>
      <c r="Y209" s="45"/>
      <c r="Z209" s="51"/>
      <c r="AA209" s="53"/>
      <c r="AB209" s="45"/>
      <c r="AC209" s="45"/>
      <c r="AD209" s="45"/>
      <c r="AE209" s="45"/>
      <c r="AF209" s="45"/>
      <c r="AG209" s="45"/>
      <c r="AH209" s="51"/>
      <c r="AI209" s="53"/>
      <c r="AJ209" s="45"/>
      <c r="AK209" s="45"/>
      <c r="AL209" s="45"/>
      <c r="AM209" s="45"/>
      <c r="AN209" s="45"/>
      <c r="AO209" s="45"/>
      <c r="AP209" s="51"/>
    </row>
    <row r="210" spans="1:42" ht="21" customHeight="1" thickTop="1" thickBot="1" x14ac:dyDescent="0.35">
      <c r="A210" s="63"/>
      <c r="B210" s="66"/>
      <c r="C210" s="54" t="s">
        <v>16</v>
      </c>
      <c r="D210" s="49">
        <f>MIN(D199:D208)</f>
        <v>521.29999999999973</v>
      </c>
      <c r="E210" s="45"/>
      <c r="F210" s="55" t="s">
        <v>17</v>
      </c>
      <c r="G210" s="49" t="s">
        <v>18</v>
      </c>
      <c r="H210" s="49" t="s">
        <v>19</v>
      </c>
      <c r="I210" s="45"/>
      <c r="J210" s="51"/>
      <c r="K210" s="54" t="s">
        <v>16</v>
      </c>
      <c r="L210" s="49">
        <f>MIN(L199:L208)</f>
        <v>522.15999999999974</v>
      </c>
      <c r="M210" s="45"/>
      <c r="N210" s="55" t="s">
        <v>17</v>
      </c>
      <c r="O210" s="49" t="s">
        <v>18</v>
      </c>
      <c r="P210" s="49" t="s">
        <v>19</v>
      </c>
      <c r="Q210" s="45"/>
      <c r="R210" s="51"/>
      <c r="S210" s="54" t="s">
        <v>16</v>
      </c>
      <c r="T210" s="49">
        <f>MIN(T199:T208)</f>
        <v>521.51999999999975</v>
      </c>
      <c r="U210" s="45"/>
      <c r="V210" s="55" t="s">
        <v>17</v>
      </c>
      <c r="W210" s="49" t="s">
        <v>18</v>
      </c>
      <c r="X210" s="49" t="s">
        <v>19</v>
      </c>
      <c r="Y210" s="45"/>
      <c r="Z210" s="51"/>
      <c r="AA210" s="54" t="s">
        <v>16</v>
      </c>
      <c r="AB210" s="49">
        <f>MIN(AB199:AB208)</f>
        <v>521.29999999999973</v>
      </c>
      <c r="AC210" s="45"/>
      <c r="AD210" s="55" t="s">
        <v>17</v>
      </c>
      <c r="AE210" s="49" t="s">
        <v>18</v>
      </c>
      <c r="AF210" s="49" t="s">
        <v>19</v>
      </c>
      <c r="AG210" s="45"/>
      <c r="AH210" s="51"/>
      <c r="AI210" s="54" t="s">
        <v>16</v>
      </c>
      <c r="AJ210" s="49">
        <f>MIN(AJ199:AJ208)</f>
        <v>522.13999999999987</v>
      </c>
      <c r="AK210" s="45"/>
      <c r="AL210" s="55" t="s">
        <v>17</v>
      </c>
      <c r="AM210" s="49" t="s">
        <v>18</v>
      </c>
      <c r="AN210" s="49" t="s">
        <v>19</v>
      </c>
      <c r="AO210" s="45"/>
      <c r="AP210" s="51"/>
    </row>
    <row r="211" spans="1:42" ht="21" customHeight="1" thickTop="1" thickBot="1" x14ac:dyDescent="0.35">
      <c r="A211" s="63"/>
      <c r="B211" s="66"/>
      <c r="C211" s="54" t="s">
        <v>20</v>
      </c>
      <c r="D211" s="48">
        <f>AVERAGE(D199:D208)</f>
        <v>521.65099999999973</v>
      </c>
      <c r="E211" s="47"/>
      <c r="F211" s="48">
        <f>_xlfn.STDEV.S(D199:D208) / AVERAGE(D199:D208) * 100%</f>
        <v>5.1789894496193783E-4</v>
      </c>
      <c r="G211" s="48">
        <f t="array" ref="G211">MIN((D199:D208 - MIN(D199:D208,L199:L208,T199:T208,AB199:AB208,AJ199:AJ208))/MIN(D199:D208,L199:L208,T199:T208,AB199:AB208,AJ199:AJ208)*100%)</f>
        <v>0</v>
      </c>
      <c r="H211" s="48">
        <f t="array" ref="H211">AVERAGE((D199:D208 - MIN(D199:D208,L199:L208,T199:T208,AB199:AB208,AJ199:AJ208))/MIN(D199:D208,L199:L208,T199:T208,AB199:AB208,AJ199:AJ208)*100%)</f>
        <v>6.7331670822946864E-4</v>
      </c>
      <c r="I211" s="45"/>
      <c r="J211" s="51"/>
      <c r="K211" s="54" t="s">
        <v>20</v>
      </c>
      <c r="L211" s="48">
        <f>AVERAGE(L199:L208)</f>
        <v>522.4459999999998</v>
      </c>
      <c r="M211" s="47"/>
      <c r="N211" s="48">
        <f>_xlfn.STDEV.S(L199:L208) / AVERAGE(L199:L208) * 100%</f>
        <v>5.0336855708957664E-4</v>
      </c>
      <c r="O211" s="48">
        <f t="array" ref="O211">MIN((L199:L208 - MIN(D199:D208,L199:L208,T199:T208,AB199:AB208,AJ199:AJ208))/MIN(D199:D208,L199:L208,T199:T208,AB199:AB208,AJ199:AJ208)*100%)</f>
        <v>1.6497218492231231E-3</v>
      </c>
      <c r="P211" s="48">
        <f t="array" ref="P211">AVERAGE((L199:L208 - MIN(D199:D208,L199:L208,T199:T208,AB199:AB208,AJ199:AJ208))/MIN(D199:D208,L199:L208,T199:T208,AB199:AB208,AJ199:AJ208)*100%)</f>
        <v>2.1983502781508938E-3</v>
      </c>
      <c r="Q211" s="44"/>
      <c r="R211" s="51"/>
      <c r="S211" s="54" t="s">
        <v>20</v>
      </c>
      <c r="T211" s="48">
        <f>AVERAGE(T199:T208)</f>
        <v>523.01999999999975</v>
      </c>
      <c r="U211" s="47"/>
      <c r="V211" s="48">
        <f>_xlfn.STDEV.S(T199:T208) / AVERAGE(T199:T208) * 100%</f>
        <v>1.836887480322044E-3</v>
      </c>
      <c r="W211" s="48">
        <f t="array" ref="W211">MIN((T199:T208 - MIN(D199:D208,L199:L208,T199:T208,AB199:AB208,AJ199:AJ208))/MIN(D199:D208,L199:L208,T199:T208,AB199:AB208,AJ199:AJ208)*100%)</f>
        <v>4.2202186840596087E-4</v>
      </c>
      <c r="X211" s="48">
        <f t="array" ref="X211">AVERAGE((T199:T208 - MIN(D199:D208,L199:L208,T199:T208,AB199:AB208,AJ199:AJ208))/MIN(D199:D208,L199:L208,T199:T208,AB199:AB208,AJ199:AJ208)*100%)</f>
        <v>3.2994436984462895E-3</v>
      </c>
      <c r="Y211" s="44"/>
      <c r="Z211" s="51"/>
      <c r="AA211" s="54" t="s">
        <v>20</v>
      </c>
      <c r="AB211" s="48">
        <f>AVERAGE(AB199:AB208)</f>
        <v>522.10799999999983</v>
      </c>
      <c r="AC211" s="47"/>
      <c r="AD211" s="48">
        <f>_xlfn.STDEV.S(AB199:AB208) / AVERAGE(AB199:AB208) * 100%</f>
        <v>1.3163212935906549E-3</v>
      </c>
      <c r="AE211" s="48">
        <f t="array" ref="AE211">MIN((AB199:AB208 - MIN(D199:D208,L199:L208,T199:T208,AB199:AB208,AJ199:AJ208))/MIN(D199:D208,L199:L208,T199:T208,AB199:AB208,AJ199:AJ208)*100%)</f>
        <v>0</v>
      </c>
      <c r="AF211" s="48">
        <f t="array" ref="AF211">AVERAGE((AB199:AB208 - MIN(D199:D208,L199:L208,T199:T208,AB199:AB208,AJ199:AJ208))/MIN(D199:D208,L199:L208,T199:T208,AB199:AB208,AJ199:AJ208)*100%)</f>
        <v>1.5499712257817954E-3</v>
      </c>
      <c r="AG211" s="44"/>
      <c r="AH211" s="51"/>
      <c r="AI211" s="54" t="s">
        <v>20</v>
      </c>
      <c r="AJ211" s="48">
        <f>AVERAGE(AJ199:AJ208)</f>
        <v>523.69399999999985</v>
      </c>
      <c r="AK211" s="47"/>
      <c r="AL211" s="48">
        <f>_xlfn.STDEV.S(AJ199:AJ208) / AVERAGE(AJ199:AJ208) * 100%</f>
        <v>1.4891255937073019E-3</v>
      </c>
      <c r="AM211" s="48">
        <f t="array" ref="AM211">MIN((AJ199:AJ208 - MIN(D199:D208,L199:L208,T199:T208,AB199:AB208,AJ199:AJ208))/MIN(D199:D208,L199:L208,T199:T208,AB199:AB208,AJ199:AJ208)*100%)</f>
        <v>1.6113562248228389E-3</v>
      </c>
      <c r="AN211" s="48">
        <f t="array" ref="AN211">AVERAGE((AJ199:AJ208 - MIN(D199:D208,L199:L208,T199:T208,AB199:AB208,AJ199:AJ208))/MIN(D199:D208,L199:L208,T199:T208,AB199:AB208,AJ199:AJ208)*100%)</f>
        <v>4.5923652407445685E-3</v>
      </c>
      <c r="AO211" s="44"/>
      <c r="AP211" s="51"/>
    </row>
    <row r="212" spans="1:42" ht="21" customHeight="1" thickTop="1" thickBot="1" x14ac:dyDescent="0.35">
      <c r="A212" s="63"/>
      <c r="B212" s="67"/>
      <c r="C212" s="53"/>
      <c r="D212" s="44"/>
      <c r="E212" s="44"/>
      <c r="F212" s="44"/>
      <c r="G212" s="44"/>
      <c r="H212" s="44"/>
      <c r="I212" s="44"/>
      <c r="J212" s="51"/>
      <c r="K212" s="53"/>
      <c r="L212" s="44"/>
      <c r="M212" s="44"/>
      <c r="N212" s="44"/>
      <c r="O212" s="44"/>
      <c r="P212" s="44"/>
      <c r="Q212" s="44"/>
      <c r="R212" s="51"/>
      <c r="S212" s="53"/>
      <c r="T212" s="44"/>
      <c r="U212" s="44"/>
      <c r="V212" s="44"/>
      <c r="W212" s="44"/>
      <c r="X212" s="44"/>
      <c r="Y212" s="44"/>
      <c r="Z212" s="51"/>
      <c r="AA212" s="53"/>
      <c r="AB212" s="44"/>
      <c r="AC212" s="44"/>
      <c r="AD212" s="44"/>
      <c r="AE212" s="44"/>
      <c r="AF212" s="44"/>
      <c r="AG212" s="44"/>
      <c r="AH212" s="51"/>
      <c r="AI212" s="53"/>
      <c r="AJ212" s="44"/>
      <c r="AK212" s="44"/>
      <c r="AL212" s="44"/>
      <c r="AM212" s="44"/>
      <c r="AN212" s="44"/>
      <c r="AO212" s="44"/>
      <c r="AP212" s="51"/>
    </row>
    <row r="213" spans="1:42" ht="21" customHeight="1" thickTop="1" thickBot="1" x14ac:dyDescent="0.35">
      <c r="A213" s="63"/>
      <c r="B213" s="65" t="s">
        <v>120</v>
      </c>
      <c r="C213" s="59" t="s">
        <v>8</v>
      </c>
      <c r="D213" s="46" t="s">
        <v>9</v>
      </c>
      <c r="E213" s="46" t="s">
        <v>10</v>
      </c>
      <c r="F213" s="46" t="s">
        <v>11</v>
      </c>
      <c r="G213" s="46" t="s">
        <v>12</v>
      </c>
      <c r="H213" s="46" t="s">
        <v>13</v>
      </c>
      <c r="I213" s="46" t="s">
        <v>14</v>
      </c>
      <c r="J213" s="60" t="s">
        <v>15</v>
      </c>
      <c r="K213" s="59" t="s">
        <v>8</v>
      </c>
      <c r="L213" s="46" t="s">
        <v>9</v>
      </c>
      <c r="M213" s="46" t="s">
        <v>10</v>
      </c>
      <c r="N213" s="46" t="s">
        <v>11</v>
      </c>
      <c r="O213" s="46" t="s">
        <v>12</v>
      </c>
      <c r="P213" s="46" t="s">
        <v>13</v>
      </c>
      <c r="Q213" s="46" t="s">
        <v>14</v>
      </c>
      <c r="R213" s="60" t="s">
        <v>15</v>
      </c>
      <c r="S213" s="59" t="s">
        <v>8</v>
      </c>
      <c r="T213" s="46" t="s">
        <v>9</v>
      </c>
      <c r="U213" s="46" t="s">
        <v>10</v>
      </c>
      <c r="V213" s="46" t="s">
        <v>11</v>
      </c>
      <c r="W213" s="46" t="s">
        <v>12</v>
      </c>
      <c r="X213" s="46" t="s">
        <v>13</v>
      </c>
      <c r="Y213" s="46" t="s">
        <v>14</v>
      </c>
      <c r="Z213" s="60" t="s">
        <v>15</v>
      </c>
      <c r="AA213" s="59" t="s">
        <v>8</v>
      </c>
      <c r="AB213" s="46" t="s">
        <v>9</v>
      </c>
      <c r="AC213" s="46" t="s">
        <v>10</v>
      </c>
      <c r="AD213" s="46" t="s">
        <v>11</v>
      </c>
      <c r="AE213" s="46" t="s">
        <v>12</v>
      </c>
      <c r="AF213" s="46" t="s">
        <v>13</v>
      </c>
      <c r="AG213" s="46" t="s">
        <v>14</v>
      </c>
      <c r="AH213" s="60" t="s">
        <v>15</v>
      </c>
      <c r="AI213" s="59" t="s">
        <v>8</v>
      </c>
      <c r="AJ213" s="46" t="s">
        <v>9</v>
      </c>
      <c r="AK213" s="46" t="s">
        <v>10</v>
      </c>
      <c r="AL213" s="46" t="s">
        <v>11</v>
      </c>
      <c r="AM213" s="46" t="s">
        <v>12</v>
      </c>
      <c r="AN213" s="46" t="s">
        <v>13</v>
      </c>
      <c r="AO213" s="46" t="s">
        <v>14</v>
      </c>
      <c r="AP213" s="60" t="s">
        <v>15</v>
      </c>
    </row>
    <row r="214" spans="1:42" ht="21" customHeight="1" thickTop="1" thickBot="1" x14ac:dyDescent="0.35">
      <c r="A214" s="63"/>
      <c r="B214" s="66"/>
      <c r="C214" s="52">
        <v>1</v>
      </c>
      <c r="D214" s="44">
        <v>546.06999999999971</v>
      </c>
      <c r="E214" s="44"/>
      <c r="F214" s="44"/>
      <c r="G214" s="44"/>
      <c r="H214" s="44"/>
      <c r="I214" s="44"/>
      <c r="J214" s="51"/>
      <c r="K214" s="52">
        <v>1</v>
      </c>
      <c r="L214" s="44">
        <v>546.12999999999977</v>
      </c>
      <c r="M214" s="44"/>
      <c r="N214" s="44"/>
      <c r="O214" s="44"/>
      <c r="P214" s="44"/>
      <c r="Q214" s="44"/>
      <c r="R214" s="51"/>
      <c r="S214" s="52">
        <v>1</v>
      </c>
      <c r="T214" s="44">
        <v>546.48999999999978</v>
      </c>
      <c r="U214" s="44"/>
      <c r="V214" s="44"/>
      <c r="W214" s="44"/>
      <c r="X214" s="44"/>
      <c r="Y214" s="44"/>
      <c r="Z214" s="51"/>
      <c r="AA214" s="52">
        <v>1</v>
      </c>
      <c r="AB214" s="44">
        <v>547.63999999999976</v>
      </c>
      <c r="AC214" s="44"/>
      <c r="AD214" s="44"/>
      <c r="AE214" s="44"/>
      <c r="AF214" s="44"/>
      <c r="AG214" s="44"/>
      <c r="AH214" s="51"/>
      <c r="AI214" s="52">
        <v>1</v>
      </c>
      <c r="AJ214" s="44">
        <v>547.03</v>
      </c>
      <c r="AK214" s="44"/>
      <c r="AL214" s="44"/>
      <c r="AM214" s="44"/>
      <c r="AN214" s="44"/>
      <c r="AO214" s="44"/>
      <c r="AP214" s="51"/>
    </row>
    <row r="215" spans="1:42" ht="21" customHeight="1" thickTop="1" thickBot="1" x14ac:dyDescent="0.35">
      <c r="A215" s="63"/>
      <c r="B215" s="66"/>
      <c r="C215" s="53">
        <v>2</v>
      </c>
      <c r="D215" s="45">
        <v>545.99999999999977</v>
      </c>
      <c r="E215" s="45"/>
      <c r="F215" s="45"/>
      <c r="G215" s="45"/>
      <c r="H215" s="45"/>
      <c r="I215" s="45"/>
      <c r="J215" s="51"/>
      <c r="K215" s="53">
        <v>2</v>
      </c>
      <c r="L215" s="45">
        <v>546.23999999999978</v>
      </c>
      <c r="M215" s="45"/>
      <c r="N215" s="45"/>
      <c r="O215" s="45"/>
      <c r="P215" s="45"/>
      <c r="Q215" s="45"/>
      <c r="R215" s="51"/>
      <c r="S215" s="53">
        <v>2</v>
      </c>
      <c r="T215" s="45">
        <v>546.01999999999975</v>
      </c>
      <c r="U215" s="45"/>
      <c r="V215" s="45"/>
      <c r="W215" s="45"/>
      <c r="X215" s="45"/>
      <c r="Y215" s="45"/>
      <c r="Z215" s="51"/>
      <c r="AA215" s="53">
        <v>2</v>
      </c>
      <c r="AB215" s="45">
        <v>546.25999999999976</v>
      </c>
      <c r="AC215" s="45"/>
      <c r="AD215" s="45"/>
      <c r="AE215" s="45"/>
      <c r="AF215" s="45"/>
      <c r="AG215" s="45"/>
      <c r="AH215" s="51"/>
      <c r="AI215" s="53">
        <v>2</v>
      </c>
      <c r="AJ215" s="45">
        <v>546.62999999999988</v>
      </c>
      <c r="AK215" s="45"/>
      <c r="AL215" s="45"/>
      <c r="AM215" s="45"/>
      <c r="AN215" s="45"/>
      <c r="AO215" s="45"/>
      <c r="AP215" s="51"/>
    </row>
    <row r="216" spans="1:42" ht="21" customHeight="1" thickTop="1" thickBot="1" x14ac:dyDescent="0.35">
      <c r="A216" s="63"/>
      <c r="B216" s="66"/>
      <c r="C216" s="53">
        <v>3</v>
      </c>
      <c r="D216" s="45">
        <v>545.25999999999988</v>
      </c>
      <c r="E216" s="45"/>
      <c r="F216" s="45"/>
      <c r="G216" s="44"/>
      <c r="H216" s="44"/>
      <c r="I216" s="44"/>
      <c r="J216" s="51"/>
      <c r="K216" s="53">
        <v>3</v>
      </c>
      <c r="L216" s="45">
        <v>545.25999999999976</v>
      </c>
      <c r="M216" s="45"/>
      <c r="N216" s="45"/>
      <c r="O216" s="44"/>
      <c r="P216" s="44"/>
      <c r="Q216" s="44"/>
      <c r="R216" s="51"/>
      <c r="S216" s="53">
        <v>3</v>
      </c>
      <c r="T216" s="45">
        <v>546.81999999999982</v>
      </c>
      <c r="U216" s="45"/>
      <c r="V216" s="45"/>
      <c r="W216" s="44"/>
      <c r="X216" s="44"/>
      <c r="Y216" s="44"/>
      <c r="Z216" s="51"/>
      <c r="AA216" s="53">
        <v>3</v>
      </c>
      <c r="AB216" s="45">
        <v>544.93999999999983</v>
      </c>
      <c r="AC216" s="45"/>
      <c r="AD216" s="45"/>
      <c r="AE216" s="44"/>
      <c r="AF216" s="44"/>
      <c r="AG216" s="44"/>
      <c r="AH216" s="51"/>
      <c r="AI216" s="53">
        <v>3</v>
      </c>
      <c r="AJ216" s="45">
        <v>546.54999999999995</v>
      </c>
      <c r="AK216" s="45"/>
      <c r="AL216" s="45"/>
      <c r="AM216" s="44"/>
      <c r="AN216" s="44"/>
      <c r="AO216" s="44"/>
      <c r="AP216" s="51"/>
    </row>
    <row r="217" spans="1:42" ht="21" customHeight="1" thickTop="1" thickBot="1" x14ac:dyDescent="0.35">
      <c r="A217" s="63"/>
      <c r="B217" s="66"/>
      <c r="C217" s="53">
        <v>4</v>
      </c>
      <c r="D217" s="45">
        <v>545.28999999999974</v>
      </c>
      <c r="E217" s="45"/>
      <c r="F217" s="45"/>
      <c r="G217" s="45"/>
      <c r="H217" s="45"/>
      <c r="I217" s="45"/>
      <c r="J217" s="51"/>
      <c r="K217" s="53">
        <v>4</v>
      </c>
      <c r="L217" s="45">
        <v>545.25999999999988</v>
      </c>
      <c r="M217" s="45"/>
      <c r="N217" s="45"/>
      <c r="O217" s="45"/>
      <c r="P217" s="45"/>
      <c r="Q217" s="45"/>
      <c r="R217" s="51"/>
      <c r="S217" s="53">
        <v>4</v>
      </c>
      <c r="T217" s="45">
        <v>548.19999999999982</v>
      </c>
      <c r="U217" s="45"/>
      <c r="V217" s="45"/>
      <c r="W217" s="45"/>
      <c r="X217" s="45"/>
      <c r="Y217" s="45"/>
      <c r="Z217" s="51"/>
      <c r="AA217" s="53">
        <v>4</v>
      </c>
      <c r="AB217" s="45">
        <v>545.15999999999974</v>
      </c>
      <c r="AC217" s="45"/>
      <c r="AD217" s="45"/>
      <c r="AE217" s="45"/>
      <c r="AF217" s="45"/>
      <c r="AG217" s="45"/>
      <c r="AH217" s="51"/>
      <c r="AI217" s="53">
        <v>4</v>
      </c>
      <c r="AJ217" s="45">
        <v>545.88</v>
      </c>
      <c r="AK217" s="45"/>
      <c r="AL217" s="45"/>
      <c r="AM217" s="45"/>
      <c r="AN217" s="45"/>
      <c r="AO217" s="45"/>
      <c r="AP217" s="51"/>
    </row>
    <row r="218" spans="1:42" ht="21" customHeight="1" thickTop="1" thickBot="1" x14ac:dyDescent="0.35">
      <c r="A218" s="63"/>
      <c r="B218" s="66"/>
      <c r="C218" s="53">
        <v>5</v>
      </c>
      <c r="D218" s="45">
        <v>545.5899999999998</v>
      </c>
      <c r="E218" s="45"/>
      <c r="F218" s="45"/>
      <c r="G218" s="45"/>
      <c r="H218" s="45"/>
      <c r="I218" s="45"/>
      <c r="J218" s="51"/>
      <c r="K218" s="53">
        <v>5</v>
      </c>
      <c r="L218" s="45">
        <v>546.23999999999978</v>
      </c>
      <c r="M218" s="45"/>
      <c r="N218" s="45"/>
      <c r="O218" s="45"/>
      <c r="P218" s="45"/>
      <c r="Q218" s="45"/>
      <c r="R218" s="51"/>
      <c r="S218" s="53">
        <v>5</v>
      </c>
      <c r="T218" s="45">
        <v>547.78999999999974</v>
      </c>
      <c r="U218" s="45"/>
      <c r="V218" s="45"/>
      <c r="W218" s="45"/>
      <c r="X218" s="45"/>
      <c r="Y218" s="45"/>
      <c r="Z218" s="51"/>
      <c r="AA218" s="53">
        <v>5</v>
      </c>
      <c r="AB218" s="45">
        <v>546.64999999999986</v>
      </c>
      <c r="AC218" s="45"/>
      <c r="AD218" s="45"/>
      <c r="AE218" s="45"/>
      <c r="AF218" s="45"/>
      <c r="AG218" s="45"/>
      <c r="AH218" s="51"/>
      <c r="AI218" s="53">
        <v>5</v>
      </c>
      <c r="AJ218" s="45">
        <v>546.41</v>
      </c>
      <c r="AK218" s="45"/>
      <c r="AL218" s="45"/>
      <c r="AM218" s="45"/>
      <c r="AN218" s="45"/>
      <c r="AO218" s="45"/>
      <c r="AP218" s="51"/>
    </row>
    <row r="219" spans="1:42" ht="21" customHeight="1" thickTop="1" thickBot="1" x14ac:dyDescent="0.35">
      <c r="A219" s="63"/>
      <c r="B219" s="66"/>
      <c r="C219" s="53">
        <v>6</v>
      </c>
      <c r="D219" s="45">
        <v>546.27999999999975</v>
      </c>
      <c r="E219" s="45"/>
      <c r="F219" s="45"/>
      <c r="G219" s="45"/>
      <c r="H219" s="45"/>
      <c r="I219" s="45"/>
      <c r="J219" s="51"/>
      <c r="K219" s="53">
        <v>6</v>
      </c>
      <c r="L219" s="45">
        <v>546.64999999999975</v>
      </c>
      <c r="M219" s="45"/>
      <c r="N219" s="45"/>
      <c r="O219" s="45"/>
      <c r="P219" s="45"/>
      <c r="Q219" s="45"/>
      <c r="R219" s="51"/>
      <c r="S219" s="53">
        <v>6</v>
      </c>
      <c r="T219" s="45">
        <v>548.21999999999969</v>
      </c>
      <c r="U219" s="45"/>
      <c r="V219" s="45"/>
      <c r="W219" s="45"/>
      <c r="X219" s="45"/>
      <c r="Y219" s="45"/>
      <c r="Z219" s="51"/>
      <c r="AA219" s="53">
        <v>6</v>
      </c>
      <c r="AB219" s="45">
        <v>544.86999999999966</v>
      </c>
      <c r="AC219" s="45"/>
      <c r="AD219" s="45"/>
      <c r="AE219" s="45"/>
      <c r="AF219" s="45"/>
      <c r="AG219" s="45"/>
      <c r="AH219" s="51"/>
      <c r="AI219" s="53">
        <v>6</v>
      </c>
      <c r="AJ219" s="45">
        <v>546.62999999999988</v>
      </c>
      <c r="AK219" s="45"/>
      <c r="AL219" s="45"/>
      <c r="AM219" s="45"/>
      <c r="AN219" s="45"/>
      <c r="AO219" s="45"/>
      <c r="AP219" s="51"/>
    </row>
    <row r="220" spans="1:42" ht="21" customHeight="1" thickTop="1" thickBot="1" x14ac:dyDescent="0.35">
      <c r="A220" s="63"/>
      <c r="B220" s="66"/>
      <c r="C220" s="53">
        <v>7</v>
      </c>
      <c r="D220" s="45">
        <v>544.46999999999969</v>
      </c>
      <c r="E220" s="45"/>
      <c r="F220" s="45"/>
      <c r="G220" s="45"/>
      <c r="H220" s="45"/>
      <c r="I220" s="45"/>
      <c r="J220" s="51"/>
      <c r="K220" s="53">
        <v>7</v>
      </c>
      <c r="L220" s="45">
        <v>545.2099999999997</v>
      </c>
      <c r="M220" s="45"/>
      <c r="N220" s="45"/>
      <c r="O220" s="45"/>
      <c r="P220" s="45"/>
      <c r="Q220" s="45"/>
      <c r="R220" s="51"/>
      <c r="S220" s="53">
        <v>7</v>
      </c>
      <c r="T220" s="45">
        <v>547.05999999999972</v>
      </c>
      <c r="U220" s="45"/>
      <c r="V220" s="45"/>
      <c r="W220" s="45"/>
      <c r="X220" s="45"/>
      <c r="Y220" s="45"/>
      <c r="Z220" s="51"/>
      <c r="AA220" s="53">
        <v>7</v>
      </c>
      <c r="AB220" s="45">
        <v>545.28999999999974</v>
      </c>
      <c r="AC220" s="45"/>
      <c r="AD220" s="45"/>
      <c r="AE220" s="45"/>
      <c r="AF220" s="45"/>
      <c r="AG220" s="45"/>
      <c r="AH220" s="51"/>
      <c r="AI220" s="53">
        <v>7</v>
      </c>
      <c r="AJ220" s="45">
        <v>546.11999999999989</v>
      </c>
      <c r="AK220" s="45"/>
      <c r="AL220" s="45"/>
      <c r="AM220" s="45"/>
      <c r="AN220" s="45"/>
      <c r="AO220" s="45"/>
      <c r="AP220" s="51"/>
    </row>
    <row r="221" spans="1:42" ht="21" customHeight="1" thickTop="1" thickBot="1" x14ac:dyDescent="0.35">
      <c r="A221" s="63"/>
      <c r="B221" s="66"/>
      <c r="C221" s="53">
        <v>8</v>
      </c>
      <c r="D221" s="45">
        <v>545.2099999999997</v>
      </c>
      <c r="E221" s="45"/>
      <c r="F221" s="45"/>
      <c r="G221" s="45"/>
      <c r="H221" s="45"/>
      <c r="I221" s="45"/>
      <c r="J221" s="51"/>
      <c r="K221" s="53">
        <v>8</v>
      </c>
      <c r="L221" s="45">
        <v>545.25999999999976</v>
      </c>
      <c r="M221" s="45"/>
      <c r="N221" s="45"/>
      <c r="O221" s="45"/>
      <c r="P221" s="45"/>
      <c r="Q221" s="45"/>
      <c r="R221" s="51"/>
      <c r="S221" s="53">
        <v>8</v>
      </c>
      <c r="T221" s="45">
        <v>546.19999999999982</v>
      </c>
      <c r="U221" s="45"/>
      <c r="V221" s="45"/>
      <c r="W221" s="45"/>
      <c r="X221" s="45"/>
      <c r="Y221" s="45"/>
      <c r="Z221" s="51"/>
      <c r="AA221" s="53">
        <v>8</v>
      </c>
      <c r="AB221" s="45">
        <v>544.98999999999967</v>
      </c>
      <c r="AC221" s="45"/>
      <c r="AD221" s="45"/>
      <c r="AE221" s="45"/>
      <c r="AF221" s="45"/>
      <c r="AG221" s="45"/>
      <c r="AH221" s="51"/>
      <c r="AI221" s="53">
        <v>8</v>
      </c>
      <c r="AJ221" s="45">
        <v>547.32999999999981</v>
      </c>
      <c r="AK221" s="45"/>
      <c r="AL221" s="45"/>
      <c r="AM221" s="45"/>
      <c r="AN221" s="45"/>
      <c r="AO221" s="45"/>
      <c r="AP221" s="51"/>
    </row>
    <row r="222" spans="1:42" ht="21" customHeight="1" thickTop="1" thickBot="1" x14ac:dyDescent="0.35">
      <c r="A222" s="63"/>
      <c r="B222" s="66"/>
      <c r="C222" s="53">
        <v>9</v>
      </c>
      <c r="D222" s="45">
        <v>544.98999999999967</v>
      </c>
      <c r="E222" s="45"/>
      <c r="F222" s="45"/>
      <c r="G222" s="45"/>
      <c r="H222" s="45"/>
      <c r="I222" s="45"/>
      <c r="J222" s="51"/>
      <c r="K222" s="53">
        <v>9</v>
      </c>
      <c r="L222" s="45">
        <v>545.9599999999997</v>
      </c>
      <c r="M222" s="45"/>
      <c r="N222" s="45"/>
      <c r="O222" s="45"/>
      <c r="P222" s="45"/>
      <c r="Q222" s="45"/>
      <c r="R222" s="51"/>
      <c r="S222" s="53">
        <v>9</v>
      </c>
      <c r="T222" s="45">
        <v>546.48999999999978</v>
      </c>
      <c r="U222" s="45"/>
      <c r="V222" s="45"/>
      <c r="W222" s="45"/>
      <c r="X222" s="45"/>
      <c r="Y222" s="45"/>
      <c r="Z222" s="51"/>
      <c r="AA222" s="53">
        <v>9</v>
      </c>
      <c r="AB222" s="45">
        <v>547.04999999999973</v>
      </c>
      <c r="AC222" s="45"/>
      <c r="AD222" s="45"/>
      <c r="AE222" s="45"/>
      <c r="AF222" s="45"/>
      <c r="AG222" s="45"/>
      <c r="AH222" s="51"/>
      <c r="AI222" s="53">
        <v>9</v>
      </c>
      <c r="AJ222" s="45">
        <v>547.01999999999987</v>
      </c>
      <c r="AK222" s="45"/>
      <c r="AL222" s="45"/>
      <c r="AM222" s="45"/>
      <c r="AN222" s="45"/>
      <c r="AO222" s="45"/>
      <c r="AP222" s="51"/>
    </row>
    <row r="223" spans="1:42" ht="21" customHeight="1" thickTop="1" thickBot="1" x14ac:dyDescent="0.35">
      <c r="A223" s="63"/>
      <c r="B223" s="66"/>
      <c r="C223" s="53">
        <v>10</v>
      </c>
      <c r="D223" s="45">
        <v>545.25999999999976</v>
      </c>
      <c r="E223" s="45"/>
      <c r="F223" s="45"/>
      <c r="G223" s="45"/>
      <c r="H223" s="45"/>
      <c r="I223" s="45"/>
      <c r="J223" s="51"/>
      <c r="K223" s="53">
        <v>10</v>
      </c>
      <c r="L223" s="45">
        <v>545.40999999999974</v>
      </c>
      <c r="M223" s="45"/>
      <c r="N223" s="45"/>
      <c r="O223" s="45"/>
      <c r="P223" s="45"/>
      <c r="Q223" s="45"/>
      <c r="R223" s="51"/>
      <c r="S223" s="53">
        <v>10</v>
      </c>
      <c r="T223" s="45">
        <v>548.00999999999976</v>
      </c>
      <c r="U223" s="45"/>
      <c r="V223" s="45"/>
      <c r="W223" s="45"/>
      <c r="X223" s="45"/>
      <c r="Y223" s="45"/>
      <c r="Z223" s="51"/>
      <c r="AA223" s="53">
        <v>10</v>
      </c>
      <c r="AB223" s="45">
        <v>546.43999999999983</v>
      </c>
      <c r="AC223" s="45"/>
      <c r="AD223" s="45"/>
      <c r="AE223" s="45"/>
      <c r="AF223" s="45"/>
      <c r="AG223" s="45"/>
      <c r="AH223" s="51"/>
      <c r="AI223" s="53">
        <v>10</v>
      </c>
      <c r="AJ223" s="45">
        <v>547.32999999999993</v>
      </c>
      <c r="AK223" s="45"/>
      <c r="AL223" s="45"/>
      <c r="AM223" s="45"/>
      <c r="AN223" s="45"/>
      <c r="AO223" s="45"/>
      <c r="AP223" s="51"/>
    </row>
    <row r="224" spans="1:42" ht="21" customHeight="1" thickTop="1" thickBot="1" x14ac:dyDescent="0.35">
      <c r="A224" s="63"/>
      <c r="B224" s="66"/>
      <c r="C224" s="53"/>
      <c r="D224" s="45"/>
      <c r="E224" s="45"/>
      <c r="F224" s="45"/>
      <c r="G224" s="45"/>
      <c r="H224" s="45"/>
      <c r="I224" s="45"/>
      <c r="J224" s="51"/>
      <c r="K224" s="53"/>
      <c r="L224" s="45"/>
      <c r="M224" s="45"/>
      <c r="N224" s="45"/>
      <c r="O224" s="45"/>
      <c r="P224" s="45"/>
      <c r="Q224" s="45"/>
      <c r="R224" s="51"/>
      <c r="S224" s="53"/>
      <c r="T224" s="45"/>
      <c r="U224" s="45"/>
      <c r="V224" s="45"/>
      <c r="W224" s="45"/>
      <c r="X224" s="45"/>
      <c r="Y224" s="45"/>
      <c r="Z224" s="51"/>
      <c r="AA224" s="53"/>
      <c r="AB224" s="45"/>
      <c r="AC224" s="45"/>
      <c r="AD224" s="45"/>
      <c r="AE224" s="45"/>
      <c r="AF224" s="45"/>
      <c r="AG224" s="45"/>
      <c r="AH224" s="51"/>
      <c r="AI224" s="53"/>
      <c r="AJ224" s="45"/>
      <c r="AK224" s="45"/>
      <c r="AL224" s="45"/>
      <c r="AM224" s="45"/>
      <c r="AN224" s="45"/>
      <c r="AO224" s="45"/>
      <c r="AP224" s="51"/>
    </row>
    <row r="225" spans="1:42" ht="21" customHeight="1" thickTop="1" thickBot="1" x14ac:dyDescent="0.35">
      <c r="A225" s="63"/>
      <c r="B225" s="66"/>
      <c r="C225" s="54" t="s">
        <v>16</v>
      </c>
      <c r="D225" s="49">
        <f>MIN(D214:D223)</f>
        <v>544.46999999999969</v>
      </c>
      <c r="E225" s="45"/>
      <c r="F225" s="55" t="s">
        <v>17</v>
      </c>
      <c r="G225" s="49" t="s">
        <v>18</v>
      </c>
      <c r="H225" s="49" t="s">
        <v>19</v>
      </c>
      <c r="I225" s="45"/>
      <c r="J225" s="51"/>
      <c r="K225" s="54" t="s">
        <v>16</v>
      </c>
      <c r="L225" s="49">
        <f>MIN(L214:L223)</f>
        <v>545.2099999999997</v>
      </c>
      <c r="M225" s="45"/>
      <c r="N225" s="55" t="s">
        <v>17</v>
      </c>
      <c r="O225" s="49" t="s">
        <v>18</v>
      </c>
      <c r="P225" s="49" t="s">
        <v>19</v>
      </c>
      <c r="Q225" s="45"/>
      <c r="R225" s="51"/>
      <c r="S225" s="54" t="s">
        <v>16</v>
      </c>
      <c r="T225" s="49">
        <f>MIN(T214:T223)</f>
        <v>546.01999999999975</v>
      </c>
      <c r="U225" s="45"/>
      <c r="V225" s="55" t="s">
        <v>17</v>
      </c>
      <c r="W225" s="49" t="s">
        <v>18</v>
      </c>
      <c r="X225" s="49" t="s">
        <v>19</v>
      </c>
      <c r="Y225" s="45"/>
      <c r="Z225" s="51"/>
      <c r="AA225" s="54" t="s">
        <v>16</v>
      </c>
      <c r="AB225" s="49">
        <f>MIN(AB214:AB223)</f>
        <v>544.86999999999966</v>
      </c>
      <c r="AC225" s="45"/>
      <c r="AD225" s="55" t="s">
        <v>17</v>
      </c>
      <c r="AE225" s="49" t="s">
        <v>18</v>
      </c>
      <c r="AF225" s="49" t="s">
        <v>19</v>
      </c>
      <c r="AG225" s="45"/>
      <c r="AH225" s="51"/>
      <c r="AI225" s="54" t="s">
        <v>16</v>
      </c>
      <c r="AJ225" s="49">
        <f>MIN(AJ214:AJ223)</f>
        <v>545.88</v>
      </c>
      <c r="AK225" s="45"/>
      <c r="AL225" s="55" t="s">
        <v>17</v>
      </c>
      <c r="AM225" s="49" t="s">
        <v>18</v>
      </c>
      <c r="AN225" s="49" t="s">
        <v>19</v>
      </c>
      <c r="AO225" s="45"/>
      <c r="AP225" s="51"/>
    </row>
    <row r="226" spans="1:42" ht="21" customHeight="1" thickTop="1" thickBot="1" x14ac:dyDescent="0.35">
      <c r="A226" s="63"/>
      <c r="B226" s="66"/>
      <c r="C226" s="54" t="s">
        <v>20</v>
      </c>
      <c r="D226" s="48">
        <f>AVERAGE(D214:D223)</f>
        <v>545.44199999999978</v>
      </c>
      <c r="E226" s="47"/>
      <c r="F226" s="48">
        <f>_xlfn.STDEV.S(D214:D223) / AVERAGE(D214:D223) * 100%</f>
        <v>1.0082935591563522E-3</v>
      </c>
      <c r="G226" s="48">
        <f t="array" ref="G226">MIN((D214:D223 - MIN(D214:D223,L214:L223,T214:T223,AB214:AB223,AJ214:AJ223))/MIN(D214:D223,L214:L223,T214:T223,AB214:AB223,AJ214:AJ223)*100%)</f>
        <v>0</v>
      </c>
      <c r="H226" s="48">
        <f t="array" ref="H226">AVERAGE((D214:D223 - MIN(D214:D223,L214:L223,T214:T223,AB214:AB223,AJ214:AJ223))/MIN(D214:D223,L214:L223,T214:T223,AB214:AB223,AJ214:AJ223)*100%)</f>
        <v>1.7852223262990799E-3</v>
      </c>
      <c r="I226" s="45"/>
      <c r="J226" s="51"/>
      <c r="K226" s="54" t="s">
        <v>20</v>
      </c>
      <c r="L226" s="48">
        <f>AVERAGE(L214:L223)</f>
        <v>545.76199999999983</v>
      </c>
      <c r="M226" s="47"/>
      <c r="N226" s="48">
        <f>_xlfn.STDEV.S(L214:L223) / AVERAGE(L214:L223) * 100%</f>
        <v>9.8573302896320437E-4</v>
      </c>
      <c r="O226" s="48">
        <f t="array" ref="O226">MIN((L214:L223 - MIN(D214:D223,L214:L223,T214:T223,AB214:AB223,AJ214:AJ223))/MIN(D214:D223,L214:L223,T214:T223,AB214:AB223,AJ214:AJ223)*100%)</f>
        <v>1.3591198780465582E-3</v>
      </c>
      <c r="P226" s="48">
        <f t="array" ref="P226">AVERAGE((L214:L223 - MIN(D214:D223,L214:L223,T214:T223,AB214:AB223,AJ214:AJ223))/MIN(D214:D223,L214:L223,T214:T223,AB214:AB223,AJ214:AJ223)*100%)</f>
        <v>2.3729498411300463E-3</v>
      </c>
      <c r="Q226" s="44"/>
      <c r="R226" s="51"/>
      <c r="S226" s="54" t="s">
        <v>20</v>
      </c>
      <c r="T226" s="48">
        <f>AVERAGE(T214:T223)</f>
        <v>547.12999999999977</v>
      </c>
      <c r="U226" s="47"/>
      <c r="V226" s="48">
        <f>_xlfn.STDEV.S(T214:T223) / AVERAGE(T214:T223) * 100%</f>
        <v>1.5604388585991032E-3</v>
      </c>
      <c r="W226" s="48">
        <f t="array" ref="W226">MIN((T214:T223 - MIN(D214:D223,L214:L223,T214:T223,AB214:AB223,AJ214:AJ223))/MIN(D214:D223,L214:L223,T214:T223,AB214:AB223,AJ214:AJ223)*100%)</f>
        <v>2.8468051499624756E-3</v>
      </c>
      <c r="X226" s="48">
        <f t="array" ref="X226">AVERAGE((T214:T223 - MIN(D214:D223,L214:L223,T214:T223,AB214:AB223,AJ214:AJ223))/MIN(D214:D223,L214:L223,T214:T223,AB214:AB223,AJ214:AJ223)*100%)</f>
        <v>4.8854849670323126E-3</v>
      </c>
      <c r="Y226" s="44"/>
      <c r="Z226" s="51"/>
      <c r="AA226" s="54" t="s">
        <v>20</v>
      </c>
      <c r="AB226" s="48">
        <f>AVERAGE(AB214:AB223)</f>
        <v>545.92899999999986</v>
      </c>
      <c r="AC226" s="47"/>
      <c r="AD226" s="48">
        <f>_xlfn.STDEV.S(AB214:AB223) / AVERAGE(AB214:AB223) * 100%</f>
        <v>1.8373984850873432E-3</v>
      </c>
      <c r="AE226" s="48">
        <f t="array" ref="AE226">MIN((AB214:AB223 - MIN(D214:D223,L214:L223,T214:T223,AB214:AB223,AJ214:AJ223))/MIN(D214:D223,L214:L223,T214:T223,AB214:AB223,AJ214:AJ223)*100%)</f>
        <v>7.3465939353862934E-4</v>
      </c>
      <c r="AF226" s="48">
        <f t="array" ref="AF226">AVERAGE((AB214:AB223 - MIN(D214:D223,L214:L223,T214:T223,AB214:AB223,AJ214:AJ223))/MIN(D214:D223,L214:L223,T214:T223,AB214:AB223,AJ214:AJ223)*100%)</f>
        <v>2.679670137932434E-3</v>
      </c>
      <c r="AG226" s="44"/>
      <c r="AH226" s="51"/>
      <c r="AI226" s="54" t="s">
        <v>20</v>
      </c>
      <c r="AJ226" s="48">
        <f>AVERAGE(AJ214:AJ223)</f>
        <v>546.69299999999987</v>
      </c>
      <c r="AK226" s="47"/>
      <c r="AL226" s="48">
        <f>_xlfn.STDEV.S(AJ214:AJ223) / AVERAGE(AJ214:AJ223) * 100%</f>
        <v>8.8982717146762974E-4</v>
      </c>
      <c r="AM226" s="48">
        <f t="array" ref="AM226">MIN((AJ214:AJ223 - MIN(D214:D223,L214:L223,T214:T223,AB214:AB223,AJ214:AJ223))/MIN(D214:D223,L214:L223,T214:T223,AB214:AB223,AJ214:AJ223)*100%)</f>
        <v>2.5896743622243834E-3</v>
      </c>
      <c r="AN226" s="48">
        <f t="array" ref="AN226">AVERAGE((AJ214:AJ223 - MIN(D214:D223,L214:L223,T214:T223,AB214:AB223,AJ214:AJ223))/MIN(D214:D223,L214:L223,T214:T223,AB214:AB223,AJ214:AJ223)*100%)</f>
        <v>4.0828695795915851E-3</v>
      </c>
      <c r="AO226" s="44"/>
      <c r="AP226" s="51"/>
    </row>
    <row r="227" spans="1:42" ht="21" customHeight="1" thickTop="1" thickBot="1" x14ac:dyDescent="0.35">
      <c r="A227" s="63"/>
      <c r="B227" s="67"/>
      <c r="C227" s="53"/>
      <c r="D227" s="44"/>
      <c r="E227" s="44"/>
      <c r="F227" s="44"/>
      <c r="G227" s="44"/>
      <c r="H227" s="44"/>
      <c r="I227" s="44"/>
      <c r="J227" s="51"/>
      <c r="K227" s="53"/>
      <c r="L227" s="44"/>
      <c r="M227" s="44"/>
      <c r="N227" s="44"/>
      <c r="O227" s="44"/>
      <c r="P227" s="44"/>
      <c r="Q227" s="44"/>
      <c r="R227" s="51"/>
      <c r="S227" s="53"/>
      <c r="T227" s="44"/>
      <c r="U227" s="44"/>
      <c r="V227" s="44"/>
      <c r="W227" s="44"/>
      <c r="X227" s="44"/>
      <c r="Y227" s="44"/>
      <c r="Z227" s="51"/>
      <c r="AA227" s="53"/>
      <c r="AB227" s="44"/>
      <c r="AC227" s="44"/>
      <c r="AD227" s="44"/>
      <c r="AE227" s="44"/>
      <c r="AF227" s="44"/>
      <c r="AG227" s="44"/>
      <c r="AH227" s="51"/>
      <c r="AI227" s="53"/>
      <c r="AJ227" s="44"/>
      <c r="AK227" s="44"/>
      <c r="AL227" s="44"/>
      <c r="AM227" s="44"/>
      <c r="AN227" s="44"/>
      <c r="AO227" s="44"/>
      <c r="AP227" s="51"/>
    </row>
    <row r="228" spans="1:42" ht="21" customHeight="1" thickTop="1" thickBot="1" x14ac:dyDescent="0.35">
      <c r="A228" s="63"/>
      <c r="B228" s="65" t="s">
        <v>121</v>
      </c>
      <c r="C228" s="59" t="s">
        <v>8</v>
      </c>
      <c r="D228" s="46" t="s">
        <v>9</v>
      </c>
      <c r="E228" s="46" t="s">
        <v>10</v>
      </c>
      <c r="F228" s="46" t="s">
        <v>11</v>
      </c>
      <c r="G228" s="46" t="s">
        <v>12</v>
      </c>
      <c r="H228" s="46" t="s">
        <v>13</v>
      </c>
      <c r="I228" s="46" t="s">
        <v>14</v>
      </c>
      <c r="J228" s="60" t="s">
        <v>15</v>
      </c>
      <c r="K228" s="59" t="s">
        <v>8</v>
      </c>
      <c r="L228" s="46" t="s">
        <v>9</v>
      </c>
      <c r="M228" s="46" t="s">
        <v>10</v>
      </c>
      <c r="N228" s="46" t="s">
        <v>11</v>
      </c>
      <c r="O228" s="46" t="s">
        <v>12</v>
      </c>
      <c r="P228" s="46" t="s">
        <v>13</v>
      </c>
      <c r="Q228" s="46" t="s">
        <v>14</v>
      </c>
      <c r="R228" s="60" t="s">
        <v>15</v>
      </c>
      <c r="S228" s="59" t="s">
        <v>8</v>
      </c>
      <c r="T228" s="46" t="s">
        <v>9</v>
      </c>
      <c r="U228" s="46" t="s">
        <v>10</v>
      </c>
      <c r="V228" s="46" t="s">
        <v>11</v>
      </c>
      <c r="W228" s="46" t="s">
        <v>12</v>
      </c>
      <c r="X228" s="46" t="s">
        <v>13</v>
      </c>
      <c r="Y228" s="46" t="s">
        <v>14</v>
      </c>
      <c r="Z228" s="60" t="s">
        <v>15</v>
      </c>
      <c r="AA228" s="59" t="s">
        <v>8</v>
      </c>
      <c r="AB228" s="46" t="s">
        <v>9</v>
      </c>
      <c r="AC228" s="46" t="s">
        <v>10</v>
      </c>
      <c r="AD228" s="46" t="s">
        <v>11</v>
      </c>
      <c r="AE228" s="46" t="s">
        <v>12</v>
      </c>
      <c r="AF228" s="46" t="s">
        <v>13</v>
      </c>
      <c r="AG228" s="46" t="s">
        <v>14</v>
      </c>
      <c r="AH228" s="60" t="s">
        <v>15</v>
      </c>
      <c r="AI228" s="59" t="s">
        <v>8</v>
      </c>
      <c r="AJ228" s="46" t="s">
        <v>9</v>
      </c>
      <c r="AK228" s="46" t="s">
        <v>10</v>
      </c>
      <c r="AL228" s="46" t="s">
        <v>11</v>
      </c>
      <c r="AM228" s="46" t="s">
        <v>12</v>
      </c>
      <c r="AN228" s="46" t="s">
        <v>13</v>
      </c>
      <c r="AO228" s="46" t="s">
        <v>14</v>
      </c>
      <c r="AP228" s="60" t="s">
        <v>15</v>
      </c>
    </row>
    <row r="229" spans="1:42" ht="21" customHeight="1" thickTop="1" thickBot="1" x14ac:dyDescent="0.35">
      <c r="A229" s="63"/>
      <c r="B229" s="66"/>
      <c r="C229" s="52">
        <v>1</v>
      </c>
      <c r="D229" s="44">
        <v>558.74999999999977</v>
      </c>
      <c r="E229" s="44"/>
      <c r="F229" s="44"/>
      <c r="G229" s="44"/>
      <c r="H229" s="44"/>
      <c r="I229" s="44"/>
      <c r="J229" s="51"/>
      <c r="K229" s="52">
        <v>1</v>
      </c>
      <c r="L229" s="44">
        <v>558.87999999999977</v>
      </c>
      <c r="M229" s="44"/>
      <c r="N229" s="44"/>
      <c r="O229" s="44"/>
      <c r="P229" s="44"/>
      <c r="Q229" s="44"/>
      <c r="R229" s="51"/>
      <c r="S229" s="52">
        <v>1</v>
      </c>
      <c r="T229" s="44">
        <v>558.95999999999981</v>
      </c>
      <c r="U229" s="44"/>
      <c r="V229" s="44"/>
      <c r="W229" s="44"/>
      <c r="X229" s="44"/>
      <c r="Y229" s="44"/>
      <c r="Z229" s="51"/>
      <c r="AA229" s="52">
        <v>1</v>
      </c>
      <c r="AB229" s="44">
        <v>560.61999999999978</v>
      </c>
      <c r="AC229" s="44"/>
      <c r="AD229" s="44"/>
      <c r="AE229" s="44"/>
      <c r="AF229" s="44"/>
      <c r="AG229" s="44"/>
      <c r="AH229" s="51"/>
      <c r="AI229" s="52">
        <v>1</v>
      </c>
      <c r="AJ229" s="44">
        <v>558.94000000000005</v>
      </c>
      <c r="AK229" s="44"/>
      <c r="AL229" s="44"/>
      <c r="AM229" s="44"/>
      <c r="AN229" s="44"/>
      <c r="AO229" s="44"/>
      <c r="AP229" s="51"/>
    </row>
    <row r="230" spans="1:42" ht="21" customHeight="1" thickTop="1" thickBot="1" x14ac:dyDescent="0.35">
      <c r="A230" s="63"/>
      <c r="B230" s="66"/>
      <c r="C230" s="53">
        <v>2</v>
      </c>
      <c r="D230" s="45">
        <v>558.43999999999971</v>
      </c>
      <c r="E230" s="45"/>
      <c r="F230" s="45"/>
      <c r="G230" s="45"/>
      <c r="H230" s="45"/>
      <c r="I230" s="45"/>
      <c r="J230" s="51"/>
      <c r="K230" s="53">
        <v>2</v>
      </c>
      <c r="L230" s="45">
        <v>560.17999999999984</v>
      </c>
      <c r="M230" s="45"/>
      <c r="N230" s="45"/>
      <c r="O230" s="45"/>
      <c r="P230" s="45"/>
      <c r="Q230" s="45"/>
      <c r="R230" s="51"/>
      <c r="S230" s="53">
        <v>2</v>
      </c>
      <c r="T230" s="45">
        <v>561.13999999999987</v>
      </c>
      <c r="U230" s="45"/>
      <c r="V230" s="45"/>
      <c r="W230" s="45"/>
      <c r="X230" s="45"/>
      <c r="Y230" s="45"/>
      <c r="Z230" s="51"/>
      <c r="AA230" s="53">
        <v>2</v>
      </c>
      <c r="AB230" s="45">
        <v>559.69999999999982</v>
      </c>
      <c r="AC230" s="45"/>
      <c r="AD230" s="45"/>
      <c r="AE230" s="45"/>
      <c r="AF230" s="45"/>
      <c r="AG230" s="45"/>
      <c r="AH230" s="51"/>
      <c r="AI230" s="53">
        <v>2</v>
      </c>
      <c r="AJ230" s="45">
        <v>558.94000000000005</v>
      </c>
      <c r="AK230" s="45"/>
      <c r="AL230" s="45"/>
      <c r="AM230" s="45"/>
      <c r="AN230" s="45"/>
      <c r="AO230" s="45"/>
      <c r="AP230" s="51"/>
    </row>
    <row r="231" spans="1:42" ht="21" customHeight="1" thickTop="1" thickBot="1" x14ac:dyDescent="0.35">
      <c r="A231" s="63"/>
      <c r="B231" s="66"/>
      <c r="C231" s="53">
        <v>3</v>
      </c>
      <c r="D231" s="45">
        <v>558.43999999999983</v>
      </c>
      <c r="E231" s="45"/>
      <c r="F231" s="45"/>
      <c r="G231" s="44"/>
      <c r="H231" s="44"/>
      <c r="I231" s="44"/>
      <c r="J231" s="51"/>
      <c r="K231" s="53">
        <v>3</v>
      </c>
      <c r="L231" s="45">
        <v>560.31999999999982</v>
      </c>
      <c r="M231" s="45"/>
      <c r="N231" s="45"/>
      <c r="O231" s="44"/>
      <c r="P231" s="44"/>
      <c r="Q231" s="44"/>
      <c r="R231" s="51"/>
      <c r="S231" s="53">
        <v>3</v>
      </c>
      <c r="T231" s="45">
        <v>560.18999999999983</v>
      </c>
      <c r="U231" s="45"/>
      <c r="V231" s="45"/>
      <c r="W231" s="44"/>
      <c r="X231" s="44"/>
      <c r="Y231" s="44"/>
      <c r="Z231" s="51"/>
      <c r="AA231" s="53">
        <v>3</v>
      </c>
      <c r="AB231" s="45">
        <v>558.43999999999994</v>
      </c>
      <c r="AC231" s="45"/>
      <c r="AD231" s="45"/>
      <c r="AE231" s="44"/>
      <c r="AF231" s="44"/>
      <c r="AG231" s="44"/>
      <c r="AH231" s="51"/>
      <c r="AI231" s="53">
        <v>3</v>
      </c>
      <c r="AJ231" s="45">
        <v>558.94000000000005</v>
      </c>
      <c r="AK231" s="45"/>
      <c r="AL231" s="45"/>
      <c r="AM231" s="44"/>
      <c r="AN231" s="44"/>
      <c r="AO231" s="44"/>
      <c r="AP231" s="51"/>
    </row>
    <row r="232" spans="1:42" ht="21" customHeight="1" thickTop="1" thickBot="1" x14ac:dyDescent="0.35">
      <c r="A232" s="63"/>
      <c r="B232" s="66"/>
      <c r="C232" s="53">
        <v>4</v>
      </c>
      <c r="D232" s="45">
        <v>558.48999999999978</v>
      </c>
      <c r="E232" s="45"/>
      <c r="F232" s="45"/>
      <c r="G232" s="45"/>
      <c r="H232" s="45"/>
      <c r="I232" s="45"/>
      <c r="J232" s="51"/>
      <c r="K232" s="53">
        <v>4</v>
      </c>
      <c r="L232" s="45">
        <v>559.12999999999977</v>
      </c>
      <c r="M232" s="45"/>
      <c r="N232" s="45"/>
      <c r="O232" s="45"/>
      <c r="P232" s="45"/>
      <c r="Q232" s="45"/>
      <c r="R232" s="51"/>
      <c r="S232" s="53">
        <v>4</v>
      </c>
      <c r="T232" s="45">
        <v>560.18999999999983</v>
      </c>
      <c r="U232" s="45"/>
      <c r="V232" s="45"/>
      <c r="W232" s="45"/>
      <c r="X232" s="45"/>
      <c r="Y232" s="45"/>
      <c r="Z232" s="51"/>
      <c r="AA232" s="53">
        <v>4</v>
      </c>
      <c r="AB232" s="45">
        <v>560.27999999999986</v>
      </c>
      <c r="AC232" s="45"/>
      <c r="AD232" s="45"/>
      <c r="AE232" s="45"/>
      <c r="AF232" s="45"/>
      <c r="AG232" s="45"/>
      <c r="AH232" s="51"/>
      <c r="AI232" s="53">
        <v>4</v>
      </c>
      <c r="AJ232" s="45">
        <v>559.79000000000008</v>
      </c>
      <c r="AK232" s="45"/>
      <c r="AL232" s="45"/>
      <c r="AM232" s="45"/>
      <c r="AN232" s="45"/>
      <c r="AO232" s="45"/>
      <c r="AP232" s="51"/>
    </row>
    <row r="233" spans="1:42" ht="21" customHeight="1" thickTop="1" thickBot="1" x14ac:dyDescent="0.35">
      <c r="A233" s="63"/>
      <c r="B233" s="66"/>
      <c r="C233" s="53">
        <v>5</v>
      </c>
      <c r="D233" s="45">
        <v>558.87999999999988</v>
      </c>
      <c r="E233" s="45"/>
      <c r="F233" s="45"/>
      <c r="G233" s="45"/>
      <c r="H233" s="45"/>
      <c r="I233" s="45"/>
      <c r="J233" s="51"/>
      <c r="K233" s="53">
        <v>5</v>
      </c>
      <c r="L233" s="45">
        <v>558.90999999999985</v>
      </c>
      <c r="M233" s="45"/>
      <c r="N233" s="45"/>
      <c r="O233" s="45"/>
      <c r="P233" s="45"/>
      <c r="Q233" s="45"/>
      <c r="R233" s="51"/>
      <c r="S233" s="53">
        <v>5</v>
      </c>
      <c r="T233" s="45">
        <v>559.78999999999985</v>
      </c>
      <c r="U233" s="45"/>
      <c r="V233" s="45"/>
      <c r="W233" s="45"/>
      <c r="X233" s="45"/>
      <c r="Y233" s="45"/>
      <c r="Z233" s="51"/>
      <c r="AA233" s="53">
        <v>5</v>
      </c>
      <c r="AB233" s="45">
        <v>558.95999999999981</v>
      </c>
      <c r="AC233" s="45"/>
      <c r="AD233" s="45"/>
      <c r="AE233" s="45"/>
      <c r="AF233" s="45"/>
      <c r="AG233" s="45"/>
      <c r="AH233" s="51"/>
      <c r="AI233" s="53">
        <v>5</v>
      </c>
      <c r="AJ233" s="45">
        <v>558.94000000000005</v>
      </c>
      <c r="AK233" s="45"/>
      <c r="AL233" s="45"/>
      <c r="AM233" s="45"/>
      <c r="AN233" s="45"/>
      <c r="AO233" s="45"/>
      <c r="AP233" s="51"/>
    </row>
    <row r="234" spans="1:42" ht="21" customHeight="1" thickTop="1" thickBot="1" x14ac:dyDescent="0.35">
      <c r="A234" s="63"/>
      <c r="B234" s="66"/>
      <c r="C234" s="53">
        <v>6</v>
      </c>
      <c r="D234" s="45">
        <v>558.43999999999983</v>
      </c>
      <c r="E234" s="45"/>
      <c r="F234" s="45"/>
      <c r="G234" s="45"/>
      <c r="H234" s="45"/>
      <c r="I234" s="45"/>
      <c r="J234" s="51"/>
      <c r="K234" s="53">
        <v>6</v>
      </c>
      <c r="L234" s="45">
        <v>559.99999999999989</v>
      </c>
      <c r="M234" s="45"/>
      <c r="N234" s="45"/>
      <c r="O234" s="45"/>
      <c r="P234" s="45"/>
      <c r="Q234" s="45"/>
      <c r="R234" s="51"/>
      <c r="S234" s="53">
        <v>6</v>
      </c>
      <c r="T234" s="45">
        <v>561.41999999999985</v>
      </c>
      <c r="U234" s="45"/>
      <c r="V234" s="45"/>
      <c r="W234" s="45"/>
      <c r="X234" s="45"/>
      <c r="Y234" s="45"/>
      <c r="Z234" s="51"/>
      <c r="AA234" s="53">
        <v>6</v>
      </c>
      <c r="AB234" s="45">
        <v>559.90999999999985</v>
      </c>
      <c r="AC234" s="45"/>
      <c r="AD234" s="45"/>
      <c r="AE234" s="45"/>
      <c r="AF234" s="45"/>
      <c r="AG234" s="45"/>
      <c r="AH234" s="51"/>
      <c r="AI234" s="53">
        <v>6</v>
      </c>
      <c r="AJ234" s="45">
        <v>558.93999999999994</v>
      </c>
      <c r="AK234" s="45"/>
      <c r="AL234" s="45"/>
      <c r="AM234" s="45"/>
      <c r="AN234" s="45"/>
      <c r="AO234" s="45"/>
      <c r="AP234" s="51"/>
    </row>
    <row r="235" spans="1:42" ht="21" customHeight="1" thickTop="1" thickBot="1" x14ac:dyDescent="0.35">
      <c r="A235" s="63"/>
      <c r="B235" s="66"/>
      <c r="C235" s="53">
        <v>7</v>
      </c>
      <c r="D235" s="45">
        <v>558.50999999999976</v>
      </c>
      <c r="E235" s="45"/>
      <c r="F235" s="45"/>
      <c r="G235" s="45"/>
      <c r="H235" s="45"/>
      <c r="I235" s="45"/>
      <c r="J235" s="51"/>
      <c r="K235" s="53">
        <v>7</v>
      </c>
      <c r="L235" s="45">
        <v>559.12999999999988</v>
      </c>
      <c r="M235" s="45"/>
      <c r="N235" s="45"/>
      <c r="O235" s="45"/>
      <c r="P235" s="45"/>
      <c r="Q235" s="45"/>
      <c r="R235" s="51"/>
      <c r="S235" s="53">
        <v>7</v>
      </c>
      <c r="T235" s="45">
        <v>559.9899999999999</v>
      </c>
      <c r="U235" s="45"/>
      <c r="V235" s="45"/>
      <c r="W235" s="45"/>
      <c r="X235" s="45"/>
      <c r="Y235" s="45"/>
      <c r="Z235" s="51"/>
      <c r="AA235" s="53">
        <v>7</v>
      </c>
      <c r="AB235" s="45">
        <v>559.64999999999975</v>
      </c>
      <c r="AC235" s="45"/>
      <c r="AD235" s="45"/>
      <c r="AE235" s="45"/>
      <c r="AF235" s="45"/>
      <c r="AG235" s="45"/>
      <c r="AH235" s="51"/>
      <c r="AI235" s="53">
        <v>7</v>
      </c>
      <c r="AJ235" s="45">
        <v>558.93999999999994</v>
      </c>
      <c r="AK235" s="45"/>
      <c r="AL235" s="45"/>
      <c r="AM235" s="45"/>
      <c r="AN235" s="45"/>
      <c r="AO235" s="45"/>
      <c r="AP235" s="51"/>
    </row>
    <row r="236" spans="1:42" ht="21" customHeight="1" thickTop="1" thickBot="1" x14ac:dyDescent="0.35">
      <c r="A236" s="63"/>
      <c r="B236" s="66"/>
      <c r="C236" s="53">
        <v>8</v>
      </c>
      <c r="D236" s="45">
        <v>558.43999999999983</v>
      </c>
      <c r="E236" s="45"/>
      <c r="F236" s="45"/>
      <c r="G236" s="45"/>
      <c r="H236" s="45"/>
      <c r="I236" s="45"/>
      <c r="J236" s="51"/>
      <c r="K236" s="53">
        <v>8</v>
      </c>
      <c r="L236" s="45">
        <v>558.95999999999981</v>
      </c>
      <c r="M236" s="45"/>
      <c r="N236" s="45"/>
      <c r="O236" s="45"/>
      <c r="P236" s="45"/>
      <c r="Q236" s="45"/>
      <c r="R236" s="51"/>
      <c r="S236" s="53">
        <v>8</v>
      </c>
      <c r="T236" s="45">
        <v>560.94999999999982</v>
      </c>
      <c r="U236" s="45"/>
      <c r="V236" s="45"/>
      <c r="W236" s="45"/>
      <c r="X236" s="45"/>
      <c r="Y236" s="45"/>
      <c r="Z236" s="51"/>
      <c r="AA236" s="53">
        <v>8</v>
      </c>
      <c r="AB236" s="45">
        <v>558.43999999999983</v>
      </c>
      <c r="AC236" s="45"/>
      <c r="AD236" s="45"/>
      <c r="AE236" s="45"/>
      <c r="AF236" s="45"/>
      <c r="AG236" s="45"/>
      <c r="AH236" s="51"/>
      <c r="AI236" s="53">
        <v>8</v>
      </c>
      <c r="AJ236" s="45">
        <v>559.32999999999993</v>
      </c>
      <c r="AK236" s="45"/>
      <c r="AL236" s="45"/>
      <c r="AM236" s="45"/>
      <c r="AN236" s="45"/>
      <c r="AO236" s="45"/>
      <c r="AP236" s="51"/>
    </row>
    <row r="237" spans="1:42" ht="21" customHeight="1" thickTop="1" thickBot="1" x14ac:dyDescent="0.35">
      <c r="A237" s="63"/>
      <c r="B237" s="66"/>
      <c r="C237" s="53">
        <v>9</v>
      </c>
      <c r="D237" s="45">
        <v>558.43999999999983</v>
      </c>
      <c r="E237" s="45"/>
      <c r="F237" s="45"/>
      <c r="G237" s="45"/>
      <c r="H237" s="45"/>
      <c r="I237" s="45"/>
      <c r="J237" s="51"/>
      <c r="K237" s="53">
        <v>9</v>
      </c>
      <c r="L237" s="45">
        <v>559.42999999999972</v>
      </c>
      <c r="M237" s="45"/>
      <c r="N237" s="45"/>
      <c r="O237" s="45"/>
      <c r="P237" s="45"/>
      <c r="Q237" s="45"/>
      <c r="R237" s="51"/>
      <c r="S237" s="53">
        <v>9</v>
      </c>
      <c r="T237" s="45">
        <v>559.44999999999993</v>
      </c>
      <c r="U237" s="45"/>
      <c r="V237" s="45"/>
      <c r="W237" s="45"/>
      <c r="X237" s="45"/>
      <c r="Y237" s="45"/>
      <c r="Z237" s="51"/>
      <c r="AA237" s="53">
        <v>9</v>
      </c>
      <c r="AB237" s="45">
        <v>559.99999999999977</v>
      </c>
      <c r="AC237" s="45"/>
      <c r="AD237" s="45"/>
      <c r="AE237" s="45"/>
      <c r="AF237" s="45"/>
      <c r="AG237" s="45"/>
      <c r="AH237" s="51"/>
      <c r="AI237" s="53">
        <v>9</v>
      </c>
      <c r="AJ237" s="45">
        <v>558.93999999999994</v>
      </c>
      <c r="AK237" s="45"/>
      <c r="AL237" s="45"/>
      <c r="AM237" s="45"/>
      <c r="AN237" s="45"/>
      <c r="AO237" s="45"/>
      <c r="AP237" s="51"/>
    </row>
    <row r="238" spans="1:42" ht="21" customHeight="1" thickTop="1" thickBot="1" x14ac:dyDescent="0.35">
      <c r="A238" s="63"/>
      <c r="B238" s="66"/>
      <c r="C238" s="53">
        <v>10</v>
      </c>
      <c r="D238" s="45">
        <v>558.55999999999995</v>
      </c>
      <c r="E238" s="45"/>
      <c r="F238" s="45"/>
      <c r="G238" s="45"/>
      <c r="H238" s="45"/>
      <c r="I238" s="45"/>
      <c r="J238" s="51"/>
      <c r="K238" s="53">
        <v>10</v>
      </c>
      <c r="L238" s="45">
        <v>558.97999999999979</v>
      </c>
      <c r="M238" s="45"/>
      <c r="N238" s="45"/>
      <c r="O238" s="45"/>
      <c r="P238" s="45"/>
      <c r="Q238" s="45"/>
      <c r="R238" s="51"/>
      <c r="S238" s="53">
        <v>10</v>
      </c>
      <c r="T238" s="45">
        <v>559.81999999999971</v>
      </c>
      <c r="U238" s="45"/>
      <c r="V238" s="45"/>
      <c r="W238" s="45"/>
      <c r="X238" s="45"/>
      <c r="Y238" s="45"/>
      <c r="Z238" s="51"/>
      <c r="AA238" s="53">
        <v>10</v>
      </c>
      <c r="AB238" s="45">
        <v>558.88999999999976</v>
      </c>
      <c r="AC238" s="45"/>
      <c r="AD238" s="45"/>
      <c r="AE238" s="45"/>
      <c r="AF238" s="45"/>
      <c r="AG238" s="45"/>
      <c r="AH238" s="51"/>
      <c r="AI238" s="53">
        <v>10</v>
      </c>
      <c r="AJ238" s="45">
        <v>558.93999999999994</v>
      </c>
      <c r="AK238" s="45"/>
      <c r="AL238" s="45"/>
      <c r="AM238" s="45"/>
      <c r="AN238" s="45"/>
      <c r="AO238" s="45"/>
      <c r="AP238" s="51"/>
    </row>
    <row r="239" spans="1:42" ht="21" customHeight="1" thickTop="1" thickBot="1" x14ac:dyDescent="0.35">
      <c r="A239" s="63"/>
      <c r="B239" s="66"/>
      <c r="C239" s="53"/>
      <c r="D239" s="45"/>
      <c r="E239" s="45"/>
      <c r="F239" s="45"/>
      <c r="G239" s="45"/>
      <c r="H239" s="45"/>
      <c r="I239" s="45"/>
      <c r="J239" s="51"/>
      <c r="K239" s="53"/>
      <c r="L239" s="45"/>
      <c r="M239" s="45"/>
      <c r="N239" s="45"/>
      <c r="O239" s="45"/>
      <c r="P239" s="45"/>
      <c r="Q239" s="45"/>
      <c r="R239" s="51"/>
      <c r="S239" s="53"/>
      <c r="T239" s="45"/>
      <c r="U239" s="45"/>
      <c r="V239" s="45"/>
      <c r="W239" s="45"/>
      <c r="X239" s="45"/>
      <c r="Y239" s="45"/>
      <c r="Z239" s="51"/>
      <c r="AA239" s="53"/>
      <c r="AB239" s="45"/>
      <c r="AC239" s="45"/>
      <c r="AD239" s="45"/>
      <c r="AE239" s="45"/>
      <c r="AF239" s="45"/>
      <c r="AG239" s="45"/>
      <c r="AH239" s="51"/>
      <c r="AI239" s="53"/>
      <c r="AJ239" s="45"/>
      <c r="AK239" s="45"/>
      <c r="AL239" s="45"/>
      <c r="AM239" s="45"/>
      <c r="AN239" s="45"/>
      <c r="AO239" s="45"/>
      <c r="AP239" s="51"/>
    </row>
    <row r="240" spans="1:42" ht="21" customHeight="1" thickTop="1" thickBot="1" x14ac:dyDescent="0.35">
      <c r="A240" s="63"/>
      <c r="B240" s="66"/>
      <c r="C240" s="54" t="s">
        <v>16</v>
      </c>
      <c r="D240" s="49">
        <f>MIN(D229:D238)</f>
        <v>558.43999999999971</v>
      </c>
      <c r="E240" s="45"/>
      <c r="F240" s="55" t="s">
        <v>17</v>
      </c>
      <c r="G240" s="49" t="s">
        <v>18</v>
      </c>
      <c r="H240" s="49" t="s">
        <v>19</v>
      </c>
      <c r="I240" s="45"/>
      <c r="J240" s="51"/>
      <c r="K240" s="54" t="s">
        <v>16</v>
      </c>
      <c r="L240" s="49">
        <f>MIN(L229:L238)</f>
        <v>558.87999999999977</v>
      </c>
      <c r="M240" s="45"/>
      <c r="N240" s="55" t="s">
        <v>17</v>
      </c>
      <c r="O240" s="49" t="s">
        <v>18</v>
      </c>
      <c r="P240" s="49" t="s">
        <v>19</v>
      </c>
      <c r="Q240" s="45"/>
      <c r="R240" s="51"/>
      <c r="S240" s="54" t="s">
        <v>16</v>
      </c>
      <c r="T240" s="49">
        <f>MIN(T229:T238)</f>
        <v>558.95999999999981</v>
      </c>
      <c r="U240" s="45"/>
      <c r="V240" s="55" t="s">
        <v>17</v>
      </c>
      <c r="W240" s="49" t="s">
        <v>18</v>
      </c>
      <c r="X240" s="49" t="s">
        <v>19</v>
      </c>
      <c r="Y240" s="45"/>
      <c r="Z240" s="51"/>
      <c r="AA240" s="54" t="s">
        <v>16</v>
      </c>
      <c r="AB240" s="49">
        <f>MIN(AB229:AB238)</f>
        <v>558.43999999999983</v>
      </c>
      <c r="AC240" s="45"/>
      <c r="AD240" s="55" t="s">
        <v>17</v>
      </c>
      <c r="AE240" s="49" t="s">
        <v>18</v>
      </c>
      <c r="AF240" s="49" t="s">
        <v>19</v>
      </c>
      <c r="AG240" s="45"/>
      <c r="AH240" s="51"/>
      <c r="AI240" s="54" t="s">
        <v>16</v>
      </c>
      <c r="AJ240" s="49">
        <f>MIN(AJ229:AJ238)</f>
        <v>558.93999999999994</v>
      </c>
      <c r="AK240" s="45"/>
      <c r="AL240" s="55" t="s">
        <v>17</v>
      </c>
      <c r="AM240" s="49" t="s">
        <v>18</v>
      </c>
      <c r="AN240" s="49" t="s">
        <v>19</v>
      </c>
      <c r="AO240" s="45"/>
      <c r="AP240" s="51"/>
    </row>
    <row r="241" spans="1:42" ht="21" customHeight="1" thickTop="1" thickBot="1" x14ac:dyDescent="0.35">
      <c r="A241" s="63"/>
      <c r="B241" s="66"/>
      <c r="C241" s="54" t="s">
        <v>20</v>
      </c>
      <c r="D241" s="48">
        <f>AVERAGE(D229:D238)</f>
        <v>558.53899999999976</v>
      </c>
      <c r="E241" s="47"/>
      <c r="F241" s="48">
        <f>_xlfn.STDEV.S(D229:D238) / AVERAGE(D229:D238) * 100%</f>
        <v>2.7574904102063512E-4</v>
      </c>
      <c r="G241" s="48">
        <f t="array" ref="G241">MIN((D229:D238 - MIN(D229:D238,L229:L238,T229:T238,AB229:AB238,AJ229:AJ238))/MIN(D229:D238,L229:L238,T229:T238,AB229:AB238,AJ229:AJ238)*100%)</f>
        <v>0</v>
      </c>
      <c r="H241" s="48">
        <f t="array" ref="H241">AVERAGE((D229:D238 - MIN(D229:D238,L229:L238,T229:T238,AB229:AB238,AJ229:AJ238))/MIN(D229:D238,L229:L238,T229:T238,AB229:AB238,AJ229:AJ238)*100%)</f>
        <v>1.772795645012952E-4</v>
      </c>
      <c r="I241" s="45"/>
      <c r="J241" s="51"/>
      <c r="K241" s="54" t="s">
        <v>20</v>
      </c>
      <c r="L241" s="48">
        <f>AVERAGE(L229:L238)</f>
        <v>559.39199999999971</v>
      </c>
      <c r="M241" s="47"/>
      <c r="N241" s="48">
        <f>_xlfn.STDEV.S(L229:L238) / AVERAGE(L229:L238) * 100%</f>
        <v>1.0044437604301566E-3</v>
      </c>
      <c r="O241" s="48">
        <f t="array" ref="O241">MIN((L229:L238 - MIN(D229:D238,L229:L238,T229:T238,AB229:AB238,AJ229:AJ238))/MIN(D229:D238,L229:L238,T229:T238,AB229:AB238,AJ229:AJ238)*100%)</f>
        <v>7.8790917556058803E-4</v>
      </c>
      <c r="P241" s="48">
        <f t="array" ref="P241">AVERAGE((L229:L238 - MIN(D229:D238,L229:L238,T229:T238,AB229:AB238,AJ229:AJ238))/MIN(D229:D238,L229:L238,T229:T238,AB229:AB238,AJ229:AJ238)*100%)</f>
        <v>1.7047489434856046E-3</v>
      </c>
      <c r="Q241" s="44"/>
      <c r="R241" s="51"/>
      <c r="S241" s="54" t="s">
        <v>20</v>
      </c>
      <c r="T241" s="48">
        <f>AVERAGE(T229:T238)</f>
        <v>560.18999999999983</v>
      </c>
      <c r="U241" s="47"/>
      <c r="V241" s="48">
        <f>_xlfn.STDEV.S(T229:T238) / AVERAGE(T229:T238) * 100%</f>
        <v>1.3815095460165561E-3</v>
      </c>
      <c r="W241" s="48">
        <f t="array" ref="W241">MIN((T229:T238 - MIN(D229:D238,L229:L238,T229:T238,AB229:AB238,AJ229:AJ238))/MIN(D229:D238,L229:L238,T229:T238,AB229:AB238,AJ229:AJ238)*100%)</f>
        <v>9.3116538929893236E-4</v>
      </c>
      <c r="X241" s="48">
        <f t="array" ref="X241">AVERAGE((T229:T238 - MIN(D229:D238,L229:L238,T229:T238,AB229:AB238,AJ229:AJ238))/MIN(D229:D238,L229:L238,T229:T238,AB229:AB238,AJ229:AJ238)*100%)</f>
        <v>3.1337296755249017E-3</v>
      </c>
      <c r="Y241" s="44"/>
      <c r="Z241" s="51"/>
      <c r="AA241" s="54" t="s">
        <v>20</v>
      </c>
      <c r="AB241" s="48">
        <f>AVERAGE(AB229:AB238)</f>
        <v>559.48899999999981</v>
      </c>
      <c r="AC241" s="47"/>
      <c r="AD241" s="48">
        <f>_xlfn.STDEV.S(AB229:AB238) / AVERAGE(AB229:AB238) * 100%</f>
        <v>1.3655091470791147E-3</v>
      </c>
      <c r="AE241" s="48">
        <f t="array" ref="AE241">MIN((AB229:AB238 - MIN(D229:D238,L229:L238,T229:T238,AB229:AB238,AJ229:AJ238))/MIN(D229:D238,L229:L238,T229:T238,AB229:AB238,AJ229:AJ238)*100%)</f>
        <v>2.0357932404844942E-16</v>
      </c>
      <c r="AF241" s="48">
        <f t="array" ref="AF241">AVERAGE((AB229:AB238 - MIN(D229:D238,L229:L238,T229:T238,AB229:AB238,AJ229:AJ238))/MIN(D229:D238,L229:L238,T229:T238,AB229:AB238,AJ229:AJ238)*100%)</f>
        <v>1.8784471026432627E-3</v>
      </c>
      <c r="AG241" s="44"/>
      <c r="AH241" s="51"/>
      <c r="AI241" s="54" t="s">
        <v>20</v>
      </c>
      <c r="AJ241" s="48">
        <f>AVERAGE(AJ229:AJ238)</f>
        <v>559.06399999999996</v>
      </c>
      <c r="AK241" s="47"/>
      <c r="AL241" s="48">
        <f>_xlfn.STDEV.S(AJ229:AJ238) / AVERAGE(AJ229:AJ238) * 100%</f>
        <v>5.0621691964143167E-4</v>
      </c>
      <c r="AM241" s="48">
        <f t="array" ref="AM241">MIN((AJ229:AJ238 - MIN(D229:D238,L229:L238,T229:T238,AB229:AB238,AJ229:AJ238))/MIN(D229:D238,L229:L238,T229:T238,AB229:AB238,AJ229:AJ238)*100%)</f>
        <v>8.9535133586460074E-4</v>
      </c>
      <c r="AN241" s="48">
        <f t="array" ref="AN241">AVERAGE((AJ229:AJ238 - MIN(D229:D238,L229:L238,T229:T238,AB229:AB238,AJ229:AJ238))/MIN(D229:D238,L229:L238,T229:T238,AB229:AB238,AJ229:AJ238)*100%)</f>
        <v>1.1173984671590243E-3</v>
      </c>
      <c r="AO241" s="44"/>
      <c r="AP241" s="51"/>
    </row>
    <row r="242" spans="1:42" ht="21" customHeight="1" thickTop="1" thickBot="1" x14ac:dyDescent="0.35">
      <c r="A242" s="64"/>
      <c r="B242" s="67"/>
      <c r="C242" s="56"/>
      <c r="D242" s="57"/>
      <c r="E242" s="57"/>
      <c r="F242" s="57"/>
      <c r="G242" s="57"/>
      <c r="H242" s="57"/>
      <c r="I242" s="57"/>
      <c r="J242" s="58"/>
      <c r="K242" s="56"/>
      <c r="L242" s="57"/>
      <c r="M242" s="57"/>
      <c r="N242" s="57"/>
      <c r="O242" s="57"/>
      <c r="P242" s="57"/>
      <c r="Q242" s="57"/>
      <c r="R242" s="58"/>
      <c r="S242" s="56"/>
      <c r="T242" s="57"/>
      <c r="U242" s="57"/>
      <c r="V242" s="57"/>
      <c r="W242" s="57"/>
      <c r="X242" s="57"/>
      <c r="Y242" s="57"/>
      <c r="Z242" s="58"/>
      <c r="AA242" s="56"/>
      <c r="AB242" s="57"/>
      <c r="AC242" s="57"/>
      <c r="AD242" s="57"/>
      <c r="AE242" s="57"/>
      <c r="AF242" s="57"/>
      <c r="AG242" s="57"/>
      <c r="AH242" s="58"/>
      <c r="AI242" s="56"/>
      <c r="AJ242" s="57"/>
      <c r="AK242" s="57"/>
      <c r="AL242" s="57"/>
      <c r="AM242" s="57"/>
      <c r="AN242" s="57"/>
      <c r="AO242" s="57"/>
      <c r="AP242" s="58"/>
    </row>
    <row r="243" spans="1:42" ht="21" customHeight="1" thickTop="1" thickBot="1" x14ac:dyDescent="0.35">
      <c r="A243" s="62">
        <v>3</v>
      </c>
      <c r="B243" s="65" t="s">
        <v>122</v>
      </c>
      <c r="C243" s="59" t="s">
        <v>8</v>
      </c>
      <c r="D243" s="46" t="s">
        <v>9</v>
      </c>
      <c r="E243" s="46" t="s">
        <v>10</v>
      </c>
      <c r="F243" s="46" t="s">
        <v>11</v>
      </c>
      <c r="G243" s="46" t="s">
        <v>12</v>
      </c>
      <c r="H243" s="46" t="s">
        <v>13</v>
      </c>
      <c r="I243" s="46" t="s">
        <v>14</v>
      </c>
      <c r="J243" s="60" t="s">
        <v>15</v>
      </c>
      <c r="K243" s="59" t="s">
        <v>8</v>
      </c>
      <c r="L243" s="46" t="s">
        <v>9</v>
      </c>
      <c r="M243" s="46" t="s">
        <v>10</v>
      </c>
      <c r="N243" s="46" t="s">
        <v>11</v>
      </c>
      <c r="O243" s="46" t="s">
        <v>12</v>
      </c>
      <c r="P243" s="46" t="s">
        <v>13</v>
      </c>
      <c r="Q243" s="46" t="s">
        <v>14</v>
      </c>
      <c r="R243" s="60" t="s">
        <v>15</v>
      </c>
      <c r="S243" s="59" t="s">
        <v>8</v>
      </c>
      <c r="T243" s="46" t="s">
        <v>9</v>
      </c>
      <c r="U243" s="46" t="s">
        <v>10</v>
      </c>
      <c r="V243" s="46" t="s">
        <v>11</v>
      </c>
      <c r="W243" s="46" t="s">
        <v>12</v>
      </c>
      <c r="X243" s="46" t="s">
        <v>13</v>
      </c>
      <c r="Y243" s="46" t="s">
        <v>14</v>
      </c>
      <c r="Z243" s="60" t="s">
        <v>15</v>
      </c>
      <c r="AA243" s="59" t="s">
        <v>8</v>
      </c>
      <c r="AB243" s="46" t="s">
        <v>9</v>
      </c>
      <c r="AC243" s="46" t="s">
        <v>10</v>
      </c>
      <c r="AD243" s="46" t="s">
        <v>11</v>
      </c>
      <c r="AE243" s="46" t="s">
        <v>12</v>
      </c>
      <c r="AF243" s="46" t="s">
        <v>13</v>
      </c>
      <c r="AG243" s="46" t="s">
        <v>14</v>
      </c>
      <c r="AH243" s="60" t="s">
        <v>15</v>
      </c>
      <c r="AI243" s="59" t="s">
        <v>8</v>
      </c>
      <c r="AJ243" s="46" t="s">
        <v>9</v>
      </c>
      <c r="AK243" s="46" t="s">
        <v>10</v>
      </c>
      <c r="AL243" s="46" t="s">
        <v>11</v>
      </c>
      <c r="AM243" s="46" t="s">
        <v>12</v>
      </c>
      <c r="AN243" s="46" t="s">
        <v>13</v>
      </c>
      <c r="AO243" s="46" t="s">
        <v>14</v>
      </c>
      <c r="AP243" s="60" t="s">
        <v>15</v>
      </c>
    </row>
    <row r="244" spans="1:42" ht="21" customHeight="1" thickTop="1" thickBot="1" x14ac:dyDescent="0.35">
      <c r="A244" s="63"/>
      <c r="B244" s="66"/>
      <c r="C244" s="52">
        <v>1</v>
      </c>
      <c r="D244" s="44">
        <v>402.89999999999992</v>
      </c>
      <c r="E244" s="44"/>
      <c r="F244" s="44"/>
      <c r="G244" s="44"/>
      <c r="H244" s="44"/>
      <c r="I244" s="44"/>
      <c r="J244" s="51"/>
      <c r="K244" s="52">
        <v>1</v>
      </c>
      <c r="L244" s="44">
        <v>403.37999999999988</v>
      </c>
      <c r="M244" s="44"/>
      <c r="N244" s="44"/>
      <c r="O244" s="44"/>
      <c r="P244" s="44"/>
      <c r="Q244" s="44"/>
      <c r="R244" s="51"/>
      <c r="S244" s="52">
        <v>1</v>
      </c>
      <c r="T244" s="44">
        <v>402.9199999999999</v>
      </c>
      <c r="U244" s="44"/>
      <c r="V244" s="44"/>
      <c r="W244" s="44"/>
      <c r="X244" s="44"/>
      <c r="Y244" s="44"/>
      <c r="Z244" s="51"/>
      <c r="AA244" s="52">
        <v>1</v>
      </c>
      <c r="AB244" s="44">
        <v>402.96999999999991</v>
      </c>
      <c r="AC244" s="44"/>
      <c r="AD244" s="44"/>
      <c r="AE244" s="44"/>
      <c r="AF244" s="44"/>
      <c r="AG244" s="44"/>
      <c r="AH244" s="51"/>
      <c r="AI244" s="52">
        <v>1</v>
      </c>
      <c r="AJ244" s="44">
        <v>403.86999999999989</v>
      </c>
      <c r="AK244" s="44"/>
      <c r="AL244" s="44"/>
      <c r="AM244" s="44"/>
      <c r="AN244" s="44"/>
      <c r="AO244" s="44"/>
      <c r="AP244" s="51"/>
    </row>
    <row r="245" spans="1:42" ht="21" customHeight="1" thickTop="1" thickBot="1" x14ac:dyDescent="0.35">
      <c r="A245" s="63"/>
      <c r="B245" s="66"/>
      <c r="C245" s="53">
        <v>2</v>
      </c>
      <c r="D245" s="45">
        <v>402.57999999999993</v>
      </c>
      <c r="E245" s="45"/>
      <c r="F245" s="45"/>
      <c r="G245" s="45"/>
      <c r="H245" s="45"/>
      <c r="I245" s="45"/>
      <c r="J245" s="51"/>
      <c r="K245" s="53">
        <v>2</v>
      </c>
      <c r="L245" s="45">
        <v>403.27999999999992</v>
      </c>
      <c r="M245" s="45"/>
      <c r="N245" s="45"/>
      <c r="O245" s="45"/>
      <c r="P245" s="45"/>
      <c r="Q245" s="45"/>
      <c r="R245" s="51"/>
      <c r="S245" s="53">
        <v>2</v>
      </c>
      <c r="T245" s="45">
        <v>403.25999999999988</v>
      </c>
      <c r="U245" s="45"/>
      <c r="V245" s="45"/>
      <c r="W245" s="45"/>
      <c r="X245" s="45"/>
      <c r="Y245" s="45"/>
      <c r="Z245" s="51"/>
      <c r="AA245" s="53">
        <v>2</v>
      </c>
      <c r="AB245" s="45">
        <v>402.89999999999992</v>
      </c>
      <c r="AC245" s="45"/>
      <c r="AD245" s="45"/>
      <c r="AE245" s="45"/>
      <c r="AF245" s="45"/>
      <c r="AG245" s="45"/>
      <c r="AH245" s="51"/>
      <c r="AI245" s="53">
        <v>2</v>
      </c>
      <c r="AJ245" s="45">
        <v>406.07999999999993</v>
      </c>
      <c r="AK245" s="45"/>
      <c r="AL245" s="45"/>
      <c r="AM245" s="45"/>
      <c r="AN245" s="45"/>
      <c r="AO245" s="45"/>
      <c r="AP245" s="51"/>
    </row>
    <row r="246" spans="1:42" ht="21" customHeight="1" thickTop="1" thickBot="1" x14ac:dyDescent="0.35">
      <c r="A246" s="63"/>
      <c r="B246" s="66"/>
      <c r="C246" s="53">
        <v>3</v>
      </c>
      <c r="D246" s="45">
        <v>402.89999999999992</v>
      </c>
      <c r="E246" s="45"/>
      <c r="F246" s="45"/>
      <c r="G246" s="44"/>
      <c r="H246" s="44"/>
      <c r="I246" s="44"/>
      <c r="J246" s="51"/>
      <c r="K246" s="53">
        <v>3</v>
      </c>
      <c r="L246" s="45">
        <v>404.50999999999988</v>
      </c>
      <c r="M246" s="45"/>
      <c r="N246" s="45"/>
      <c r="O246" s="44"/>
      <c r="P246" s="44"/>
      <c r="Q246" s="44"/>
      <c r="R246" s="51"/>
      <c r="S246" s="53">
        <v>3</v>
      </c>
      <c r="T246" s="45">
        <v>404.07999999999993</v>
      </c>
      <c r="U246" s="45"/>
      <c r="V246" s="45"/>
      <c r="W246" s="44"/>
      <c r="X246" s="44"/>
      <c r="Y246" s="44"/>
      <c r="Z246" s="51"/>
      <c r="AA246" s="53">
        <v>3</v>
      </c>
      <c r="AB246" s="45">
        <v>402.89999999999992</v>
      </c>
      <c r="AC246" s="45"/>
      <c r="AD246" s="45"/>
      <c r="AE246" s="44"/>
      <c r="AF246" s="44"/>
      <c r="AG246" s="44"/>
      <c r="AH246" s="51"/>
      <c r="AI246" s="53">
        <v>3</v>
      </c>
      <c r="AJ246" s="45">
        <v>404.07</v>
      </c>
      <c r="AK246" s="45"/>
      <c r="AL246" s="45"/>
      <c r="AM246" s="44"/>
      <c r="AN246" s="44"/>
      <c r="AO246" s="44"/>
      <c r="AP246" s="51"/>
    </row>
    <row r="247" spans="1:42" ht="21" customHeight="1" thickTop="1" thickBot="1" x14ac:dyDescent="0.35">
      <c r="A247" s="63"/>
      <c r="B247" s="66"/>
      <c r="C247" s="53">
        <v>4</v>
      </c>
      <c r="D247" s="45">
        <v>402.43999999999988</v>
      </c>
      <c r="E247" s="45"/>
      <c r="F247" s="45"/>
      <c r="G247" s="45"/>
      <c r="H247" s="45"/>
      <c r="I247" s="45"/>
      <c r="J247" s="51"/>
      <c r="K247" s="53">
        <v>4</v>
      </c>
      <c r="L247" s="45">
        <v>403.02999999999992</v>
      </c>
      <c r="M247" s="45"/>
      <c r="N247" s="45"/>
      <c r="O247" s="45"/>
      <c r="P247" s="45"/>
      <c r="Q247" s="45"/>
      <c r="R247" s="51"/>
      <c r="S247" s="53">
        <v>4</v>
      </c>
      <c r="T247" s="45">
        <v>403.3599999999999</v>
      </c>
      <c r="U247" s="45"/>
      <c r="V247" s="45"/>
      <c r="W247" s="45"/>
      <c r="X247" s="45"/>
      <c r="Y247" s="45"/>
      <c r="Z247" s="51"/>
      <c r="AA247" s="53">
        <v>4</v>
      </c>
      <c r="AB247" s="45">
        <v>403.26999999999992</v>
      </c>
      <c r="AC247" s="45"/>
      <c r="AD247" s="45"/>
      <c r="AE247" s="45"/>
      <c r="AF247" s="45"/>
      <c r="AG247" s="45"/>
      <c r="AH247" s="51"/>
      <c r="AI247" s="53">
        <v>4</v>
      </c>
      <c r="AJ247" s="45">
        <v>405.32999999999993</v>
      </c>
      <c r="AK247" s="45"/>
      <c r="AL247" s="45"/>
      <c r="AM247" s="45"/>
      <c r="AN247" s="45"/>
      <c r="AO247" s="45"/>
      <c r="AP247" s="51"/>
    </row>
    <row r="248" spans="1:42" ht="21" customHeight="1" thickTop="1" thickBot="1" x14ac:dyDescent="0.35">
      <c r="A248" s="63"/>
      <c r="B248" s="66"/>
      <c r="C248" s="53">
        <v>5</v>
      </c>
      <c r="D248" s="45">
        <v>403.20999999999992</v>
      </c>
      <c r="E248" s="45"/>
      <c r="F248" s="45"/>
      <c r="G248" s="45"/>
      <c r="H248" s="45"/>
      <c r="I248" s="45"/>
      <c r="J248" s="51"/>
      <c r="K248" s="53">
        <v>5</v>
      </c>
      <c r="L248" s="45">
        <v>403.43999999999988</v>
      </c>
      <c r="M248" s="45"/>
      <c r="N248" s="45"/>
      <c r="O248" s="45"/>
      <c r="P248" s="45"/>
      <c r="Q248" s="45"/>
      <c r="R248" s="51"/>
      <c r="S248" s="53">
        <v>5</v>
      </c>
      <c r="T248" s="45">
        <v>402.95999999999992</v>
      </c>
      <c r="U248" s="45"/>
      <c r="V248" s="45"/>
      <c r="W248" s="45"/>
      <c r="X248" s="45"/>
      <c r="Y248" s="45"/>
      <c r="Z248" s="51"/>
      <c r="AA248" s="53">
        <v>5</v>
      </c>
      <c r="AB248" s="45">
        <v>404.07999999999993</v>
      </c>
      <c r="AC248" s="45"/>
      <c r="AD248" s="45"/>
      <c r="AE248" s="45"/>
      <c r="AF248" s="45"/>
      <c r="AG248" s="45"/>
      <c r="AH248" s="51"/>
      <c r="AI248" s="53">
        <v>5</v>
      </c>
      <c r="AJ248" s="45">
        <v>405.71999999999991</v>
      </c>
      <c r="AK248" s="45"/>
      <c r="AL248" s="45"/>
      <c r="AM248" s="45"/>
      <c r="AN248" s="45"/>
      <c r="AO248" s="45"/>
      <c r="AP248" s="51"/>
    </row>
    <row r="249" spans="1:42" ht="21" customHeight="1" thickTop="1" thickBot="1" x14ac:dyDescent="0.35">
      <c r="A249" s="63"/>
      <c r="B249" s="66"/>
      <c r="C249" s="53">
        <v>6</v>
      </c>
      <c r="D249" s="45">
        <v>402.89999999999992</v>
      </c>
      <c r="E249" s="45"/>
      <c r="F249" s="45"/>
      <c r="G249" s="45"/>
      <c r="H249" s="45"/>
      <c r="I249" s="45"/>
      <c r="J249" s="51"/>
      <c r="K249" s="53">
        <v>6</v>
      </c>
      <c r="L249" s="45">
        <v>403.4899999999999</v>
      </c>
      <c r="M249" s="45"/>
      <c r="N249" s="45"/>
      <c r="O249" s="45"/>
      <c r="P249" s="45"/>
      <c r="Q249" s="45"/>
      <c r="R249" s="51"/>
      <c r="S249" s="53">
        <v>6</v>
      </c>
      <c r="T249" s="45">
        <v>404.99</v>
      </c>
      <c r="U249" s="45"/>
      <c r="V249" s="45"/>
      <c r="W249" s="45"/>
      <c r="X249" s="45"/>
      <c r="Y249" s="45"/>
      <c r="Z249" s="51"/>
      <c r="AA249" s="53">
        <v>6</v>
      </c>
      <c r="AB249" s="45">
        <v>402.89999999999992</v>
      </c>
      <c r="AC249" s="45"/>
      <c r="AD249" s="45"/>
      <c r="AE249" s="45"/>
      <c r="AF249" s="45"/>
      <c r="AG249" s="45"/>
      <c r="AH249" s="51"/>
      <c r="AI249" s="53">
        <v>6</v>
      </c>
      <c r="AJ249" s="45">
        <v>405.56999999999988</v>
      </c>
      <c r="AK249" s="45"/>
      <c r="AL249" s="45"/>
      <c r="AM249" s="45"/>
      <c r="AN249" s="45"/>
      <c r="AO249" s="45"/>
      <c r="AP249" s="51"/>
    </row>
    <row r="250" spans="1:42" ht="21" customHeight="1" thickTop="1" thickBot="1" x14ac:dyDescent="0.35">
      <c r="A250" s="63"/>
      <c r="B250" s="66"/>
      <c r="C250" s="53">
        <v>7</v>
      </c>
      <c r="D250" s="45">
        <v>402.89999999999992</v>
      </c>
      <c r="E250" s="45"/>
      <c r="F250" s="45"/>
      <c r="G250" s="45"/>
      <c r="H250" s="45"/>
      <c r="I250" s="45"/>
      <c r="J250" s="51"/>
      <c r="K250" s="53">
        <v>7</v>
      </c>
      <c r="L250" s="45">
        <v>404.00999999999988</v>
      </c>
      <c r="M250" s="45"/>
      <c r="N250" s="45"/>
      <c r="O250" s="45"/>
      <c r="P250" s="45"/>
      <c r="Q250" s="45"/>
      <c r="R250" s="51"/>
      <c r="S250" s="53">
        <v>7</v>
      </c>
      <c r="T250" s="45">
        <v>404.1699999999999</v>
      </c>
      <c r="U250" s="45"/>
      <c r="V250" s="45"/>
      <c r="W250" s="45"/>
      <c r="X250" s="45"/>
      <c r="Y250" s="45"/>
      <c r="Z250" s="51"/>
      <c r="AA250" s="53">
        <v>7</v>
      </c>
      <c r="AB250" s="45">
        <v>402.89999999999981</v>
      </c>
      <c r="AC250" s="45"/>
      <c r="AD250" s="45"/>
      <c r="AE250" s="45"/>
      <c r="AF250" s="45"/>
      <c r="AG250" s="45"/>
      <c r="AH250" s="51"/>
      <c r="AI250" s="53">
        <v>7</v>
      </c>
      <c r="AJ250" s="45">
        <v>404.22999999999979</v>
      </c>
      <c r="AK250" s="45"/>
      <c r="AL250" s="45"/>
      <c r="AM250" s="45"/>
      <c r="AN250" s="45"/>
      <c r="AO250" s="45"/>
      <c r="AP250" s="51"/>
    </row>
    <row r="251" spans="1:42" ht="21" customHeight="1" thickTop="1" thickBot="1" x14ac:dyDescent="0.35">
      <c r="A251" s="63"/>
      <c r="B251" s="66"/>
      <c r="C251" s="53">
        <v>8</v>
      </c>
      <c r="D251" s="45">
        <v>402.89999999999992</v>
      </c>
      <c r="E251" s="45"/>
      <c r="F251" s="45"/>
      <c r="G251" s="45"/>
      <c r="H251" s="45"/>
      <c r="I251" s="45"/>
      <c r="J251" s="51"/>
      <c r="K251" s="53">
        <v>8</v>
      </c>
      <c r="L251" s="45">
        <v>403.59999999999991</v>
      </c>
      <c r="M251" s="45"/>
      <c r="N251" s="45"/>
      <c r="O251" s="45"/>
      <c r="P251" s="45"/>
      <c r="Q251" s="45"/>
      <c r="R251" s="51"/>
      <c r="S251" s="53">
        <v>8</v>
      </c>
      <c r="T251" s="45">
        <v>404.41999999999979</v>
      </c>
      <c r="U251" s="45"/>
      <c r="V251" s="45"/>
      <c r="W251" s="45"/>
      <c r="X251" s="45"/>
      <c r="Y251" s="45"/>
      <c r="Z251" s="51"/>
      <c r="AA251" s="53">
        <v>8</v>
      </c>
      <c r="AB251" s="45">
        <v>402.89999999999992</v>
      </c>
      <c r="AC251" s="45"/>
      <c r="AD251" s="45"/>
      <c r="AE251" s="45"/>
      <c r="AF251" s="45"/>
      <c r="AG251" s="45"/>
      <c r="AH251" s="51"/>
      <c r="AI251" s="53">
        <v>8</v>
      </c>
      <c r="AJ251" s="45">
        <v>404.55999999999989</v>
      </c>
      <c r="AK251" s="45"/>
      <c r="AL251" s="45"/>
      <c r="AM251" s="45"/>
      <c r="AN251" s="45"/>
      <c r="AO251" s="45"/>
      <c r="AP251" s="51"/>
    </row>
    <row r="252" spans="1:42" ht="21" customHeight="1" thickTop="1" thickBot="1" x14ac:dyDescent="0.35">
      <c r="A252" s="63"/>
      <c r="B252" s="66"/>
      <c r="C252" s="53">
        <v>9</v>
      </c>
      <c r="D252" s="45">
        <v>403.1099999999999</v>
      </c>
      <c r="E252" s="45"/>
      <c r="F252" s="45"/>
      <c r="G252" s="45"/>
      <c r="H252" s="45"/>
      <c r="I252" s="45"/>
      <c r="J252" s="51"/>
      <c r="K252" s="53">
        <v>9</v>
      </c>
      <c r="L252" s="45">
        <v>403.80999999999989</v>
      </c>
      <c r="M252" s="45"/>
      <c r="N252" s="45"/>
      <c r="O252" s="45"/>
      <c r="P252" s="45"/>
      <c r="Q252" s="45"/>
      <c r="R252" s="51"/>
      <c r="S252" s="53">
        <v>9</v>
      </c>
      <c r="T252" s="45">
        <v>403.37999999999988</v>
      </c>
      <c r="U252" s="45"/>
      <c r="V252" s="45"/>
      <c r="W252" s="45"/>
      <c r="X252" s="45"/>
      <c r="Y252" s="45"/>
      <c r="Z252" s="51"/>
      <c r="AA252" s="53">
        <v>9</v>
      </c>
      <c r="AB252" s="45">
        <v>402.89999999999981</v>
      </c>
      <c r="AC252" s="45"/>
      <c r="AD252" s="45"/>
      <c r="AE252" s="45"/>
      <c r="AF252" s="45"/>
      <c r="AG252" s="45"/>
      <c r="AH252" s="51"/>
      <c r="AI252" s="53">
        <v>9</v>
      </c>
      <c r="AJ252" s="45">
        <v>404.14999999999992</v>
      </c>
      <c r="AK252" s="45"/>
      <c r="AL252" s="45"/>
      <c r="AM252" s="45"/>
      <c r="AN252" s="45"/>
      <c r="AO252" s="45"/>
      <c r="AP252" s="51"/>
    </row>
    <row r="253" spans="1:42" ht="21" customHeight="1" thickTop="1" thickBot="1" x14ac:dyDescent="0.35">
      <c r="A253" s="63"/>
      <c r="B253" s="66"/>
      <c r="C253" s="53">
        <v>10</v>
      </c>
      <c r="D253" s="45">
        <v>402.89999999999992</v>
      </c>
      <c r="E253" s="45"/>
      <c r="F253" s="45"/>
      <c r="G253" s="45"/>
      <c r="H253" s="45"/>
      <c r="I253" s="45"/>
      <c r="J253" s="51"/>
      <c r="K253" s="53">
        <v>10</v>
      </c>
      <c r="L253" s="45">
        <v>403.40999999999991</v>
      </c>
      <c r="M253" s="45"/>
      <c r="N253" s="45"/>
      <c r="O253" s="45"/>
      <c r="P253" s="45"/>
      <c r="Q253" s="45"/>
      <c r="R253" s="51"/>
      <c r="S253" s="53">
        <v>10</v>
      </c>
      <c r="T253" s="45">
        <v>403.3599999999999</v>
      </c>
      <c r="U253" s="45"/>
      <c r="V253" s="45"/>
      <c r="W253" s="45"/>
      <c r="X253" s="45"/>
      <c r="Y253" s="45"/>
      <c r="Z253" s="51"/>
      <c r="AA253" s="53">
        <v>10</v>
      </c>
      <c r="AB253" s="45">
        <v>402.89999999999992</v>
      </c>
      <c r="AC253" s="45"/>
      <c r="AD253" s="45"/>
      <c r="AE253" s="45"/>
      <c r="AF253" s="45"/>
      <c r="AG253" s="45"/>
      <c r="AH253" s="51"/>
      <c r="AI253" s="53">
        <v>10</v>
      </c>
      <c r="AJ253" s="45">
        <v>405.56999999999988</v>
      </c>
      <c r="AK253" s="45"/>
      <c r="AL253" s="45"/>
      <c r="AM253" s="45"/>
      <c r="AN253" s="45"/>
      <c r="AO253" s="45"/>
      <c r="AP253" s="51"/>
    </row>
    <row r="254" spans="1:42" ht="21" customHeight="1" thickTop="1" thickBot="1" x14ac:dyDescent="0.35">
      <c r="A254" s="63"/>
      <c r="B254" s="66"/>
      <c r="C254" s="53"/>
      <c r="D254" s="45"/>
      <c r="E254" s="45"/>
      <c r="F254" s="45"/>
      <c r="G254" s="45"/>
      <c r="H254" s="45"/>
      <c r="I254" s="45"/>
      <c r="J254" s="51"/>
      <c r="K254" s="53"/>
      <c r="L254" s="45"/>
      <c r="M254" s="45"/>
      <c r="N254" s="45"/>
      <c r="O254" s="45"/>
      <c r="P254" s="45"/>
      <c r="Q254" s="45"/>
      <c r="R254" s="51"/>
      <c r="S254" s="53"/>
      <c r="T254" s="45"/>
      <c r="U254" s="45"/>
      <c r="V254" s="45"/>
      <c r="W254" s="45"/>
      <c r="X254" s="45"/>
      <c r="Y254" s="45"/>
      <c r="Z254" s="51"/>
      <c r="AA254" s="53"/>
      <c r="AB254" s="45"/>
      <c r="AC254" s="45"/>
      <c r="AD254" s="45"/>
      <c r="AE254" s="45"/>
      <c r="AF254" s="45"/>
      <c r="AG254" s="45"/>
      <c r="AH254" s="51"/>
      <c r="AI254" s="53"/>
      <c r="AJ254" s="45"/>
      <c r="AK254" s="45"/>
      <c r="AL254" s="45"/>
      <c r="AM254" s="45"/>
      <c r="AN254" s="45"/>
      <c r="AO254" s="45"/>
      <c r="AP254" s="51"/>
    </row>
    <row r="255" spans="1:42" ht="21" customHeight="1" thickTop="1" thickBot="1" x14ac:dyDescent="0.35">
      <c r="A255" s="63"/>
      <c r="B255" s="66"/>
      <c r="C255" s="54" t="s">
        <v>16</v>
      </c>
      <c r="D255" s="49">
        <f>MIN(D244:D253)</f>
        <v>402.43999999999988</v>
      </c>
      <c r="E255" s="45"/>
      <c r="F255" s="55" t="s">
        <v>17</v>
      </c>
      <c r="G255" s="49" t="s">
        <v>18</v>
      </c>
      <c r="H255" s="49" t="s">
        <v>19</v>
      </c>
      <c r="I255" s="45"/>
      <c r="J255" s="51"/>
      <c r="K255" s="54" t="s">
        <v>16</v>
      </c>
      <c r="L255" s="49">
        <f>MIN(L244:L253)</f>
        <v>403.02999999999992</v>
      </c>
      <c r="M255" s="45"/>
      <c r="N255" s="55" t="s">
        <v>17</v>
      </c>
      <c r="O255" s="49" t="s">
        <v>18</v>
      </c>
      <c r="P255" s="49" t="s">
        <v>19</v>
      </c>
      <c r="Q255" s="45"/>
      <c r="R255" s="51"/>
      <c r="S255" s="54" t="s">
        <v>16</v>
      </c>
      <c r="T255" s="49">
        <f>MIN(T244:T253)</f>
        <v>402.9199999999999</v>
      </c>
      <c r="U255" s="45"/>
      <c r="V255" s="55" t="s">
        <v>17</v>
      </c>
      <c r="W255" s="49" t="s">
        <v>18</v>
      </c>
      <c r="X255" s="49" t="s">
        <v>19</v>
      </c>
      <c r="Y255" s="45"/>
      <c r="Z255" s="51"/>
      <c r="AA255" s="54" t="s">
        <v>16</v>
      </c>
      <c r="AB255" s="49">
        <f>MIN(AB244:AB253)</f>
        <v>402.89999999999981</v>
      </c>
      <c r="AC255" s="45"/>
      <c r="AD255" s="55" t="s">
        <v>17</v>
      </c>
      <c r="AE255" s="49" t="s">
        <v>18</v>
      </c>
      <c r="AF255" s="49" t="s">
        <v>19</v>
      </c>
      <c r="AG255" s="45"/>
      <c r="AH255" s="51"/>
      <c r="AI255" s="54" t="s">
        <v>16</v>
      </c>
      <c r="AJ255" s="49">
        <f>MIN(AJ244:AJ253)</f>
        <v>403.86999999999989</v>
      </c>
      <c r="AK255" s="45"/>
      <c r="AL255" s="55" t="s">
        <v>17</v>
      </c>
      <c r="AM255" s="49" t="s">
        <v>18</v>
      </c>
      <c r="AN255" s="49" t="s">
        <v>19</v>
      </c>
      <c r="AO255" s="45"/>
      <c r="AP255" s="51"/>
    </row>
    <row r="256" spans="1:42" ht="21" customHeight="1" thickTop="1" thickBot="1" x14ac:dyDescent="0.35">
      <c r="A256" s="63"/>
      <c r="B256" s="66"/>
      <c r="C256" s="54" t="s">
        <v>20</v>
      </c>
      <c r="D256" s="48">
        <f>AVERAGE(D244:D253)</f>
        <v>402.87399999999991</v>
      </c>
      <c r="E256" s="47"/>
      <c r="F256" s="48">
        <f>_xlfn.STDEV.S(D244:D253) / AVERAGE(D244:D253) * 100%</f>
        <v>5.5344810900687721E-4</v>
      </c>
      <c r="G256" s="48">
        <f t="array" ref="G256">MIN((D244:D253 - MIN(D244:D253,L244:L253,T244:T253,AB244:AB253,AJ244:AJ253))/MIN(D244:D253,L244:L253,T244:T253,AB244:AB253,AJ244:AJ253)*100%)</f>
        <v>0</v>
      </c>
      <c r="H256" s="48">
        <f t="array" ref="H256">AVERAGE((D244:D253 - MIN(D244:D253,L244:L253,T244:T253,AB244:AB253,AJ244:AJ253))/MIN(D244:D253,L244:L253,T244:T253,AB244:AB253,AJ244:AJ253)*100%)</f>
        <v>1.0784216280688591E-3</v>
      </c>
      <c r="I256" s="45"/>
      <c r="J256" s="51"/>
      <c r="K256" s="54" t="s">
        <v>20</v>
      </c>
      <c r="L256" s="48">
        <f>AVERAGE(L244:L253)</f>
        <v>403.59599999999989</v>
      </c>
      <c r="M256" s="47"/>
      <c r="N256" s="48">
        <f>_xlfn.STDEV.S(L244:L253) / AVERAGE(L244:L253) * 100%</f>
        <v>1.0413129828882712E-3</v>
      </c>
      <c r="O256" s="48">
        <f t="array" ref="O256">MIN((L244:L253 - MIN(D244:D253,L244:L253,T244:T253,AB244:AB253,AJ244:AJ253))/MIN(D244:D253,L244:L253,T244:T253,AB244:AB253,AJ244:AJ253)*100%)</f>
        <v>1.4660570519829839E-3</v>
      </c>
      <c r="P256" s="48">
        <f t="array" ref="P256">AVERAGE((L244:L253 - MIN(D244:D253,L244:L253,T244:T253,AB244:AB253,AJ244:AJ253))/MIN(D244:D253,L244:L253,T244:T253,AB244:AB253,AJ244:AJ253)*100%)</f>
        <v>2.8724778849021264E-3</v>
      </c>
      <c r="Q256" s="44"/>
      <c r="R256" s="51"/>
      <c r="S256" s="54" t="s">
        <v>20</v>
      </c>
      <c r="T256" s="48">
        <f>AVERAGE(T244:T253)</f>
        <v>403.68999999999988</v>
      </c>
      <c r="U256" s="47"/>
      <c r="V256" s="48">
        <f>_xlfn.STDEV.S(T244:T253) / AVERAGE(T244:T253) * 100%</f>
        <v>1.6982473185863307E-3</v>
      </c>
      <c r="W256" s="48">
        <f t="array" ref="W256">MIN((T244:T253 - MIN(D244:D253,L244:L253,T244:T253,AB244:AB253,AJ244:AJ253))/MIN(D244:D253,L244:L253,T244:T253,AB244:AB253,AJ244:AJ253)*100%)</f>
        <v>1.1927243812742728E-3</v>
      </c>
      <c r="X256" s="48">
        <f t="array" ref="X256">AVERAGE((T244:T253 - MIN(D244:D253,L244:L253,T244:T253,AB244:AB253,AJ244:AJ253))/MIN(D244:D253,L244:L253,T244:T253,AB244:AB253,AJ244:AJ253)*100%)</f>
        <v>3.1060530762350102E-3</v>
      </c>
      <c r="Y256" s="44"/>
      <c r="Z256" s="51"/>
      <c r="AA256" s="54" t="s">
        <v>20</v>
      </c>
      <c r="AB256" s="48">
        <f>AVERAGE(AB244:AB253)</f>
        <v>403.0619999999999</v>
      </c>
      <c r="AC256" s="47"/>
      <c r="AD256" s="48">
        <f>_xlfn.STDEV.S(AB244:AB253) / AVERAGE(AB244:AB253) * 100%</f>
        <v>9.3263019116592461E-4</v>
      </c>
      <c r="AE256" s="48">
        <f t="array" ref="AE256">MIN((AB244:AB253 - MIN(D244:D253,L244:L253,T244:T253,AB244:AB253,AJ244:AJ253))/MIN(D244:D253,L244:L253,T244:T253,AB244:AB253,AJ244:AJ253)*100%)</f>
        <v>1.1430275320542759E-3</v>
      </c>
      <c r="AF256" s="48">
        <f t="array" ref="AF256">AVERAGE((AB244:AB253 - MIN(D244:D253,L244:L253,T244:T253,AB244:AB253,AJ244:AJ253))/MIN(D244:D253,L244:L253,T244:T253,AB244:AB253,AJ244:AJ253)*100%)</f>
        <v>1.5455720107345546E-3</v>
      </c>
      <c r="AG256" s="44"/>
      <c r="AH256" s="51"/>
      <c r="AI256" s="54" t="s">
        <v>20</v>
      </c>
      <c r="AJ256" s="48">
        <f>AVERAGE(AJ244:AJ253)</f>
        <v>404.91499999999985</v>
      </c>
      <c r="AK256" s="47"/>
      <c r="AL256" s="48">
        <f>_xlfn.STDEV.S(AJ244:AJ253) / AVERAGE(AJ244:AJ253) * 100%</f>
        <v>2.0201660040011704E-3</v>
      </c>
      <c r="AM256" s="48">
        <f t="array" ref="AM256">MIN((AJ244:AJ253 - MIN(D244:D253,L244:L253,T244:T253,AB244:AB253,AJ244:AJ253))/MIN(D244:D253,L244:L253,T244:T253,AB244:AB253,AJ244:AJ253)*100%)</f>
        <v>3.55332471921282E-3</v>
      </c>
      <c r="AN256" s="48">
        <f t="array" ref="AN256">AVERAGE((AJ244:AJ253 - MIN(D244:D253,L244:L253,T244:T253,AB244:AB253,AJ244:AJ253))/MIN(D244:D253,L244:L253,T244:T253,AB244:AB253,AJ244:AJ253)*100%)</f>
        <v>6.1499850909452784E-3</v>
      </c>
      <c r="AO256" s="44"/>
      <c r="AP256" s="51"/>
    </row>
    <row r="257" spans="1:42" ht="21" customHeight="1" thickTop="1" thickBot="1" x14ac:dyDescent="0.35">
      <c r="A257" s="63"/>
      <c r="B257" s="67"/>
      <c r="C257" s="53"/>
      <c r="D257" s="44"/>
      <c r="E257" s="44"/>
      <c r="F257" s="44"/>
      <c r="G257" s="44"/>
      <c r="H257" s="44"/>
      <c r="I257" s="44"/>
      <c r="J257" s="51"/>
      <c r="K257" s="53"/>
      <c r="L257" s="44"/>
      <c r="M257" s="44"/>
      <c r="N257" s="44"/>
      <c r="O257" s="44"/>
      <c r="P257" s="44"/>
      <c r="Q257" s="44"/>
      <c r="R257" s="51"/>
      <c r="S257" s="53"/>
      <c r="T257" s="44"/>
      <c r="U257" s="44"/>
      <c r="V257" s="44"/>
      <c r="W257" s="44"/>
      <c r="X257" s="44"/>
      <c r="Y257" s="44"/>
      <c r="Z257" s="51"/>
      <c r="AA257" s="53"/>
      <c r="AB257" s="44"/>
      <c r="AC257" s="44"/>
      <c r="AD257" s="44"/>
      <c r="AE257" s="44"/>
      <c r="AF257" s="44"/>
      <c r="AG257" s="44"/>
      <c r="AH257" s="51"/>
      <c r="AI257" s="53"/>
      <c r="AJ257" s="44"/>
      <c r="AK257" s="44"/>
      <c r="AL257" s="44"/>
      <c r="AM257" s="44"/>
      <c r="AN257" s="44"/>
      <c r="AO257" s="44"/>
      <c r="AP257" s="51"/>
    </row>
    <row r="258" spans="1:42" ht="21" customHeight="1" thickTop="1" thickBot="1" x14ac:dyDescent="0.35">
      <c r="A258" s="63"/>
      <c r="B258" s="65" t="s">
        <v>123</v>
      </c>
      <c r="C258" s="59" t="s">
        <v>8</v>
      </c>
      <c r="D258" s="46" t="s">
        <v>9</v>
      </c>
      <c r="E258" s="46" t="s">
        <v>10</v>
      </c>
      <c r="F258" s="46" t="s">
        <v>11</v>
      </c>
      <c r="G258" s="46" t="s">
        <v>12</v>
      </c>
      <c r="H258" s="46" t="s">
        <v>13</v>
      </c>
      <c r="I258" s="46" t="s">
        <v>14</v>
      </c>
      <c r="J258" s="60" t="s">
        <v>15</v>
      </c>
      <c r="K258" s="59" t="s">
        <v>8</v>
      </c>
      <c r="L258" s="46" t="s">
        <v>9</v>
      </c>
      <c r="M258" s="46" t="s">
        <v>10</v>
      </c>
      <c r="N258" s="46" t="s">
        <v>11</v>
      </c>
      <c r="O258" s="46" t="s">
        <v>12</v>
      </c>
      <c r="P258" s="46" t="s">
        <v>13</v>
      </c>
      <c r="Q258" s="46" t="s">
        <v>14</v>
      </c>
      <c r="R258" s="60" t="s">
        <v>15</v>
      </c>
      <c r="S258" s="59" t="s">
        <v>8</v>
      </c>
      <c r="T258" s="46" t="s">
        <v>9</v>
      </c>
      <c r="U258" s="46" t="s">
        <v>10</v>
      </c>
      <c r="V258" s="46" t="s">
        <v>11</v>
      </c>
      <c r="W258" s="46" t="s">
        <v>12</v>
      </c>
      <c r="X258" s="46" t="s">
        <v>13</v>
      </c>
      <c r="Y258" s="46" t="s">
        <v>14</v>
      </c>
      <c r="Z258" s="60" t="s">
        <v>15</v>
      </c>
      <c r="AA258" s="59" t="s">
        <v>8</v>
      </c>
      <c r="AB258" s="46" t="s">
        <v>9</v>
      </c>
      <c r="AC258" s="46" t="s">
        <v>10</v>
      </c>
      <c r="AD258" s="46" t="s">
        <v>11</v>
      </c>
      <c r="AE258" s="46" t="s">
        <v>12</v>
      </c>
      <c r="AF258" s="46" t="s">
        <v>13</v>
      </c>
      <c r="AG258" s="46" t="s">
        <v>14</v>
      </c>
      <c r="AH258" s="60" t="s">
        <v>15</v>
      </c>
      <c r="AI258" s="59" t="s">
        <v>8</v>
      </c>
      <c r="AJ258" s="46" t="s">
        <v>9</v>
      </c>
      <c r="AK258" s="46" t="s">
        <v>10</v>
      </c>
      <c r="AL258" s="46" t="s">
        <v>11</v>
      </c>
      <c r="AM258" s="46" t="s">
        <v>12</v>
      </c>
      <c r="AN258" s="46" t="s">
        <v>13</v>
      </c>
      <c r="AO258" s="46" t="s">
        <v>14</v>
      </c>
      <c r="AP258" s="60" t="s">
        <v>15</v>
      </c>
    </row>
    <row r="259" spans="1:42" ht="21" customHeight="1" thickTop="1" thickBot="1" x14ac:dyDescent="0.35">
      <c r="A259" s="63"/>
      <c r="B259" s="66"/>
      <c r="C259" s="52">
        <v>1</v>
      </c>
      <c r="D259" s="44">
        <v>440.19999999999982</v>
      </c>
      <c r="E259" s="44"/>
      <c r="F259" s="44"/>
      <c r="G259" s="44"/>
      <c r="H259" s="44"/>
      <c r="I259" s="44"/>
      <c r="J259" s="51"/>
      <c r="K259" s="52">
        <v>1</v>
      </c>
      <c r="L259" s="44">
        <v>440.95999999999981</v>
      </c>
      <c r="M259" s="44"/>
      <c r="N259" s="44"/>
      <c r="O259" s="44"/>
      <c r="P259" s="44"/>
      <c r="Q259" s="44"/>
      <c r="R259" s="51"/>
      <c r="S259" s="52">
        <v>1</v>
      </c>
      <c r="T259" s="44">
        <v>441.43999999999988</v>
      </c>
      <c r="U259" s="44"/>
      <c r="V259" s="44"/>
      <c r="W259" s="44"/>
      <c r="X259" s="44"/>
      <c r="Y259" s="44"/>
      <c r="Z259" s="51"/>
      <c r="AA259" s="52">
        <v>1</v>
      </c>
      <c r="AB259" s="44">
        <v>440.04999999999978</v>
      </c>
      <c r="AC259" s="44"/>
      <c r="AD259" s="44"/>
      <c r="AE259" s="44"/>
      <c r="AF259" s="44"/>
      <c r="AG259" s="44"/>
      <c r="AH259" s="51"/>
      <c r="AI259" s="52">
        <v>1</v>
      </c>
      <c r="AJ259" s="44">
        <v>441.7999999999999</v>
      </c>
      <c r="AK259" s="44"/>
      <c r="AL259" s="44"/>
      <c r="AM259" s="44"/>
      <c r="AN259" s="44"/>
      <c r="AO259" s="44"/>
      <c r="AP259" s="51"/>
    </row>
    <row r="260" spans="1:42" ht="21" customHeight="1" thickTop="1" thickBot="1" x14ac:dyDescent="0.35">
      <c r="A260" s="63"/>
      <c r="B260" s="66"/>
      <c r="C260" s="53">
        <v>2</v>
      </c>
      <c r="D260" s="45">
        <v>440.49999999999977</v>
      </c>
      <c r="E260" s="45"/>
      <c r="F260" s="45"/>
      <c r="G260" s="45"/>
      <c r="H260" s="45"/>
      <c r="I260" s="45"/>
      <c r="J260" s="51"/>
      <c r="K260" s="53">
        <v>2</v>
      </c>
      <c r="L260" s="45">
        <v>441.12999999999982</v>
      </c>
      <c r="M260" s="45"/>
      <c r="N260" s="45"/>
      <c r="O260" s="45"/>
      <c r="P260" s="45"/>
      <c r="Q260" s="45"/>
      <c r="R260" s="51"/>
      <c r="S260" s="53">
        <v>2</v>
      </c>
      <c r="T260" s="45">
        <v>441.44999999999987</v>
      </c>
      <c r="U260" s="45"/>
      <c r="V260" s="45"/>
      <c r="W260" s="45"/>
      <c r="X260" s="45"/>
      <c r="Y260" s="45"/>
      <c r="Z260" s="51"/>
      <c r="AA260" s="53">
        <v>2</v>
      </c>
      <c r="AB260" s="45">
        <v>440.29999999999978</v>
      </c>
      <c r="AC260" s="45"/>
      <c r="AD260" s="45"/>
      <c r="AE260" s="45"/>
      <c r="AF260" s="45"/>
      <c r="AG260" s="45"/>
      <c r="AH260" s="51"/>
      <c r="AI260" s="53">
        <v>2</v>
      </c>
      <c r="AJ260" s="45">
        <v>442.05999999999989</v>
      </c>
      <c r="AK260" s="45"/>
      <c r="AL260" s="45"/>
      <c r="AM260" s="45"/>
      <c r="AN260" s="45"/>
      <c r="AO260" s="45"/>
      <c r="AP260" s="51"/>
    </row>
    <row r="261" spans="1:42" ht="21" customHeight="1" thickTop="1" thickBot="1" x14ac:dyDescent="0.35">
      <c r="A261" s="63"/>
      <c r="B261" s="66"/>
      <c r="C261" s="53">
        <v>3</v>
      </c>
      <c r="D261" s="45">
        <v>439.30999999999977</v>
      </c>
      <c r="E261" s="45"/>
      <c r="F261" s="45"/>
      <c r="G261" s="44"/>
      <c r="H261" s="44"/>
      <c r="I261" s="44"/>
      <c r="J261" s="51"/>
      <c r="K261" s="53">
        <v>3</v>
      </c>
      <c r="L261" s="45">
        <v>440.29999999999978</v>
      </c>
      <c r="M261" s="45"/>
      <c r="N261" s="45"/>
      <c r="O261" s="44"/>
      <c r="P261" s="44"/>
      <c r="Q261" s="44"/>
      <c r="R261" s="51"/>
      <c r="S261" s="53">
        <v>3</v>
      </c>
      <c r="T261" s="45">
        <v>441.15999999999991</v>
      </c>
      <c r="U261" s="45"/>
      <c r="V261" s="45"/>
      <c r="W261" s="44"/>
      <c r="X261" s="44"/>
      <c r="Y261" s="44"/>
      <c r="Z261" s="51"/>
      <c r="AA261" s="53">
        <v>3</v>
      </c>
      <c r="AB261" s="45">
        <v>441.13999999999987</v>
      </c>
      <c r="AC261" s="45"/>
      <c r="AD261" s="45"/>
      <c r="AE261" s="44"/>
      <c r="AF261" s="44"/>
      <c r="AG261" s="44"/>
      <c r="AH261" s="51"/>
      <c r="AI261" s="53">
        <v>3</v>
      </c>
      <c r="AJ261" s="45">
        <v>441.43999999999988</v>
      </c>
      <c r="AK261" s="45"/>
      <c r="AL261" s="45"/>
      <c r="AM261" s="44"/>
      <c r="AN261" s="44"/>
      <c r="AO261" s="44"/>
      <c r="AP261" s="51"/>
    </row>
    <row r="262" spans="1:42" ht="21" customHeight="1" thickTop="1" thickBot="1" x14ac:dyDescent="0.35">
      <c r="A262" s="63"/>
      <c r="B262" s="66"/>
      <c r="C262" s="53">
        <v>4</v>
      </c>
      <c r="D262" s="45">
        <v>440.29999999999978</v>
      </c>
      <c r="E262" s="45"/>
      <c r="F262" s="45"/>
      <c r="G262" s="45"/>
      <c r="H262" s="45"/>
      <c r="I262" s="45"/>
      <c r="J262" s="51"/>
      <c r="K262" s="53">
        <v>4</v>
      </c>
      <c r="L262" s="45">
        <v>440.29999999999978</v>
      </c>
      <c r="M262" s="45"/>
      <c r="N262" s="45"/>
      <c r="O262" s="45"/>
      <c r="P262" s="45"/>
      <c r="Q262" s="45"/>
      <c r="R262" s="51"/>
      <c r="S262" s="53">
        <v>4</v>
      </c>
      <c r="T262" s="45">
        <v>442.77999999999992</v>
      </c>
      <c r="U262" s="45"/>
      <c r="V262" s="45"/>
      <c r="W262" s="45"/>
      <c r="X262" s="45"/>
      <c r="Y262" s="45"/>
      <c r="Z262" s="51"/>
      <c r="AA262" s="53">
        <v>4</v>
      </c>
      <c r="AB262" s="45">
        <v>442.04999999999978</v>
      </c>
      <c r="AC262" s="45"/>
      <c r="AD262" s="45"/>
      <c r="AE262" s="45"/>
      <c r="AF262" s="45"/>
      <c r="AG262" s="45"/>
      <c r="AH262" s="51"/>
      <c r="AI262" s="53">
        <v>4</v>
      </c>
      <c r="AJ262" s="45">
        <v>441.56999999999988</v>
      </c>
      <c r="AK262" s="45"/>
      <c r="AL262" s="45"/>
      <c r="AM262" s="45"/>
      <c r="AN262" s="45"/>
      <c r="AO262" s="45"/>
      <c r="AP262" s="51"/>
    </row>
    <row r="263" spans="1:42" ht="21" customHeight="1" thickTop="1" thickBot="1" x14ac:dyDescent="0.35">
      <c r="A263" s="63"/>
      <c r="B263" s="66"/>
      <c r="C263" s="53">
        <v>5</v>
      </c>
      <c r="D263" s="45">
        <v>440.06999999999982</v>
      </c>
      <c r="E263" s="45"/>
      <c r="F263" s="45"/>
      <c r="G263" s="45"/>
      <c r="H263" s="45"/>
      <c r="I263" s="45"/>
      <c r="J263" s="51"/>
      <c r="K263" s="53">
        <v>5</v>
      </c>
      <c r="L263" s="45">
        <v>440.29999999999978</v>
      </c>
      <c r="M263" s="45"/>
      <c r="N263" s="45"/>
      <c r="O263" s="45"/>
      <c r="P263" s="45"/>
      <c r="Q263" s="45"/>
      <c r="R263" s="51"/>
      <c r="S263" s="53">
        <v>5</v>
      </c>
      <c r="T263" s="45">
        <v>441.22999999999979</v>
      </c>
      <c r="U263" s="45"/>
      <c r="V263" s="45"/>
      <c r="W263" s="45"/>
      <c r="X263" s="45"/>
      <c r="Y263" s="45"/>
      <c r="Z263" s="51"/>
      <c r="AA263" s="53">
        <v>5</v>
      </c>
      <c r="AB263" s="45">
        <v>440.3499999999998</v>
      </c>
      <c r="AC263" s="45"/>
      <c r="AD263" s="45"/>
      <c r="AE263" s="45"/>
      <c r="AF263" s="45"/>
      <c r="AG263" s="45"/>
      <c r="AH263" s="51"/>
      <c r="AI263" s="53">
        <v>5</v>
      </c>
      <c r="AJ263" s="45">
        <v>441.62999999999988</v>
      </c>
      <c r="AK263" s="45"/>
      <c r="AL263" s="45"/>
      <c r="AM263" s="45"/>
      <c r="AN263" s="45"/>
      <c r="AO263" s="45"/>
      <c r="AP263" s="51"/>
    </row>
    <row r="264" spans="1:42" ht="21" customHeight="1" thickTop="1" thickBot="1" x14ac:dyDescent="0.35">
      <c r="A264" s="63"/>
      <c r="B264" s="66"/>
      <c r="C264" s="53">
        <v>6</v>
      </c>
      <c r="D264" s="45">
        <v>439.47999999999979</v>
      </c>
      <c r="E264" s="45"/>
      <c r="F264" s="45"/>
      <c r="G264" s="45"/>
      <c r="H264" s="45"/>
      <c r="I264" s="45"/>
      <c r="J264" s="51"/>
      <c r="K264" s="53">
        <v>6</v>
      </c>
      <c r="L264" s="45">
        <v>440.59999999999991</v>
      </c>
      <c r="M264" s="45"/>
      <c r="N264" s="45"/>
      <c r="O264" s="45"/>
      <c r="P264" s="45"/>
      <c r="Q264" s="45"/>
      <c r="R264" s="51"/>
      <c r="S264" s="53">
        <v>6</v>
      </c>
      <c r="T264" s="45">
        <v>441.43999999999988</v>
      </c>
      <c r="U264" s="45"/>
      <c r="V264" s="45"/>
      <c r="W264" s="45"/>
      <c r="X264" s="45"/>
      <c r="Y264" s="45"/>
      <c r="Z264" s="51"/>
      <c r="AA264" s="53">
        <v>6</v>
      </c>
      <c r="AB264" s="45">
        <v>440.29999999999978</v>
      </c>
      <c r="AC264" s="45"/>
      <c r="AD264" s="45"/>
      <c r="AE264" s="45"/>
      <c r="AF264" s="45"/>
      <c r="AG264" s="45"/>
      <c r="AH264" s="51"/>
      <c r="AI264" s="53">
        <v>6</v>
      </c>
      <c r="AJ264" s="45">
        <v>441.44999999999987</v>
      </c>
      <c r="AK264" s="45"/>
      <c r="AL264" s="45"/>
      <c r="AM264" s="45"/>
      <c r="AN264" s="45"/>
      <c r="AO264" s="45"/>
      <c r="AP264" s="51"/>
    </row>
    <row r="265" spans="1:42" ht="21" customHeight="1" thickTop="1" thickBot="1" x14ac:dyDescent="0.35">
      <c r="A265" s="63"/>
      <c r="B265" s="66"/>
      <c r="C265" s="53">
        <v>7</v>
      </c>
      <c r="D265" s="45">
        <v>440.68999999999983</v>
      </c>
      <c r="E265" s="45"/>
      <c r="F265" s="45"/>
      <c r="G265" s="45"/>
      <c r="H265" s="45"/>
      <c r="I265" s="45"/>
      <c r="J265" s="51"/>
      <c r="K265" s="53">
        <v>7</v>
      </c>
      <c r="L265" s="45">
        <v>440.78999999999979</v>
      </c>
      <c r="M265" s="45"/>
      <c r="N265" s="45"/>
      <c r="O265" s="45"/>
      <c r="P265" s="45"/>
      <c r="Q265" s="45"/>
      <c r="R265" s="51"/>
      <c r="S265" s="53">
        <v>7</v>
      </c>
      <c r="T265" s="45">
        <v>441.13999999999982</v>
      </c>
      <c r="U265" s="45"/>
      <c r="V265" s="45"/>
      <c r="W265" s="45"/>
      <c r="X265" s="45"/>
      <c r="Y265" s="45"/>
      <c r="Z265" s="51"/>
      <c r="AA265" s="53">
        <v>7</v>
      </c>
      <c r="AB265" s="45">
        <v>441.71999999999991</v>
      </c>
      <c r="AC265" s="45"/>
      <c r="AD265" s="45"/>
      <c r="AE265" s="45"/>
      <c r="AF265" s="45"/>
      <c r="AG265" s="45"/>
      <c r="AH265" s="51"/>
      <c r="AI265" s="53">
        <v>7</v>
      </c>
      <c r="AJ265" s="45">
        <v>441.43999999999988</v>
      </c>
      <c r="AK265" s="45"/>
      <c r="AL265" s="45"/>
      <c r="AM265" s="45"/>
      <c r="AN265" s="45"/>
      <c r="AO265" s="45"/>
      <c r="AP265" s="51"/>
    </row>
    <row r="266" spans="1:42" ht="21" customHeight="1" thickTop="1" thickBot="1" x14ac:dyDescent="0.35">
      <c r="A266" s="63"/>
      <c r="B266" s="66"/>
      <c r="C266" s="53">
        <v>8</v>
      </c>
      <c r="D266" s="45">
        <v>439.06999999999988</v>
      </c>
      <c r="E266" s="45"/>
      <c r="F266" s="45"/>
      <c r="G266" s="45"/>
      <c r="H266" s="45"/>
      <c r="I266" s="45"/>
      <c r="J266" s="51"/>
      <c r="K266" s="53">
        <v>8</v>
      </c>
      <c r="L266" s="45">
        <v>440.7799999999998</v>
      </c>
      <c r="M266" s="45"/>
      <c r="N266" s="45"/>
      <c r="O266" s="45"/>
      <c r="P266" s="45"/>
      <c r="Q266" s="45"/>
      <c r="R266" s="51"/>
      <c r="S266" s="53">
        <v>8</v>
      </c>
      <c r="T266" s="45">
        <v>441.43999999999983</v>
      </c>
      <c r="U266" s="45"/>
      <c r="V266" s="45"/>
      <c r="W266" s="45"/>
      <c r="X266" s="45"/>
      <c r="Y266" s="45"/>
      <c r="Z266" s="51"/>
      <c r="AA266" s="53">
        <v>8</v>
      </c>
      <c r="AB266" s="45">
        <v>440.29999999999978</v>
      </c>
      <c r="AC266" s="45"/>
      <c r="AD266" s="45"/>
      <c r="AE266" s="45"/>
      <c r="AF266" s="45"/>
      <c r="AG266" s="45"/>
      <c r="AH266" s="51"/>
      <c r="AI266" s="53">
        <v>8</v>
      </c>
      <c r="AJ266" s="45">
        <v>441.81999999999988</v>
      </c>
      <c r="AK266" s="45"/>
      <c r="AL266" s="45"/>
      <c r="AM266" s="45"/>
      <c r="AN266" s="45"/>
      <c r="AO266" s="45"/>
      <c r="AP266" s="51"/>
    </row>
    <row r="267" spans="1:42" ht="21" customHeight="1" thickTop="1" thickBot="1" x14ac:dyDescent="0.35">
      <c r="A267" s="63"/>
      <c r="B267" s="66"/>
      <c r="C267" s="53">
        <v>9</v>
      </c>
      <c r="D267" s="45">
        <v>440.67999999999978</v>
      </c>
      <c r="E267" s="45"/>
      <c r="F267" s="45"/>
      <c r="G267" s="45"/>
      <c r="H267" s="45"/>
      <c r="I267" s="45"/>
      <c r="J267" s="51"/>
      <c r="K267" s="53">
        <v>9</v>
      </c>
      <c r="L267" s="45">
        <v>440.43999999999983</v>
      </c>
      <c r="M267" s="45"/>
      <c r="N267" s="45"/>
      <c r="O267" s="45"/>
      <c r="P267" s="45"/>
      <c r="Q267" s="45"/>
      <c r="R267" s="51"/>
      <c r="S267" s="53">
        <v>9</v>
      </c>
      <c r="T267" s="45">
        <v>441.56999999999982</v>
      </c>
      <c r="U267" s="45"/>
      <c r="V267" s="45"/>
      <c r="W267" s="45"/>
      <c r="X267" s="45"/>
      <c r="Y267" s="45"/>
      <c r="Z267" s="51"/>
      <c r="AA267" s="53">
        <v>9</v>
      </c>
      <c r="AB267" s="45">
        <v>440.83999999999992</v>
      </c>
      <c r="AC267" s="45"/>
      <c r="AD267" s="45"/>
      <c r="AE267" s="45"/>
      <c r="AF267" s="45"/>
      <c r="AG267" s="45"/>
      <c r="AH267" s="51"/>
      <c r="AI267" s="53">
        <v>9</v>
      </c>
      <c r="AJ267" s="45">
        <v>441.91999999999979</v>
      </c>
      <c r="AK267" s="45"/>
      <c r="AL267" s="45"/>
      <c r="AM267" s="45"/>
      <c r="AN267" s="45"/>
      <c r="AO267" s="45"/>
      <c r="AP267" s="51"/>
    </row>
    <row r="268" spans="1:42" ht="21" customHeight="1" thickTop="1" thickBot="1" x14ac:dyDescent="0.35">
      <c r="A268" s="63"/>
      <c r="B268" s="66"/>
      <c r="C268" s="53">
        <v>10</v>
      </c>
      <c r="D268" s="45">
        <v>440.19999999999982</v>
      </c>
      <c r="E268" s="45"/>
      <c r="F268" s="45"/>
      <c r="G268" s="45"/>
      <c r="H268" s="45"/>
      <c r="I268" s="45"/>
      <c r="J268" s="51"/>
      <c r="K268" s="53">
        <v>10</v>
      </c>
      <c r="L268" s="45">
        <v>440.49999999999989</v>
      </c>
      <c r="M268" s="45"/>
      <c r="N268" s="45"/>
      <c r="O268" s="45"/>
      <c r="P268" s="45"/>
      <c r="Q268" s="45"/>
      <c r="R268" s="51"/>
      <c r="S268" s="53">
        <v>10</v>
      </c>
      <c r="T268" s="45">
        <v>441.8399999999998</v>
      </c>
      <c r="U268" s="45"/>
      <c r="V268" s="45"/>
      <c r="W268" s="45"/>
      <c r="X268" s="45"/>
      <c r="Y268" s="45"/>
      <c r="Z268" s="51"/>
      <c r="AA268" s="53">
        <v>10</v>
      </c>
      <c r="AB268" s="45">
        <v>440.29999999999978</v>
      </c>
      <c r="AC268" s="45"/>
      <c r="AD268" s="45"/>
      <c r="AE268" s="45"/>
      <c r="AF268" s="45"/>
      <c r="AG268" s="45"/>
      <c r="AH268" s="51"/>
      <c r="AI268" s="53">
        <v>10</v>
      </c>
      <c r="AJ268" s="45">
        <v>441.70999999999992</v>
      </c>
      <c r="AK268" s="45"/>
      <c r="AL268" s="45"/>
      <c r="AM268" s="45"/>
      <c r="AN268" s="45"/>
      <c r="AO268" s="45"/>
      <c r="AP268" s="51"/>
    </row>
    <row r="269" spans="1:42" ht="21" customHeight="1" thickTop="1" thickBot="1" x14ac:dyDescent="0.35">
      <c r="A269" s="63"/>
      <c r="B269" s="66"/>
      <c r="C269" s="53"/>
      <c r="D269" s="45"/>
      <c r="E269" s="45"/>
      <c r="F269" s="45"/>
      <c r="G269" s="45"/>
      <c r="H269" s="45"/>
      <c r="I269" s="45"/>
      <c r="J269" s="51"/>
      <c r="K269" s="53"/>
      <c r="L269" s="45"/>
      <c r="M269" s="45"/>
      <c r="N269" s="45"/>
      <c r="O269" s="45"/>
      <c r="P269" s="45"/>
      <c r="Q269" s="45"/>
      <c r="R269" s="51"/>
      <c r="S269" s="53"/>
      <c r="T269" s="45"/>
      <c r="U269" s="45"/>
      <c r="V269" s="45"/>
      <c r="W269" s="45"/>
      <c r="X269" s="45"/>
      <c r="Y269" s="45"/>
      <c r="Z269" s="51"/>
      <c r="AA269" s="53"/>
      <c r="AB269" s="45"/>
      <c r="AC269" s="45"/>
      <c r="AD269" s="45"/>
      <c r="AE269" s="45"/>
      <c r="AF269" s="45"/>
      <c r="AG269" s="45"/>
      <c r="AH269" s="51"/>
      <c r="AI269" s="53"/>
      <c r="AJ269" s="45"/>
      <c r="AK269" s="45"/>
      <c r="AL269" s="45"/>
      <c r="AM269" s="45"/>
      <c r="AN269" s="45"/>
      <c r="AO269" s="45"/>
      <c r="AP269" s="51"/>
    </row>
    <row r="270" spans="1:42" ht="21" customHeight="1" thickTop="1" thickBot="1" x14ac:dyDescent="0.35">
      <c r="A270" s="63"/>
      <c r="B270" s="66"/>
      <c r="C270" s="54" t="s">
        <v>16</v>
      </c>
      <c r="D270" s="49">
        <f>MIN(D259:D268)</f>
        <v>439.06999999999988</v>
      </c>
      <c r="E270" s="45"/>
      <c r="F270" s="55" t="s">
        <v>17</v>
      </c>
      <c r="G270" s="49" t="s">
        <v>18</v>
      </c>
      <c r="H270" s="49" t="s">
        <v>19</v>
      </c>
      <c r="I270" s="45"/>
      <c r="J270" s="51"/>
      <c r="K270" s="54" t="s">
        <v>16</v>
      </c>
      <c r="L270" s="49">
        <f>MIN(L259:L268)</f>
        <v>440.29999999999978</v>
      </c>
      <c r="M270" s="45"/>
      <c r="N270" s="55" t="s">
        <v>17</v>
      </c>
      <c r="O270" s="49" t="s">
        <v>18</v>
      </c>
      <c r="P270" s="49" t="s">
        <v>19</v>
      </c>
      <c r="Q270" s="45"/>
      <c r="R270" s="51"/>
      <c r="S270" s="54" t="s">
        <v>16</v>
      </c>
      <c r="T270" s="49">
        <f>MIN(T259:T268)</f>
        <v>441.13999999999982</v>
      </c>
      <c r="U270" s="45"/>
      <c r="V270" s="55" t="s">
        <v>17</v>
      </c>
      <c r="W270" s="49" t="s">
        <v>18</v>
      </c>
      <c r="X270" s="49" t="s">
        <v>19</v>
      </c>
      <c r="Y270" s="45"/>
      <c r="Z270" s="51"/>
      <c r="AA270" s="54" t="s">
        <v>16</v>
      </c>
      <c r="AB270" s="49">
        <f>MIN(AB259:AB268)</f>
        <v>440.04999999999978</v>
      </c>
      <c r="AC270" s="45"/>
      <c r="AD270" s="55" t="s">
        <v>17</v>
      </c>
      <c r="AE270" s="49" t="s">
        <v>18</v>
      </c>
      <c r="AF270" s="49" t="s">
        <v>19</v>
      </c>
      <c r="AG270" s="45"/>
      <c r="AH270" s="51"/>
      <c r="AI270" s="54" t="s">
        <v>16</v>
      </c>
      <c r="AJ270" s="49">
        <f>MIN(AJ259:AJ268)</f>
        <v>441.43999999999988</v>
      </c>
      <c r="AK270" s="45"/>
      <c r="AL270" s="55" t="s">
        <v>17</v>
      </c>
      <c r="AM270" s="49" t="s">
        <v>18</v>
      </c>
      <c r="AN270" s="49" t="s">
        <v>19</v>
      </c>
      <c r="AO270" s="45"/>
      <c r="AP270" s="51"/>
    </row>
    <row r="271" spans="1:42" ht="21" customHeight="1" thickTop="1" thickBot="1" x14ac:dyDescent="0.35">
      <c r="A271" s="63"/>
      <c r="B271" s="66"/>
      <c r="C271" s="54" t="s">
        <v>20</v>
      </c>
      <c r="D271" s="48">
        <f>AVERAGE(D259:D268)</f>
        <v>440.04999999999984</v>
      </c>
      <c r="E271" s="47"/>
      <c r="F271" s="48">
        <f>_xlfn.STDEV.S(D259:D268) / AVERAGE(D259:D268) * 100%</f>
        <v>1.3009871457742735E-3</v>
      </c>
      <c r="G271" s="48">
        <f t="array" ref="G271">MIN((D259:D268 - MIN(D259:D268,L259:L268,T259:T268,AB259:AB268,AJ259:AJ268))/MIN(D259:D268,L259:L268,T259:T268,AB259:AB268,AJ259:AJ268)*100%)</f>
        <v>0</v>
      </c>
      <c r="H271" s="48">
        <f t="array" ref="H271">AVERAGE((D259:D268 - MIN(D259:D268,L259:L268,T259:T268,AB259:AB268,AJ259:AJ268))/MIN(D259:D268,L259:L268,T259:T268,AB259:AB268,AJ259:AJ268)*100%)</f>
        <v>2.231990343225289E-3</v>
      </c>
      <c r="I271" s="45"/>
      <c r="J271" s="51"/>
      <c r="K271" s="54" t="s">
        <v>20</v>
      </c>
      <c r="L271" s="48">
        <f>AVERAGE(L259:L268)</f>
        <v>440.60999999999984</v>
      </c>
      <c r="M271" s="47"/>
      <c r="N271" s="48">
        <f>_xlfn.STDEV.S(L259:L268) / AVERAGE(L259:L268) * 100%</f>
        <v>6.6968660043518937E-4</v>
      </c>
      <c r="O271" s="48">
        <f t="array" ref="O271">MIN((L259:L268 - MIN(D259:D268,L259:L268,T259:T268,AB259:AB268,AJ259:AJ268))/MIN(D259:D268,L259:L268,T259:T268,AB259:AB268,AJ259:AJ268)*100%)</f>
        <v>2.8013756348643833E-3</v>
      </c>
      <c r="P271" s="48">
        <f t="array" ref="P271">AVERAGE((L259:L268 - MIN(D259:D268,L259:L268,T259:T268,AB259:AB268,AJ259:AJ268))/MIN(D259:D268,L259:L268,T259:T268,AB259:AB268,AJ259:AJ268)*100%)</f>
        <v>3.5074133964970084E-3</v>
      </c>
      <c r="Q271" s="44"/>
      <c r="R271" s="51"/>
      <c r="S271" s="54" t="s">
        <v>20</v>
      </c>
      <c r="T271" s="48">
        <f>AVERAGE(T259:T268)</f>
        <v>441.54899999999986</v>
      </c>
      <c r="U271" s="47"/>
      <c r="V271" s="48">
        <f>_xlfn.STDEV.S(T259:T268) / AVERAGE(T259:T268) * 100%</f>
        <v>1.0851642472664324E-3</v>
      </c>
      <c r="W271" s="48">
        <f t="array" ref="W271">MIN((T259:T268 - MIN(D259:D268,L259:L268,T259:T268,AB259:AB268,AJ259:AJ268))/MIN(D259:D268,L259:L268,T259:T268,AB259:AB268,AJ259:AJ268)*100%)</f>
        <v>4.7145102147719883E-3</v>
      </c>
      <c r="X271" s="48">
        <f t="array" ref="X271">AVERAGE((T259:T268 - MIN(D259:D268,L259:L268,T259:T268,AB259:AB268,AJ259:AJ268))/MIN(D259:D268,L259:L268,T259:T268,AB259:AB268,AJ259:AJ268)*100%)</f>
        <v>5.6460245518937177E-3</v>
      </c>
      <c r="Y271" s="44"/>
      <c r="Z271" s="51"/>
      <c r="AA271" s="54" t="s">
        <v>20</v>
      </c>
      <c r="AB271" s="48">
        <f>AVERAGE(AB259:AB268)</f>
        <v>440.73499999999984</v>
      </c>
      <c r="AC271" s="47"/>
      <c r="AD271" s="48">
        <f>_xlfn.STDEV.S(AB259:AB268) / AVERAGE(AB259:AB268) * 100%</f>
        <v>1.5589669362691303E-3</v>
      </c>
      <c r="AE271" s="48">
        <f t="array" ref="AE271">MIN((AB259:AB268 - MIN(D259:D268,L259:L268,T259:T268,AB259:AB268,AJ259:AJ268))/MIN(D259:D268,L259:L268,T259:T268,AB259:AB268,AJ259:AJ268)*100%)</f>
        <v>2.231990343225237E-3</v>
      </c>
      <c r="AF271" s="48">
        <f t="array" ref="AF271">AVERAGE((AB259:AB268 - MIN(D259:D268,L259:L268,T259:T268,AB259:AB268,AJ259:AJ268))/MIN(D259:D268,L259:L268,T259:T268,AB259:AB268,AJ259:AJ268)*100%)</f>
        <v>3.7921060423165807E-3</v>
      </c>
      <c r="AG271" s="44"/>
      <c r="AH271" s="51"/>
      <c r="AI271" s="54" t="s">
        <v>20</v>
      </c>
      <c r="AJ271" s="48">
        <f>AVERAGE(AJ259:AJ268)</f>
        <v>441.68399999999986</v>
      </c>
      <c r="AK271" s="47"/>
      <c r="AL271" s="48">
        <f>_xlfn.STDEV.S(AJ259:AJ268) / AVERAGE(AJ259:AJ268) * 100%</f>
        <v>4.8876713996757603E-4</v>
      </c>
      <c r="AM271" s="48">
        <f t="array" ref="AM271">MIN((AJ259:AJ268 - MIN(D259:D268,L259:L268,T259:T268,AB259:AB268,AJ259:AJ268))/MIN(D259:D268,L259:L268,T259:T268,AB259:AB268,AJ259:AJ268)*100%)</f>
        <v>5.3977725647391195E-3</v>
      </c>
      <c r="AN271" s="48">
        <f t="array" ref="AN271">AVERAGE((AJ259:AJ268 - MIN(D259:D268,L259:L268,T259:T268,AB259:AB268,AJ259:AJ268))/MIN(D259:D268,L259:L268,T259:T268,AB259:AB268,AJ259:AJ268)*100%)</f>
        <v>5.9534926093789131E-3</v>
      </c>
      <c r="AO271" s="44"/>
      <c r="AP271" s="51"/>
    </row>
    <row r="272" spans="1:42" ht="21" customHeight="1" thickTop="1" thickBot="1" x14ac:dyDescent="0.35">
      <c r="A272" s="63"/>
      <c r="B272" s="67"/>
      <c r="C272" s="53"/>
      <c r="D272" s="44"/>
      <c r="E272" s="44"/>
      <c r="F272" s="44"/>
      <c r="G272" s="44"/>
      <c r="H272" s="44"/>
      <c r="I272" s="44"/>
      <c r="J272" s="51"/>
      <c r="K272" s="53"/>
      <c r="L272" s="44"/>
      <c r="M272" s="44"/>
      <c r="N272" s="44"/>
      <c r="O272" s="44"/>
      <c r="P272" s="44"/>
      <c r="Q272" s="44"/>
      <c r="R272" s="51"/>
      <c r="S272" s="53"/>
      <c r="T272" s="44"/>
      <c r="U272" s="44"/>
      <c r="V272" s="44"/>
      <c r="W272" s="44"/>
      <c r="X272" s="44"/>
      <c r="Y272" s="44"/>
      <c r="Z272" s="51"/>
      <c r="AA272" s="53"/>
      <c r="AB272" s="44"/>
      <c r="AC272" s="44"/>
      <c r="AD272" s="44"/>
      <c r="AE272" s="44"/>
      <c r="AF272" s="44"/>
      <c r="AG272" s="44"/>
      <c r="AH272" s="51"/>
      <c r="AI272" s="53"/>
      <c r="AJ272" s="44"/>
      <c r="AK272" s="44"/>
      <c r="AL272" s="44"/>
      <c r="AM272" s="44"/>
      <c r="AN272" s="44"/>
      <c r="AO272" s="44"/>
      <c r="AP272" s="51"/>
    </row>
    <row r="273" spans="1:42" ht="21" customHeight="1" thickTop="1" thickBot="1" x14ac:dyDescent="0.35">
      <c r="A273" s="63"/>
      <c r="B273" s="65" t="s">
        <v>124</v>
      </c>
      <c r="C273" s="59" t="s">
        <v>8</v>
      </c>
      <c r="D273" s="46" t="s">
        <v>9</v>
      </c>
      <c r="E273" s="46" t="s">
        <v>10</v>
      </c>
      <c r="F273" s="46" t="s">
        <v>11</v>
      </c>
      <c r="G273" s="46" t="s">
        <v>12</v>
      </c>
      <c r="H273" s="46" t="s">
        <v>13</v>
      </c>
      <c r="I273" s="46" t="s">
        <v>14</v>
      </c>
      <c r="J273" s="60" t="s">
        <v>15</v>
      </c>
      <c r="K273" s="59" t="s">
        <v>8</v>
      </c>
      <c r="L273" s="46" t="s">
        <v>9</v>
      </c>
      <c r="M273" s="46" t="s">
        <v>10</v>
      </c>
      <c r="N273" s="46" t="s">
        <v>11</v>
      </c>
      <c r="O273" s="46" t="s">
        <v>12</v>
      </c>
      <c r="P273" s="46" t="s">
        <v>13</v>
      </c>
      <c r="Q273" s="46" t="s">
        <v>14</v>
      </c>
      <c r="R273" s="60" t="s">
        <v>15</v>
      </c>
      <c r="S273" s="59" t="s">
        <v>8</v>
      </c>
      <c r="T273" s="46" t="s">
        <v>9</v>
      </c>
      <c r="U273" s="46" t="s">
        <v>10</v>
      </c>
      <c r="V273" s="46" t="s">
        <v>11</v>
      </c>
      <c r="W273" s="46" t="s">
        <v>12</v>
      </c>
      <c r="X273" s="46" t="s">
        <v>13</v>
      </c>
      <c r="Y273" s="46" t="s">
        <v>14</v>
      </c>
      <c r="Z273" s="60" t="s">
        <v>15</v>
      </c>
      <c r="AA273" s="59" t="s">
        <v>8</v>
      </c>
      <c r="AB273" s="46" t="s">
        <v>9</v>
      </c>
      <c r="AC273" s="46" t="s">
        <v>10</v>
      </c>
      <c r="AD273" s="46" t="s">
        <v>11</v>
      </c>
      <c r="AE273" s="46" t="s">
        <v>12</v>
      </c>
      <c r="AF273" s="46" t="s">
        <v>13</v>
      </c>
      <c r="AG273" s="46" t="s">
        <v>14</v>
      </c>
      <c r="AH273" s="60" t="s">
        <v>15</v>
      </c>
      <c r="AI273" s="59" t="s">
        <v>8</v>
      </c>
      <c r="AJ273" s="46" t="s">
        <v>9</v>
      </c>
      <c r="AK273" s="46" t="s">
        <v>10</v>
      </c>
      <c r="AL273" s="46" t="s">
        <v>11</v>
      </c>
      <c r="AM273" s="46" t="s">
        <v>12</v>
      </c>
      <c r="AN273" s="46" t="s">
        <v>13</v>
      </c>
      <c r="AO273" s="46" t="s">
        <v>14</v>
      </c>
      <c r="AP273" s="60" t="s">
        <v>15</v>
      </c>
    </row>
    <row r="274" spans="1:42" ht="21" customHeight="1" thickTop="1" thickBot="1" x14ac:dyDescent="0.35">
      <c r="A274" s="63"/>
      <c r="B274" s="66"/>
      <c r="C274" s="52">
        <v>1</v>
      </c>
      <c r="D274" s="44">
        <v>455.69999999999982</v>
      </c>
      <c r="E274" s="44"/>
      <c r="F274" s="44"/>
      <c r="G274" s="44"/>
      <c r="H274" s="44"/>
      <c r="I274" s="44"/>
      <c r="J274" s="51"/>
      <c r="K274" s="52">
        <v>1</v>
      </c>
      <c r="L274" s="44">
        <v>456.36999999999978</v>
      </c>
      <c r="M274" s="44"/>
      <c r="N274" s="44"/>
      <c r="O274" s="44"/>
      <c r="P274" s="44"/>
      <c r="Q274" s="44"/>
      <c r="R274" s="51"/>
      <c r="S274" s="52">
        <v>1</v>
      </c>
      <c r="T274" s="44">
        <v>457.66999999999979</v>
      </c>
      <c r="U274" s="44"/>
      <c r="V274" s="44"/>
      <c r="W274" s="44"/>
      <c r="X274" s="44"/>
      <c r="Y274" s="44"/>
      <c r="Z274" s="51"/>
      <c r="AA274" s="52">
        <v>1</v>
      </c>
      <c r="AB274" s="44">
        <v>457.7799999999998</v>
      </c>
      <c r="AC274" s="44"/>
      <c r="AD274" s="44"/>
      <c r="AE274" s="44"/>
      <c r="AF274" s="44"/>
      <c r="AG274" s="44"/>
      <c r="AH274" s="51"/>
      <c r="AI274" s="52">
        <v>1</v>
      </c>
      <c r="AJ274" s="44">
        <v>456.02999999999992</v>
      </c>
      <c r="AK274" s="44"/>
      <c r="AL274" s="44"/>
      <c r="AM274" s="44"/>
      <c r="AN274" s="44"/>
      <c r="AO274" s="44"/>
      <c r="AP274" s="51"/>
    </row>
    <row r="275" spans="1:42" ht="21" customHeight="1" thickTop="1" thickBot="1" x14ac:dyDescent="0.35">
      <c r="A275" s="63"/>
      <c r="B275" s="66"/>
      <c r="C275" s="53">
        <v>2</v>
      </c>
      <c r="D275" s="45">
        <v>455.6599999999998</v>
      </c>
      <c r="E275" s="45"/>
      <c r="F275" s="45"/>
      <c r="G275" s="45"/>
      <c r="H275" s="45"/>
      <c r="I275" s="45"/>
      <c r="J275" s="51"/>
      <c r="K275" s="53">
        <v>2</v>
      </c>
      <c r="L275" s="45">
        <v>456.31999999999988</v>
      </c>
      <c r="M275" s="45"/>
      <c r="N275" s="45"/>
      <c r="O275" s="45"/>
      <c r="P275" s="45"/>
      <c r="Q275" s="45"/>
      <c r="R275" s="51"/>
      <c r="S275" s="53">
        <v>2</v>
      </c>
      <c r="T275" s="45">
        <v>456.39999999999981</v>
      </c>
      <c r="U275" s="45"/>
      <c r="V275" s="45"/>
      <c r="W275" s="45"/>
      <c r="X275" s="45"/>
      <c r="Y275" s="45"/>
      <c r="Z275" s="51"/>
      <c r="AA275" s="53">
        <v>2</v>
      </c>
      <c r="AB275" s="45">
        <v>455.0999999999998</v>
      </c>
      <c r="AC275" s="45"/>
      <c r="AD275" s="45"/>
      <c r="AE275" s="45"/>
      <c r="AF275" s="45"/>
      <c r="AG275" s="45"/>
      <c r="AH275" s="51"/>
      <c r="AI275" s="53">
        <v>2</v>
      </c>
      <c r="AJ275" s="45">
        <v>457.65999999999991</v>
      </c>
      <c r="AK275" s="45"/>
      <c r="AL275" s="45"/>
      <c r="AM275" s="45"/>
      <c r="AN275" s="45"/>
      <c r="AO275" s="45"/>
      <c r="AP275" s="51"/>
    </row>
    <row r="276" spans="1:42" ht="21" customHeight="1" thickTop="1" thickBot="1" x14ac:dyDescent="0.35">
      <c r="A276" s="63"/>
      <c r="B276" s="66"/>
      <c r="C276" s="53">
        <v>3</v>
      </c>
      <c r="D276" s="45">
        <v>454.52999999999992</v>
      </c>
      <c r="E276" s="45"/>
      <c r="F276" s="45"/>
      <c r="G276" s="44"/>
      <c r="H276" s="44"/>
      <c r="I276" s="44"/>
      <c r="J276" s="51"/>
      <c r="K276" s="53">
        <v>3</v>
      </c>
      <c r="L276" s="45">
        <v>455.39999999999981</v>
      </c>
      <c r="M276" s="45"/>
      <c r="N276" s="45"/>
      <c r="O276" s="44"/>
      <c r="P276" s="44"/>
      <c r="Q276" s="44"/>
      <c r="R276" s="51"/>
      <c r="S276" s="53">
        <v>3</v>
      </c>
      <c r="T276" s="45">
        <v>457.29999999999978</v>
      </c>
      <c r="U276" s="45"/>
      <c r="V276" s="45"/>
      <c r="W276" s="44"/>
      <c r="X276" s="44"/>
      <c r="Y276" s="44"/>
      <c r="Z276" s="51"/>
      <c r="AA276" s="53">
        <v>3</v>
      </c>
      <c r="AB276" s="45">
        <v>455.87999999999982</v>
      </c>
      <c r="AC276" s="45"/>
      <c r="AD276" s="45"/>
      <c r="AE276" s="44"/>
      <c r="AF276" s="44"/>
      <c r="AG276" s="44"/>
      <c r="AH276" s="51"/>
      <c r="AI276" s="53">
        <v>3</v>
      </c>
      <c r="AJ276" s="45">
        <v>455.80999999999989</v>
      </c>
      <c r="AK276" s="45"/>
      <c r="AL276" s="45"/>
      <c r="AM276" s="44"/>
      <c r="AN276" s="44"/>
      <c r="AO276" s="44"/>
      <c r="AP276" s="51"/>
    </row>
    <row r="277" spans="1:42" ht="21" customHeight="1" thickTop="1" thickBot="1" x14ac:dyDescent="0.35">
      <c r="A277" s="63"/>
      <c r="B277" s="66"/>
      <c r="C277" s="53">
        <v>4</v>
      </c>
      <c r="D277" s="45">
        <v>454.5299999999998</v>
      </c>
      <c r="E277" s="45"/>
      <c r="F277" s="45"/>
      <c r="G277" s="45"/>
      <c r="H277" s="45"/>
      <c r="I277" s="45"/>
      <c r="J277" s="51"/>
      <c r="K277" s="53">
        <v>4</v>
      </c>
      <c r="L277" s="45">
        <v>455.82999999999993</v>
      </c>
      <c r="M277" s="45"/>
      <c r="N277" s="45"/>
      <c r="O277" s="45"/>
      <c r="P277" s="45"/>
      <c r="Q277" s="45"/>
      <c r="R277" s="51"/>
      <c r="S277" s="53">
        <v>4</v>
      </c>
      <c r="T277" s="45">
        <v>456.89999999999992</v>
      </c>
      <c r="U277" s="45"/>
      <c r="V277" s="45"/>
      <c r="W277" s="45"/>
      <c r="X277" s="45"/>
      <c r="Y277" s="45"/>
      <c r="Z277" s="51"/>
      <c r="AA277" s="53">
        <v>4</v>
      </c>
      <c r="AB277" s="45">
        <v>454.57999999999981</v>
      </c>
      <c r="AC277" s="45"/>
      <c r="AD277" s="45"/>
      <c r="AE277" s="45"/>
      <c r="AF277" s="45"/>
      <c r="AG277" s="45"/>
      <c r="AH277" s="51"/>
      <c r="AI277" s="53">
        <v>4</v>
      </c>
      <c r="AJ277" s="45">
        <v>457.19999999999987</v>
      </c>
      <c r="AK277" s="45"/>
      <c r="AL277" s="45"/>
      <c r="AM277" s="45"/>
      <c r="AN277" s="45"/>
      <c r="AO277" s="45"/>
      <c r="AP277" s="51"/>
    </row>
    <row r="278" spans="1:42" ht="21" customHeight="1" thickTop="1" thickBot="1" x14ac:dyDescent="0.35">
      <c r="A278" s="63"/>
      <c r="B278" s="66"/>
      <c r="C278" s="53">
        <v>5</v>
      </c>
      <c r="D278" s="45">
        <v>455.87999999999982</v>
      </c>
      <c r="E278" s="45"/>
      <c r="F278" s="45"/>
      <c r="G278" s="45"/>
      <c r="H278" s="45"/>
      <c r="I278" s="45"/>
      <c r="J278" s="51"/>
      <c r="K278" s="53">
        <v>5</v>
      </c>
      <c r="L278" s="45">
        <v>456.38999999999982</v>
      </c>
      <c r="M278" s="45"/>
      <c r="N278" s="45"/>
      <c r="O278" s="45"/>
      <c r="P278" s="45"/>
      <c r="Q278" s="45"/>
      <c r="R278" s="51"/>
      <c r="S278" s="53">
        <v>5</v>
      </c>
      <c r="T278" s="45">
        <v>457.22999999999979</v>
      </c>
      <c r="U278" s="45"/>
      <c r="V278" s="45"/>
      <c r="W278" s="45"/>
      <c r="X278" s="45"/>
      <c r="Y278" s="45"/>
      <c r="Z278" s="51"/>
      <c r="AA278" s="53">
        <v>5</v>
      </c>
      <c r="AB278" s="45">
        <v>455.51999999999981</v>
      </c>
      <c r="AC278" s="45"/>
      <c r="AD278" s="45"/>
      <c r="AE278" s="45"/>
      <c r="AF278" s="45"/>
      <c r="AG278" s="45"/>
      <c r="AH278" s="51"/>
      <c r="AI278" s="53">
        <v>5</v>
      </c>
      <c r="AJ278" s="45">
        <v>456.36999999999978</v>
      </c>
      <c r="AK278" s="45"/>
      <c r="AL278" s="45"/>
      <c r="AM278" s="45"/>
      <c r="AN278" s="45"/>
      <c r="AO278" s="45"/>
      <c r="AP278" s="51"/>
    </row>
    <row r="279" spans="1:42" ht="21" customHeight="1" thickTop="1" thickBot="1" x14ac:dyDescent="0.35">
      <c r="A279" s="63"/>
      <c r="B279" s="66"/>
      <c r="C279" s="53">
        <v>6</v>
      </c>
      <c r="D279" s="45">
        <v>455.3399999999998</v>
      </c>
      <c r="E279" s="45"/>
      <c r="F279" s="45"/>
      <c r="G279" s="45"/>
      <c r="H279" s="45"/>
      <c r="I279" s="45"/>
      <c r="J279" s="51"/>
      <c r="K279" s="53">
        <v>6</v>
      </c>
      <c r="L279" s="45">
        <v>456.26999999999992</v>
      </c>
      <c r="M279" s="45"/>
      <c r="N279" s="45"/>
      <c r="O279" s="45"/>
      <c r="P279" s="45"/>
      <c r="Q279" s="45"/>
      <c r="R279" s="51"/>
      <c r="S279" s="53">
        <v>6</v>
      </c>
      <c r="T279" s="45">
        <v>455.9899999999999</v>
      </c>
      <c r="U279" s="45"/>
      <c r="V279" s="45"/>
      <c r="W279" s="45"/>
      <c r="X279" s="45"/>
      <c r="Y279" s="45"/>
      <c r="Z279" s="51"/>
      <c r="AA279" s="53">
        <v>6</v>
      </c>
      <c r="AB279" s="45">
        <v>454.78999999999979</v>
      </c>
      <c r="AC279" s="45"/>
      <c r="AD279" s="45"/>
      <c r="AE279" s="45"/>
      <c r="AF279" s="45"/>
      <c r="AG279" s="45"/>
      <c r="AH279" s="51"/>
      <c r="AI279" s="53">
        <v>6</v>
      </c>
      <c r="AJ279" s="45">
        <v>456.3599999999999</v>
      </c>
      <c r="AK279" s="45"/>
      <c r="AL279" s="45"/>
      <c r="AM279" s="45"/>
      <c r="AN279" s="45"/>
      <c r="AO279" s="45"/>
      <c r="AP279" s="51"/>
    </row>
    <row r="280" spans="1:42" ht="21" customHeight="1" thickTop="1" thickBot="1" x14ac:dyDescent="0.35">
      <c r="A280" s="63"/>
      <c r="B280" s="66"/>
      <c r="C280" s="53">
        <v>7</v>
      </c>
      <c r="D280" s="45">
        <v>455.44999999999987</v>
      </c>
      <c r="E280" s="45"/>
      <c r="F280" s="45"/>
      <c r="G280" s="45"/>
      <c r="H280" s="45"/>
      <c r="I280" s="45"/>
      <c r="J280" s="51"/>
      <c r="K280" s="53">
        <v>7</v>
      </c>
      <c r="L280" s="45">
        <v>455.56999999999988</v>
      </c>
      <c r="M280" s="45"/>
      <c r="N280" s="45"/>
      <c r="O280" s="45"/>
      <c r="P280" s="45"/>
      <c r="Q280" s="45"/>
      <c r="R280" s="51"/>
      <c r="S280" s="53">
        <v>7</v>
      </c>
      <c r="T280" s="45">
        <v>457.35999999999979</v>
      </c>
      <c r="U280" s="45"/>
      <c r="V280" s="45"/>
      <c r="W280" s="45"/>
      <c r="X280" s="45"/>
      <c r="Y280" s="45"/>
      <c r="Z280" s="51"/>
      <c r="AA280" s="53">
        <v>7</v>
      </c>
      <c r="AB280" s="45">
        <v>454.67999999999978</v>
      </c>
      <c r="AC280" s="45"/>
      <c r="AD280" s="45"/>
      <c r="AE280" s="45"/>
      <c r="AF280" s="45"/>
      <c r="AG280" s="45"/>
      <c r="AH280" s="51"/>
      <c r="AI280" s="53">
        <v>7</v>
      </c>
      <c r="AJ280" s="45">
        <v>457.18999999999988</v>
      </c>
      <c r="AK280" s="45"/>
      <c r="AL280" s="45"/>
      <c r="AM280" s="45"/>
      <c r="AN280" s="45"/>
      <c r="AO280" s="45"/>
      <c r="AP280" s="51"/>
    </row>
    <row r="281" spans="1:42" ht="21" customHeight="1" thickTop="1" thickBot="1" x14ac:dyDescent="0.35">
      <c r="A281" s="63"/>
      <c r="B281" s="66"/>
      <c r="C281" s="53">
        <v>8</v>
      </c>
      <c r="D281" s="45">
        <v>455.61999999999978</v>
      </c>
      <c r="E281" s="45"/>
      <c r="F281" s="45"/>
      <c r="G281" s="45"/>
      <c r="H281" s="45"/>
      <c r="I281" s="45"/>
      <c r="J281" s="51"/>
      <c r="K281" s="53">
        <v>8</v>
      </c>
      <c r="L281" s="45">
        <v>456.20999999999992</v>
      </c>
      <c r="M281" s="45"/>
      <c r="N281" s="45"/>
      <c r="O281" s="45"/>
      <c r="P281" s="45"/>
      <c r="Q281" s="45"/>
      <c r="R281" s="51"/>
      <c r="S281" s="53">
        <v>8</v>
      </c>
      <c r="T281" s="45">
        <v>456.32999999999993</v>
      </c>
      <c r="U281" s="45"/>
      <c r="V281" s="45"/>
      <c r="W281" s="45"/>
      <c r="X281" s="45"/>
      <c r="Y281" s="45"/>
      <c r="Z281" s="51"/>
      <c r="AA281" s="53">
        <v>8</v>
      </c>
      <c r="AB281" s="45">
        <v>454.52999999999992</v>
      </c>
      <c r="AC281" s="45"/>
      <c r="AD281" s="45"/>
      <c r="AE281" s="45"/>
      <c r="AF281" s="45"/>
      <c r="AG281" s="45"/>
      <c r="AH281" s="51"/>
      <c r="AI281" s="53">
        <v>8</v>
      </c>
      <c r="AJ281" s="45">
        <v>456.36</v>
      </c>
      <c r="AK281" s="45"/>
      <c r="AL281" s="45"/>
      <c r="AM281" s="45"/>
      <c r="AN281" s="45"/>
      <c r="AO281" s="45"/>
      <c r="AP281" s="51"/>
    </row>
    <row r="282" spans="1:42" ht="21" customHeight="1" thickTop="1" thickBot="1" x14ac:dyDescent="0.35">
      <c r="A282" s="63"/>
      <c r="B282" s="66"/>
      <c r="C282" s="53">
        <v>9</v>
      </c>
      <c r="D282" s="45">
        <v>455.84999999999991</v>
      </c>
      <c r="E282" s="45"/>
      <c r="F282" s="45"/>
      <c r="G282" s="45"/>
      <c r="H282" s="45"/>
      <c r="I282" s="45"/>
      <c r="J282" s="51"/>
      <c r="K282" s="53">
        <v>9</v>
      </c>
      <c r="L282" s="45">
        <v>456.25999999999982</v>
      </c>
      <c r="M282" s="45"/>
      <c r="N282" s="45"/>
      <c r="O282" s="45"/>
      <c r="P282" s="45"/>
      <c r="Q282" s="45"/>
      <c r="R282" s="51"/>
      <c r="S282" s="53">
        <v>9</v>
      </c>
      <c r="T282" s="45">
        <v>456.35999999999979</v>
      </c>
      <c r="U282" s="45"/>
      <c r="V282" s="45"/>
      <c r="W282" s="45"/>
      <c r="X282" s="45"/>
      <c r="Y282" s="45"/>
      <c r="Z282" s="51"/>
      <c r="AA282" s="53">
        <v>9</v>
      </c>
      <c r="AB282" s="45">
        <v>456.71999999999991</v>
      </c>
      <c r="AC282" s="45"/>
      <c r="AD282" s="45"/>
      <c r="AE282" s="45"/>
      <c r="AF282" s="45"/>
      <c r="AG282" s="45"/>
      <c r="AH282" s="51"/>
      <c r="AI282" s="53">
        <v>9</v>
      </c>
      <c r="AJ282" s="45">
        <v>457.20999999999992</v>
      </c>
      <c r="AK282" s="45"/>
      <c r="AL282" s="45"/>
      <c r="AM282" s="45"/>
      <c r="AN282" s="45"/>
      <c r="AO282" s="45"/>
      <c r="AP282" s="51"/>
    </row>
    <row r="283" spans="1:42" ht="21" customHeight="1" thickTop="1" thickBot="1" x14ac:dyDescent="0.35">
      <c r="A283" s="63"/>
      <c r="B283" s="66"/>
      <c r="C283" s="53">
        <v>10</v>
      </c>
      <c r="D283" s="45">
        <v>455.65999999999991</v>
      </c>
      <c r="E283" s="45"/>
      <c r="F283" s="45"/>
      <c r="G283" s="45"/>
      <c r="H283" s="45"/>
      <c r="I283" s="45"/>
      <c r="J283" s="51"/>
      <c r="K283" s="53">
        <v>10</v>
      </c>
      <c r="L283" s="45">
        <v>455.41999999999979</v>
      </c>
      <c r="M283" s="45"/>
      <c r="N283" s="45"/>
      <c r="O283" s="45"/>
      <c r="P283" s="45"/>
      <c r="Q283" s="45"/>
      <c r="R283" s="51"/>
      <c r="S283" s="53">
        <v>10</v>
      </c>
      <c r="T283" s="45">
        <v>455.62999999999988</v>
      </c>
      <c r="U283" s="45"/>
      <c r="V283" s="45"/>
      <c r="W283" s="45"/>
      <c r="X283" s="45"/>
      <c r="Y283" s="45"/>
      <c r="Z283" s="51"/>
      <c r="AA283" s="53">
        <v>10</v>
      </c>
      <c r="AB283" s="45">
        <v>455.35999999999979</v>
      </c>
      <c r="AC283" s="45"/>
      <c r="AD283" s="45"/>
      <c r="AE283" s="45"/>
      <c r="AF283" s="45"/>
      <c r="AG283" s="45"/>
      <c r="AH283" s="51"/>
      <c r="AI283" s="53">
        <v>10</v>
      </c>
      <c r="AJ283" s="45">
        <v>457.19999999999987</v>
      </c>
      <c r="AK283" s="45"/>
      <c r="AL283" s="45"/>
      <c r="AM283" s="45"/>
      <c r="AN283" s="45"/>
      <c r="AO283" s="45"/>
      <c r="AP283" s="51"/>
    </row>
    <row r="284" spans="1:42" ht="21" customHeight="1" thickTop="1" thickBot="1" x14ac:dyDescent="0.35">
      <c r="A284" s="63"/>
      <c r="B284" s="66"/>
      <c r="C284" s="53"/>
      <c r="D284" s="45"/>
      <c r="E284" s="45"/>
      <c r="F284" s="45"/>
      <c r="G284" s="45"/>
      <c r="H284" s="45"/>
      <c r="I284" s="45"/>
      <c r="J284" s="51"/>
      <c r="K284" s="53"/>
      <c r="L284" s="45"/>
      <c r="M284" s="45"/>
      <c r="N284" s="45"/>
      <c r="O284" s="45"/>
      <c r="P284" s="45"/>
      <c r="Q284" s="45"/>
      <c r="R284" s="51"/>
      <c r="S284" s="53"/>
      <c r="T284" s="45"/>
      <c r="U284" s="45"/>
      <c r="V284" s="45"/>
      <c r="W284" s="45"/>
      <c r="X284" s="45"/>
      <c r="Y284" s="45"/>
      <c r="Z284" s="51"/>
      <c r="AA284" s="53"/>
      <c r="AB284" s="45"/>
      <c r="AC284" s="45"/>
      <c r="AD284" s="45"/>
      <c r="AE284" s="45"/>
      <c r="AF284" s="45"/>
      <c r="AG284" s="45"/>
      <c r="AH284" s="51"/>
      <c r="AI284" s="53"/>
      <c r="AJ284" s="45"/>
      <c r="AK284" s="45"/>
      <c r="AL284" s="45"/>
      <c r="AM284" s="45"/>
      <c r="AN284" s="45"/>
      <c r="AO284" s="45"/>
      <c r="AP284" s="51"/>
    </row>
    <row r="285" spans="1:42" ht="21" customHeight="1" thickTop="1" thickBot="1" x14ac:dyDescent="0.35">
      <c r="A285" s="63"/>
      <c r="B285" s="66"/>
      <c r="C285" s="54" t="s">
        <v>16</v>
      </c>
      <c r="D285" s="49">
        <f>MIN(D274:D283)</f>
        <v>454.5299999999998</v>
      </c>
      <c r="E285" s="45"/>
      <c r="F285" s="55" t="s">
        <v>17</v>
      </c>
      <c r="G285" s="49" t="s">
        <v>18</v>
      </c>
      <c r="H285" s="49" t="s">
        <v>19</v>
      </c>
      <c r="I285" s="45"/>
      <c r="J285" s="51"/>
      <c r="K285" s="54" t="s">
        <v>16</v>
      </c>
      <c r="L285" s="49">
        <f>MIN(L274:L283)</f>
        <v>455.39999999999981</v>
      </c>
      <c r="M285" s="45"/>
      <c r="N285" s="55" t="s">
        <v>17</v>
      </c>
      <c r="O285" s="49" t="s">
        <v>18</v>
      </c>
      <c r="P285" s="49" t="s">
        <v>19</v>
      </c>
      <c r="Q285" s="45"/>
      <c r="R285" s="51"/>
      <c r="S285" s="54" t="s">
        <v>16</v>
      </c>
      <c r="T285" s="49">
        <f>MIN(T274:T283)</f>
        <v>455.62999999999988</v>
      </c>
      <c r="U285" s="45"/>
      <c r="V285" s="55" t="s">
        <v>17</v>
      </c>
      <c r="W285" s="49" t="s">
        <v>18</v>
      </c>
      <c r="X285" s="49" t="s">
        <v>19</v>
      </c>
      <c r="Y285" s="45"/>
      <c r="Z285" s="51"/>
      <c r="AA285" s="54" t="s">
        <v>16</v>
      </c>
      <c r="AB285" s="49">
        <f>MIN(AB274:AB283)</f>
        <v>454.52999999999992</v>
      </c>
      <c r="AC285" s="45"/>
      <c r="AD285" s="55" t="s">
        <v>17</v>
      </c>
      <c r="AE285" s="49" t="s">
        <v>18</v>
      </c>
      <c r="AF285" s="49" t="s">
        <v>19</v>
      </c>
      <c r="AG285" s="45"/>
      <c r="AH285" s="51"/>
      <c r="AI285" s="54" t="s">
        <v>16</v>
      </c>
      <c r="AJ285" s="49">
        <f>MIN(AJ274:AJ283)</f>
        <v>455.80999999999989</v>
      </c>
      <c r="AK285" s="45"/>
      <c r="AL285" s="55" t="s">
        <v>17</v>
      </c>
      <c r="AM285" s="49" t="s">
        <v>18</v>
      </c>
      <c r="AN285" s="49" t="s">
        <v>19</v>
      </c>
      <c r="AO285" s="45"/>
      <c r="AP285" s="51"/>
    </row>
    <row r="286" spans="1:42" ht="21" customHeight="1" thickTop="1" thickBot="1" x14ac:dyDescent="0.35">
      <c r="A286" s="63"/>
      <c r="B286" s="66"/>
      <c r="C286" s="54" t="s">
        <v>20</v>
      </c>
      <c r="D286" s="48">
        <f>AVERAGE(D274:D283)</f>
        <v>455.42199999999985</v>
      </c>
      <c r="E286" s="47"/>
      <c r="F286" s="48">
        <f>_xlfn.STDEV.S(D274:D283) / AVERAGE(D274:D283) * 100%</f>
        <v>1.0909221574451594E-3</v>
      </c>
      <c r="G286" s="48">
        <f t="array" ref="G286">MIN((D274:D283 - MIN(D274:D283,L274:L283,T274:T283,AB274:AB283,AJ274:AJ283))/MIN(D274:D283,L274:L283,T274:T283,AB274:AB283,AJ274:AJ283)*100%)</f>
        <v>0</v>
      </c>
      <c r="H286" s="48">
        <f t="array" ref="H286">AVERAGE((D274:D283 - MIN(D274:D283,L274:L283,T274:T283,AB274:AB283,AJ274:AJ283))/MIN(D274:D283,L274:L283,T274:T283,AB274:AB283,AJ274:AJ283)*100%)</f>
        <v>1.9624667238687032E-3</v>
      </c>
      <c r="I286" s="45"/>
      <c r="J286" s="51"/>
      <c r="K286" s="54" t="s">
        <v>20</v>
      </c>
      <c r="L286" s="48">
        <f>AVERAGE(L274:L283)</f>
        <v>456.00399999999991</v>
      </c>
      <c r="M286" s="47"/>
      <c r="N286" s="48">
        <f>_xlfn.STDEV.S(L274:L283) / AVERAGE(L274:L283) * 100%</f>
        <v>8.9109774123244249E-4</v>
      </c>
      <c r="O286" s="48">
        <f t="array" ref="O286">MIN((L274:L283 - MIN(D274:D283,L274:L283,T274:T283,AB274:AB283,AJ274:AJ283))/MIN(D274:D283,L274:L283,T274:T283,AB274:AB283,AJ274:AJ283)*100%)</f>
        <v>1.91406507821267E-3</v>
      </c>
      <c r="P286" s="48">
        <f t="array" ref="P286">AVERAGE((L274:L283 - MIN(D274:D283,L274:L283,T274:T283,AB274:AB283,AJ274:AJ283))/MIN(D274:D283,L274:L283,T274:T283,AB274:AB283,AJ274:AJ283)*100%)</f>
        <v>3.2429102589489204E-3</v>
      </c>
      <c r="Q286" s="44"/>
      <c r="R286" s="51"/>
      <c r="S286" s="54" t="s">
        <v>20</v>
      </c>
      <c r="T286" s="48">
        <f>AVERAGE(T274:T283)</f>
        <v>456.71699999999981</v>
      </c>
      <c r="U286" s="47"/>
      <c r="V286" s="48">
        <f>_xlfn.STDEV.S(T274:T283) / AVERAGE(T274:T283) * 100%</f>
        <v>1.4680641856262811E-3</v>
      </c>
      <c r="W286" s="48">
        <f t="array" ref="W286">MIN((T274:T283 - MIN(D274:D283,L274:L283,T274:T283,AB274:AB283,AJ274:AJ283))/MIN(D274:D283,L274:L283,T274:T283,AB274:AB283,AJ274:AJ283)*100%)</f>
        <v>2.4200822827977913E-3</v>
      </c>
      <c r="X286" s="48">
        <f t="array" ref="X286">AVERAGE((T274:T283 - MIN(D274:D283,L274:L283,T274:T283,AB274:AB283,AJ274:AJ283))/MIN(D274:D283,L274:L283,T274:T283,AB274:AB283,AJ274:AJ283)*100%)</f>
        <v>4.8115635931622464E-3</v>
      </c>
      <c r="Y286" s="44"/>
      <c r="Z286" s="51"/>
      <c r="AA286" s="54" t="s">
        <v>20</v>
      </c>
      <c r="AB286" s="48">
        <f>AVERAGE(AB274:AB283)</f>
        <v>455.49399999999986</v>
      </c>
      <c r="AC286" s="47"/>
      <c r="AD286" s="48">
        <f>_xlfn.STDEV.S(AB274:AB283) / AVERAGE(AB274:AB283) * 100%</f>
        <v>2.311238162430041E-3</v>
      </c>
      <c r="AE286" s="48">
        <f t="array" ref="AE286">MIN((AB274:AB283 - MIN(D274:D283,L274:L283,T274:T283,AB274:AB283,AJ274:AJ283))/MIN(D274:D283,L274:L283,T274:T283,AB274:AB283,AJ274:AJ283)*100%)</f>
        <v>2.5011954705215513E-16</v>
      </c>
      <c r="AF286" s="48">
        <f t="array" ref="AF286">AVERAGE((AB274:AB283 - MIN(D274:D283,L274:L283,T274:T283,AB274:AB283,AJ274:AJ283))/MIN(D274:D283,L274:L283,T274:T283,AB274:AB283,AJ274:AJ283)*100%)</f>
        <v>2.1208721096517761E-3</v>
      </c>
      <c r="AG286" s="44"/>
      <c r="AH286" s="51"/>
      <c r="AI286" s="54" t="s">
        <v>20</v>
      </c>
      <c r="AJ286" s="48">
        <f>AVERAGE(AJ274:AJ283)</f>
        <v>456.73899999999992</v>
      </c>
      <c r="AK286" s="47"/>
      <c r="AL286" s="48">
        <f>_xlfn.STDEV.S(AJ274:AJ283) / AVERAGE(AJ274:AJ283) * 100%</f>
        <v>1.3629489413450289E-3</v>
      </c>
      <c r="AM286" s="48">
        <f t="array" ref="AM286">MIN((AJ274:AJ283 - MIN(D274:D283,L274:L283,T274:T283,AB274:AB283,AJ274:AJ283))/MIN(D274:D283,L274:L283,T274:T283,AB274:AB283,AJ274:AJ283)*100%)</f>
        <v>2.8160957472555979E-3</v>
      </c>
      <c r="AN286" s="48">
        <f t="array" ref="AN286">AVERAGE((AJ274:AJ283 - MIN(D274:D283,L274:L283,T274:T283,AB274:AB283,AJ274:AJ283))/MIN(D274:D283,L274:L283,T274:T283,AB274:AB283,AJ274:AJ283)*100%)</f>
        <v>4.8599652388183296E-3</v>
      </c>
      <c r="AO286" s="44"/>
      <c r="AP286" s="51"/>
    </row>
    <row r="287" spans="1:42" ht="21" customHeight="1" thickTop="1" thickBot="1" x14ac:dyDescent="0.35">
      <c r="A287" s="63"/>
      <c r="B287" s="67"/>
      <c r="C287" s="53"/>
      <c r="D287" s="44"/>
      <c r="E287" s="44"/>
      <c r="F287" s="44"/>
      <c r="G287" s="44"/>
      <c r="H287" s="44"/>
      <c r="I287" s="44"/>
      <c r="J287" s="51"/>
      <c r="K287" s="53"/>
      <c r="L287" s="44"/>
      <c r="M287" s="44"/>
      <c r="N287" s="44"/>
      <c r="O287" s="44"/>
      <c r="P287" s="44"/>
      <c r="Q287" s="44"/>
      <c r="R287" s="51"/>
      <c r="S287" s="53"/>
      <c r="T287" s="44"/>
      <c r="U287" s="44"/>
      <c r="V287" s="44"/>
      <c r="W287" s="44"/>
      <c r="X287" s="44"/>
      <c r="Y287" s="44"/>
      <c r="Z287" s="51"/>
      <c r="AA287" s="53"/>
      <c r="AB287" s="44"/>
      <c r="AC287" s="44"/>
      <c r="AD287" s="44"/>
      <c r="AE287" s="44"/>
      <c r="AF287" s="44"/>
      <c r="AG287" s="44"/>
      <c r="AH287" s="51"/>
      <c r="AI287" s="53"/>
      <c r="AJ287" s="44"/>
      <c r="AK287" s="44"/>
      <c r="AL287" s="44"/>
      <c r="AM287" s="44"/>
      <c r="AN287" s="44"/>
      <c r="AO287" s="44"/>
      <c r="AP287" s="51"/>
    </row>
    <row r="288" spans="1:42" ht="21" customHeight="1" thickTop="1" thickBot="1" x14ac:dyDescent="0.35">
      <c r="A288" s="63"/>
      <c r="B288" s="65" t="s">
        <v>125</v>
      </c>
      <c r="C288" s="59" t="s">
        <v>8</v>
      </c>
      <c r="D288" s="46" t="s">
        <v>9</v>
      </c>
      <c r="E288" s="46" t="s">
        <v>10</v>
      </c>
      <c r="F288" s="46" t="s">
        <v>11</v>
      </c>
      <c r="G288" s="46" t="s">
        <v>12</v>
      </c>
      <c r="H288" s="46" t="s">
        <v>13</v>
      </c>
      <c r="I288" s="46" t="s">
        <v>14</v>
      </c>
      <c r="J288" s="60" t="s">
        <v>15</v>
      </c>
      <c r="K288" s="59" t="s">
        <v>8</v>
      </c>
      <c r="L288" s="46" t="s">
        <v>9</v>
      </c>
      <c r="M288" s="46" t="s">
        <v>10</v>
      </c>
      <c r="N288" s="46" t="s">
        <v>11</v>
      </c>
      <c r="O288" s="46" t="s">
        <v>12</v>
      </c>
      <c r="P288" s="46" t="s">
        <v>13</v>
      </c>
      <c r="Q288" s="46" t="s">
        <v>14</v>
      </c>
      <c r="R288" s="60" t="s">
        <v>15</v>
      </c>
      <c r="S288" s="59" t="s">
        <v>8</v>
      </c>
      <c r="T288" s="46" t="s">
        <v>9</v>
      </c>
      <c r="U288" s="46" t="s">
        <v>10</v>
      </c>
      <c r="V288" s="46" t="s">
        <v>11</v>
      </c>
      <c r="W288" s="46" t="s">
        <v>12</v>
      </c>
      <c r="X288" s="46" t="s">
        <v>13</v>
      </c>
      <c r="Y288" s="46" t="s">
        <v>14</v>
      </c>
      <c r="Z288" s="60" t="s">
        <v>15</v>
      </c>
      <c r="AA288" s="59" t="s">
        <v>8</v>
      </c>
      <c r="AB288" s="46" t="s">
        <v>9</v>
      </c>
      <c r="AC288" s="46" t="s">
        <v>10</v>
      </c>
      <c r="AD288" s="46" t="s">
        <v>11</v>
      </c>
      <c r="AE288" s="46" t="s">
        <v>12</v>
      </c>
      <c r="AF288" s="46" t="s">
        <v>13</v>
      </c>
      <c r="AG288" s="46" t="s">
        <v>14</v>
      </c>
      <c r="AH288" s="60" t="s">
        <v>15</v>
      </c>
      <c r="AI288" s="59" t="s">
        <v>8</v>
      </c>
      <c r="AJ288" s="46" t="s">
        <v>9</v>
      </c>
      <c r="AK288" s="46" t="s">
        <v>10</v>
      </c>
      <c r="AL288" s="46" t="s">
        <v>11</v>
      </c>
      <c r="AM288" s="46" t="s">
        <v>12</v>
      </c>
      <c r="AN288" s="46" t="s">
        <v>13</v>
      </c>
      <c r="AO288" s="46" t="s">
        <v>14</v>
      </c>
      <c r="AP288" s="60" t="s">
        <v>15</v>
      </c>
    </row>
    <row r="289" spans="1:42" ht="21" customHeight="1" thickTop="1" thickBot="1" x14ac:dyDescent="0.35">
      <c r="A289" s="63"/>
      <c r="B289" s="66"/>
      <c r="C289" s="52">
        <v>1</v>
      </c>
      <c r="D289" s="44">
        <v>484.1599999999998</v>
      </c>
      <c r="E289" s="44"/>
      <c r="F289" s="44"/>
      <c r="G289" s="44"/>
      <c r="H289" s="44"/>
      <c r="I289" s="44"/>
      <c r="J289" s="51"/>
      <c r="K289" s="52">
        <v>1</v>
      </c>
      <c r="L289" s="44">
        <v>486.35999999999979</v>
      </c>
      <c r="M289" s="44"/>
      <c r="N289" s="44"/>
      <c r="O289" s="44"/>
      <c r="P289" s="44"/>
      <c r="Q289" s="44"/>
      <c r="R289" s="51"/>
      <c r="S289" s="52">
        <v>1</v>
      </c>
      <c r="T289" s="44">
        <v>485.34999999999991</v>
      </c>
      <c r="U289" s="44"/>
      <c r="V289" s="44"/>
      <c r="W289" s="44"/>
      <c r="X289" s="44"/>
      <c r="Y289" s="44"/>
      <c r="Z289" s="51"/>
      <c r="AA289" s="52">
        <v>1</v>
      </c>
      <c r="AB289" s="44">
        <v>485.43999999999983</v>
      </c>
      <c r="AC289" s="44"/>
      <c r="AD289" s="44"/>
      <c r="AE289" s="44"/>
      <c r="AF289" s="44"/>
      <c r="AG289" s="44"/>
      <c r="AH289" s="51"/>
      <c r="AI289" s="52">
        <v>1</v>
      </c>
      <c r="AJ289" s="44">
        <v>485.49999999999977</v>
      </c>
      <c r="AK289" s="44"/>
      <c r="AL289" s="44"/>
      <c r="AM289" s="44"/>
      <c r="AN289" s="44"/>
      <c r="AO289" s="44"/>
      <c r="AP289" s="51"/>
    </row>
    <row r="290" spans="1:42" ht="21" customHeight="1" thickTop="1" thickBot="1" x14ac:dyDescent="0.35">
      <c r="A290" s="63"/>
      <c r="B290" s="66"/>
      <c r="C290" s="53">
        <v>2</v>
      </c>
      <c r="D290" s="45">
        <v>485.3399999999998</v>
      </c>
      <c r="E290" s="45"/>
      <c r="F290" s="45"/>
      <c r="G290" s="45"/>
      <c r="H290" s="45"/>
      <c r="I290" s="45"/>
      <c r="J290" s="51"/>
      <c r="K290" s="53">
        <v>2</v>
      </c>
      <c r="L290" s="45">
        <v>486.3499999999998</v>
      </c>
      <c r="M290" s="45"/>
      <c r="N290" s="45"/>
      <c r="O290" s="45"/>
      <c r="P290" s="45"/>
      <c r="Q290" s="45"/>
      <c r="R290" s="51"/>
      <c r="S290" s="53">
        <v>2</v>
      </c>
      <c r="T290" s="45">
        <v>485.01999999999981</v>
      </c>
      <c r="U290" s="45"/>
      <c r="V290" s="45"/>
      <c r="W290" s="45"/>
      <c r="X290" s="45"/>
      <c r="Y290" s="45"/>
      <c r="Z290" s="51"/>
      <c r="AA290" s="53">
        <v>2</v>
      </c>
      <c r="AB290" s="45">
        <v>485.64999999999969</v>
      </c>
      <c r="AC290" s="45"/>
      <c r="AD290" s="45"/>
      <c r="AE290" s="45"/>
      <c r="AF290" s="45"/>
      <c r="AG290" s="45"/>
      <c r="AH290" s="51"/>
      <c r="AI290" s="53">
        <v>2</v>
      </c>
      <c r="AJ290" s="45">
        <v>484.63999999999982</v>
      </c>
      <c r="AK290" s="45"/>
      <c r="AL290" s="45"/>
      <c r="AM290" s="45"/>
      <c r="AN290" s="45"/>
      <c r="AO290" s="45"/>
      <c r="AP290" s="51"/>
    </row>
    <row r="291" spans="1:42" ht="21" customHeight="1" thickTop="1" thickBot="1" x14ac:dyDescent="0.35">
      <c r="A291" s="63"/>
      <c r="B291" s="66"/>
      <c r="C291" s="53">
        <v>3</v>
      </c>
      <c r="D291" s="45">
        <v>485.33999999999969</v>
      </c>
      <c r="E291" s="45"/>
      <c r="F291" s="45"/>
      <c r="G291" s="44"/>
      <c r="H291" s="44"/>
      <c r="I291" s="44"/>
      <c r="J291" s="51"/>
      <c r="K291" s="53">
        <v>3</v>
      </c>
      <c r="L291" s="45">
        <v>486.13999999999982</v>
      </c>
      <c r="M291" s="45"/>
      <c r="N291" s="45"/>
      <c r="O291" s="44"/>
      <c r="P291" s="44"/>
      <c r="Q291" s="44"/>
      <c r="R291" s="51"/>
      <c r="S291" s="53">
        <v>3</v>
      </c>
      <c r="T291" s="45">
        <v>485.76999999999981</v>
      </c>
      <c r="U291" s="45"/>
      <c r="V291" s="45"/>
      <c r="W291" s="44"/>
      <c r="X291" s="44"/>
      <c r="Y291" s="44"/>
      <c r="Z291" s="51"/>
      <c r="AA291" s="53">
        <v>3</v>
      </c>
      <c r="AB291" s="45">
        <v>486.3399999999998</v>
      </c>
      <c r="AC291" s="45"/>
      <c r="AD291" s="45"/>
      <c r="AE291" s="44"/>
      <c r="AF291" s="44"/>
      <c r="AG291" s="44"/>
      <c r="AH291" s="51"/>
      <c r="AI291" s="53">
        <v>3</v>
      </c>
      <c r="AJ291" s="45">
        <v>484.34999999999991</v>
      </c>
      <c r="AK291" s="45"/>
      <c r="AL291" s="45"/>
      <c r="AM291" s="44"/>
      <c r="AN291" s="44"/>
      <c r="AO291" s="44"/>
      <c r="AP291" s="51"/>
    </row>
    <row r="292" spans="1:42" ht="21" customHeight="1" thickTop="1" thickBot="1" x14ac:dyDescent="0.35">
      <c r="A292" s="63"/>
      <c r="B292" s="66"/>
      <c r="C292" s="53">
        <v>4</v>
      </c>
      <c r="D292" s="45">
        <v>486.10999999999979</v>
      </c>
      <c r="E292" s="45"/>
      <c r="F292" s="45"/>
      <c r="G292" s="45"/>
      <c r="H292" s="45"/>
      <c r="I292" s="45"/>
      <c r="J292" s="51"/>
      <c r="K292" s="53">
        <v>4</v>
      </c>
      <c r="L292" s="45">
        <v>485.21999999999969</v>
      </c>
      <c r="M292" s="45"/>
      <c r="N292" s="45"/>
      <c r="O292" s="45"/>
      <c r="P292" s="45"/>
      <c r="Q292" s="45"/>
      <c r="R292" s="51"/>
      <c r="S292" s="53">
        <v>4</v>
      </c>
      <c r="T292" s="45">
        <v>485.69999999999982</v>
      </c>
      <c r="U292" s="45"/>
      <c r="V292" s="45"/>
      <c r="W292" s="45"/>
      <c r="X292" s="45"/>
      <c r="Y292" s="45"/>
      <c r="Z292" s="51"/>
      <c r="AA292" s="53">
        <v>4</v>
      </c>
      <c r="AB292" s="45">
        <v>485.37999999999971</v>
      </c>
      <c r="AC292" s="45"/>
      <c r="AD292" s="45"/>
      <c r="AE292" s="45"/>
      <c r="AF292" s="45"/>
      <c r="AG292" s="45"/>
      <c r="AH292" s="51"/>
      <c r="AI292" s="53">
        <v>4</v>
      </c>
      <c r="AJ292" s="45">
        <v>484.9899999999999</v>
      </c>
      <c r="AK292" s="45"/>
      <c r="AL292" s="45"/>
      <c r="AM292" s="45"/>
      <c r="AN292" s="45"/>
      <c r="AO292" s="45"/>
      <c r="AP292" s="51"/>
    </row>
    <row r="293" spans="1:42" ht="21" customHeight="1" thickTop="1" thickBot="1" x14ac:dyDescent="0.35">
      <c r="A293" s="63"/>
      <c r="B293" s="66"/>
      <c r="C293" s="53">
        <v>5</v>
      </c>
      <c r="D293" s="45">
        <v>486.16999999999979</v>
      </c>
      <c r="E293" s="45"/>
      <c r="F293" s="45"/>
      <c r="G293" s="45"/>
      <c r="H293" s="45"/>
      <c r="I293" s="45"/>
      <c r="J293" s="51"/>
      <c r="K293" s="53">
        <v>5</v>
      </c>
      <c r="L293" s="45">
        <v>485.43999999999983</v>
      </c>
      <c r="M293" s="45"/>
      <c r="N293" s="45"/>
      <c r="O293" s="45"/>
      <c r="P293" s="45"/>
      <c r="Q293" s="45"/>
      <c r="R293" s="51"/>
      <c r="S293" s="53">
        <v>5</v>
      </c>
      <c r="T293" s="45">
        <v>485.26999999999981</v>
      </c>
      <c r="U293" s="45"/>
      <c r="V293" s="45"/>
      <c r="W293" s="45"/>
      <c r="X293" s="45"/>
      <c r="Y293" s="45"/>
      <c r="Z293" s="51"/>
      <c r="AA293" s="53">
        <v>5</v>
      </c>
      <c r="AB293" s="45">
        <v>485.02</v>
      </c>
      <c r="AC293" s="45"/>
      <c r="AD293" s="45"/>
      <c r="AE293" s="45"/>
      <c r="AF293" s="45"/>
      <c r="AG293" s="45"/>
      <c r="AH293" s="51"/>
      <c r="AI293" s="53">
        <v>5</v>
      </c>
      <c r="AJ293" s="45">
        <v>485.01999999999992</v>
      </c>
      <c r="AK293" s="45"/>
      <c r="AL293" s="45"/>
      <c r="AM293" s="45"/>
      <c r="AN293" s="45"/>
      <c r="AO293" s="45"/>
      <c r="AP293" s="51"/>
    </row>
    <row r="294" spans="1:42" ht="21" customHeight="1" thickTop="1" thickBot="1" x14ac:dyDescent="0.35">
      <c r="A294" s="63"/>
      <c r="B294" s="66"/>
      <c r="C294" s="53">
        <v>6</v>
      </c>
      <c r="D294" s="45">
        <v>485.67999999999978</v>
      </c>
      <c r="E294" s="45"/>
      <c r="F294" s="45"/>
      <c r="G294" s="45"/>
      <c r="H294" s="45"/>
      <c r="I294" s="45"/>
      <c r="J294" s="51"/>
      <c r="K294" s="53">
        <v>6</v>
      </c>
      <c r="L294" s="45">
        <v>485.61999999999978</v>
      </c>
      <c r="M294" s="45"/>
      <c r="N294" s="45"/>
      <c r="O294" s="45"/>
      <c r="P294" s="45"/>
      <c r="Q294" s="45"/>
      <c r="R294" s="51"/>
      <c r="S294" s="53">
        <v>6</v>
      </c>
      <c r="T294" s="45">
        <v>485.7199999999998</v>
      </c>
      <c r="U294" s="45"/>
      <c r="V294" s="45"/>
      <c r="W294" s="45"/>
      <c r="X294" s="45"/>
      <c r="Y294" s="45"/>
      <c r="Z294" s="51"/>
      <c r="AA294" s="53">
        <v>6</v>
      </c>
      <c r="AB294" s="45">
        <v>487.16999999999979</v>
      </c>
      <c r="AC294" s="45"/>
      <c r="AD294" s="45"/>
      <c r="AE294" s="45"/>
      <c r="AF294" s="45"/>
      <c r="AG294" s="45"/>
      <c r="AH294" s="51"/>
      <c r="AI294" s="53">
        <v>6</v>
      </c>
      <c r="AJ294" s="45">
        <v>484.9099999999998</v>
      </c>
      <c r="AK294" s="45"/>
      <c r="AL294" s="45"/>
      <c r="AM294" s="45"/>
      <c r="AN294" s="45"/>
      <c r="AO294" s="45"/>
      <c r="AP294" s="51"/>
    </row>
    <row r="295" spans="1:42" ht="21" customHeight="1" thickTop="1" thickBot="1" x14ac:dyDescent="0.35">
      <c r="A295" s="63"/>
      <c r="B295" s="66"/>
      <c r="C295" s="53">
        <v>7</v>
      </c>
      <c r="D295" s="45">
        <v>485.83999999999969</v>
      </c>
      <c r="E295" s="45"/>
      <c r="F295" s="45"/>
      <c r="G295" s="45"/>
      <c r="H295" s="45"/>
      <c r="I295" s="45"/>
      <c r="J295" s="51"/>
      <c r="K295" s="53">
        <v>7</v>
      </c>
      <c r="L295" s="45">
        <v>485.28999999999979</v>
      </c>
      <c r="M295" s="45"/>
      <c r="N295" s="45"/>
      <c r="O295" s="45"/>
      <c r="P295" s="45"/>
      <c r="Q295" s="45"/>
      <c r="R295" s="51"/>
      <c r="S295" s="53">
        <v>7</v>
      </c>
      <c r="T295" s="45">
        <v>488.0899999999998</v>
      </c>
      <c r="U295" s="45"/>
      <c r="V295" s="45"/>
      <c r="W295" s="45"/>
      <c r="X295" s="45"/>
      <c r="Y295" s="45"/>
      <c r="Z295" s="51"/>
      <c r="AA295" s="53">
        <v>7</v>
      </c>
      <c r="AB295" s="45">
        <v>485.9699999999998</v>
      </c>
      <c r="AC295" s="45"/>
      <c r="AD295" s="45"/>
      <c r="AE295" s="45"/>
      <c r="AF295" s="45"/>
      <c r="AG295" s="45"/>
      <c r="AH295" s="51"/>
      <c r="AI295" s="53">
        <v>7</v>
      </c>
      <c r="AJ295" s="45">
        <v>484.50999999999982</v>
      </c>
      <c r="AK295" s="45"/>
      <c r="AL295" s="45"/>
      <c r="AM295" s="45"/>
      <c r="AN295" s="45"/>
      <c r="AO295" s="45"/>
      <c r="AP295" s="51"/>
    </row>
    <row r="296" spans="1:42" ht="21" customHeight="1" thickTop="1" thickBot="1" x14ac:dyDescent="0.35">
      <c r="A296" s="63"/>
      <c r="B296" s="66"/>
      <c r="C296" s="53">
        <v>8</v>
      </c>
      <c r="D296" s="45">
        <v>484.8499999999998</v>
      </c>
      <c r="E296" s="45"/>
      <c r="F296" s="45"/>
      <c r="G296" s="45"/>
      <c r="H296" s="45"/>
      <c r="I296" s="45"/>
      <c r="J296" s="51"/>
      <c r="K296" s="53">
        <v>8</v>
      </c>
      <c r="L296" s="45">
        <v>485.1599999999998</v>
      </c>
      <c r="M296" s="45"/>
      <c r="N296" s="45"/>
      <c r="O296" s="45"/>
      <c r="P296" s="45"/>
      <c r="Q296" s="45"/>
      <c r="R296" s="51"/>
      <c r="S296" s="53">
        <v>8</v>
      </c>
      <c r="T296" s="45">
        <v>485.07999999999981</v>
      </c>
      <c r="U296" s="45"/>
      <c r="V296" s="45"/>
      <c r="W296" s="45"/>
      <c r="X296" s="45"/>
      <c r="Y296" s="45"/>
      <c r="Z296" s="51"/>
      <c r="AA296" s="53">
        <v>8</v>
      </c>
      <c r="AB296" s="45">
        <v>486.50999999999988</v>
      </c>
      <c r="AC296" s="45"/>
      <c r="AD296" s="45"/>
      <c r="AE296" s="45"/>
      <c r="AF296" s="45"/>
      <c r="AG296" s="45"/>
      <c r="AH296" s="51"/>
      <c r="AI296" s="53">
        <v>8</v>
      </c>
      <c r="AJ296" s="45">
        <v>484.41999999999979</v>
      </c>
      <c r="AK296" s="45"/>
      <c r="AL296" s="45"/>
      <c r="AM296" s="45"/>
      <c r="AN296" s="45"/>
      <c r="AO296" s="45"/>
      <c r="AP296" s="51"/>
    </row>
    <row r="297" spans="1:42" ht="21" customHeight="1" thickTop="1" thickBot="1" x14ac:dyDescent="0.35">
      <c r="A297" s="63"/>
      <c r="B297" s="66"/>
      <c r="C297" s="53">
        <v>9</v>
      </c>
      <c r="D297" s="45">
        <v>484.60999999999979</v>
      </c>
      <c r="E297" s="45"/>
      <c r="F297" s="45"/>
      <c r="G297" s="45"/>
      <c r="H297" s="45"/>
      <c r="I297" s="45"/>
      <c r="J297" s="51"/>
      <c r="K297" s="53">
        <v>9</v>
      </c>
      <c r="L297" s="45">
        <v>484.7799999999998</v>
      </c>
      <c r="M297" s="45"/>
      <c r="N297" s="45"/>
      <c r="O297" s="45"/>
      <c r="P297" s="45"/>
      <c r="Q297" s="45"/>
      <c r="R297" s="51"/>
      <c r="S297" s="53">
        <v>9</v>
      </c>
      <c r="T297" s="45">
        <v>486.55999999999977</v>
      </c>
      <c r="U297" s="45"/>
      <c r="V297" s="45"/>
      <c r="W297" s="45"/>
      <c r="X297" s="45"/>
      <c r="Y297" s="45"/>
      <c r="Z297" s="51"/>
      <c r="AA297" s="53">
        <v>9</v>
      </c>
      <c r="AB297" s="45">
        <v>485.90999999999991</v>
      </c>
      <c r="AC297" s="45"/>
      <c r="AD297" s="45"/>
      <c r="AE297" s="45"/>
      <c r="AF297" s="45"/>
      <c r="AG297" s="45"/>
      <c r="AH297" s="51"/>
      <c r="AI297" s="53">
        <v>9</v>
      </c>
      <c r="AJ297" s="45">
        <v>484.34999999999991</v>
      </c>
      <c r="AK297" s="45"/>
      <c r="AL297" s="45"/>
      <c r="AM297" s="45"/>
      <c r="AN297" s="45"/>
      <c r="AO297" s="45"/>
      <c r="AP297" s="51"/>
    </row>
    <row r="298" spans="1:42" ht="21" customHeight="1" thickTop="1" thickBot="1" x14ac:dyDescent="0.35">
      <c r="A298" s="63"/>
      <c r="B298" s="66"/>
      <c r="C298" s="53">
        <v>10</v>
      </c>
      <c r="D298" s="45">
        <v>486.01999999999981</v>
      </c>
      <c r="E298" s="45"/>
      <c r="F298" s="45"/>
      <c r="G298" s="45"/>
      <c r="H298" s="45"/>
      <c r="I298" s="45"/>
      <c r="J298" s="51"/>
      <c r="K298" s="53">
        <v>10</v>
      </c>
      <c r="L298" s="45">
        <v>486.4099999999998</v>
      </c>
      <c r="M298" s="45"/>
      <c r="N298" s="45"/>
      <c r="O298" s="45"/>
      <c r="P298" s="45"/>
      <c r="Q298" s="45"/>
      <c r="R298" s="51"/>
      <c r="S298" s="53">
        <v>10</v>
      </c>
      <c r="T298" s="45">
        <v>485.12999999999982</v>
      </c>
      <c r="U298" s="45"/>
      <c r="V298" s="45"/>
      <c r="W298" s="45"/>
      <c r="X298" s="45"/>
      <c r="Y298" s="45"/>
      <c r="Z298" s="51"/>
      <c r="AA298" s="53">
        <v>10</v>
      </c>
      <c r="AB298" s="45">
        <v>485.28999999999968</v>
      </c>
      <c r="AC298" s="45"/>
      <c r="AD298" s="45"/>
      <c r="AE298" s="45"/>
      <c r="AF298" s="45"/>
      <c r="AG298" s="45"/>
      <c r="AH298" s="51"/>
      <c r="AI298" s="53">
        <v>10</v>
      </c>
      <c r="AJ298" s="45">
        <v>485.07999999999981</v>
      </c>
      <c r="AK298" s="45"/>
      <c r="AL298" s="45"/>
      <c r="AM298" s="45"/>
      <c r="AN298" s="45"/>
      <c r="AO298" s="45"/>
      <c r="AP298" s="51"/>
    </row>
    <row r="299" spans="1:42" ht="21" customHeight="1" thickTop="1" thickBot="1" x14ac:dyDescent="0.35">
      <c r="A299" s="63"/>
      <c r="B299" s="66"/>
      <c r="C299" s="53"/>
      <c r="D299" s="45"/>
      <c r="E299" s="45"/>
      <c r="F299" s="45"/>
      <c r="G299" s="45"/>
      <c r="H299" s="45"/>
      <c r="I299" s="45"/>
      <c r="J299" s="51"/>
      <c r="K299" s="53"/>
      <c r="L299" s="45"/>
      <c r="M299" s="45"/>
      <c r="N299" s="45"/>
      <c r="O299" s="45"/>
      <c r="P299" s="45"/>
      <c r="Q299" s="45"/>
      <c r="R299" s="51"/>
      <c r="S299" s="53"/>
      <c r="T299" s="45"/>
      <c r="U299" s="45"/>
      <c r="V299" s="45"/>
      <c r="W299" s="45"/>
      <c r="X299" s="45"/>
      <c r="Y299" s="45"/>
      <c r="Z299" s="51"/>
      <c r="AA299" s="53"/>
      <c r="AB299" s="45"/>
      <c r="AC299" s="45"/>
      <c r="AD299" s="45"/>
      <c r="AE299" s="45"/>
      <c r="AF299" s="45"/>
      <c r="AG299" s="45"/>
      <c r="AH299" s="51"/>
      <c r="AI299" s="53"/>
      <c r="AJ299" s="45"/>
      <c r="AK299" s="45"/>
      <c r="AL299" s="45"/>
      <c r="AM299" s="45"/>
      <c r="AN299" s="45"/>
      <c r="AO299" s="45"/>
      <c r="AP299" s="51"/>
    </row>
    <row r="300" spans="1:42" ht="21" customHeight="1" thickTop="1" thickBot="1" x14ac:dyDescent="0.35">
      <c r="A300" s="63"/>
      <c r="B300" s="66"/>
      <c r="C300" s="54" t="s">
        <v>16</v>
      </c>
      <c r="D300" s="49">
        <f>MIN(D289:D298)</f>
        <v>484.1599999999998</v>
      </c>
      <c r="E300" s="45"/>
      <c r="F300" s="55" t="s">
        <v>17</v>
      </c>
      <c r="G300" s="49" t="s">
        <v>18</v>
      </c>
      <c r="H300" s="49" t="s">
        <v>19</v>
      </c>
      <c r="I300" s="45"/>
      <c r="J300" s="51"/>
      <c r="K300" s="54" t="s">
        <v>16</v>
      </c>
      <c r="L300" s="49">
        <f>MIN(L289:L298)</f>
        <v>484.7799999999998</v>
      </c>
      <c r="M300" s="45"/>
      <c r="N300" s="55" t="s">
        <v>17</v>
      </c>
      <c r="O300" s="49" t="s">
        <v>18</v>
      </c>
      <c r="P300" s="49" t="s">
        <v>19</v>
      </c>
      <c r="Q300" s="45"/>
      <c r="R300" s="51"/>
      <c r="S300" s="54" t="s">
        <v>16</v>
      </c>
      <c r="T300" s="49">
        <f>MIN(T289:T298)</f>
        <v>485.01999999999981</v>
      </c>
      <c r="U300" s="45"/>
      <c r="V300" s="55" t="s">
        <v>17</v>
      </c>
      <c r="W300" s="49" t="s">
        <v>18</v>
      </c>
      <c r="X300" s="49" t="s">
        <v>19</v>
      </c>
      <c r="Y300" s="45"/>
      <c r="Z300" s="51"/>
      <c r="AA300" s="54" t="s">
        <v>16</v>
      </c>
      <c r="AB300" s="49">
        <f>MIN(AB289:AB298)</f>
        <v>485.02</v>
      </c>
      <c r="AC300" s="45"/>
      <c r="AD300" s="55" t="s">
        <v>17</v>
      </c>
      <c r="AE300" s="49" t="s">
        <v>18</v>
      </c>
      <c r="AF300" s="49" t="s">
        <v>19</v>
      </c>
      <c r="AG300" s="45"/>
      <c r="AH300" s="51"/>
      <c r="AI300" s="54" t="s">
        <v>16</v>
      </c>
      <c r="AJ300" s="49">
        <f>MIN(AJ289:AJ298)</f>
        <v>484.34999999999991</v>
      </c>
      <c r="AK300" s="45"/>
      <c r="AL300" s="55" t="s">
        <v>17</v>
      </c>
      <c r="AM300" s="49" t="s">
        <v>18</v>
      </c>
      <c r="AN300" s="49" t="s">
        <v>19</v>
      </c>
      <c r="AO300" s="45"/>
      <c r="AP300" s="51"/>
    </row>
    <row r="301" spans="1:42" ht="21" customHeight="1" thickTop="1" thickBot="1" x14ac:dyDescent="0.35">
      <c r="A301" s="63"/>
      <c r="B301" s="66"/>
      <c r="C301" s="54" t="s">
        <v>20</v>
      </c>
      <c r="D301" s="48">
        <f>AVERAGE(D289:D298)</f>
        <v>485.41199999999969</v>
      </c>
      <c r="E301" s="47"/>
      <c r="F301" s="48">
        <f>_xlfn.STDEV.S(D289:D298) / AVERAGE(D289:D298) * 100%</f>
        <v>1.4112283358599872E-3</v>
      </c>
      <c r="G301" s="48">
        <f t="array" ref="G301">MIN((D289:D298 - MIN(D289:D298,L289:L298,T289:T298,AB289:AB298,AJ289:AJ298))/MIN(D289:D298,L289:L298,T289:T298,AB289:AB298,AJ289:AJ298)*100%)</f>
        <v>0</v>
      </c>
      <c r="H301" s="48">
        <f t="array" ref="H301">AVERAGE((D289:D298 - MIN(D289:D298,L289:L298,T289:T298,AB289:AB298,AJ289:AJ298))/MIN(D289:D298,L289:L298,T289:T298,AB289:AB298,AJ289:AJ298)*100%)</f>
        <v>2.5859220092530897E-3</v>
      </c>
      <c r="I301" s="45"/>
      <c r="J301" s="51"/>
      <c r="K301" s="54" t="s">
        <v>20</v>
      </c>
      <c r="L301" s="48">
        <f>AVERAGE(L289:L298)</f>
        <v>485.67699999999985</v>
      </c>
      <c r="M301" s="47"/>
      <c r="N301" s="48">
        <f>_xlfn.STDEV.S(L289:L298) / AVERAGE(L289:L298) * 100%</f>
        <v>1.2202368689903968E-3</v>
      </c>
      <c r="O301" s="48">
        <f t="array" ref="O301">MIN((L289:L298 - MIN(D289:D298,L289:L298,T289:T298,AB289:AB298,AJ289:AJ298))/MIN(D289:D298,L289:L298,T289:T298,AB289:AB298,AJ289:AJ298)*100%)</f>
        <v>1.2805684071381461E-3</v>
      </c>
      <c r="P301" s="48">
        <f t="array" ref="P301">AVERAGE((L289:L298 - MIN(D289:D298,L289:L298,T289:T298,AB289:AB298,AJ289:AJ298))/MIN(D289:D298,L289:L298,T289:T298,AB289:AB298,AJ289:AJ298)*100%)</f>
        <v>3.1332617316589366E-3</v>
      </c>
      <c r="Q301" s="44"/>
      <c r="R301" s="51"/>
      <c r="S301" s="54" t="s">
        <v>20</v>
      </c>
      <c r="T301" s="48">
        <f>AVERAGE(T289:T298)</f>
        <v>485.76899999999989</v>
      </c>
      <c r="U301" s="47"/>
      <c r="V301" s="48">
        <f>_xlfn.STDEV.S(T289:T298) / AVERAGE(T289:T298) * 100%</f>
        <v>1.9272847663934685E-3</v>
      </c>
      <c r="W301" s="48">
        <f t="array" ref="W301">MIN((T289:T298 - MIN(D289:D298,L289:L298,T289:T298,AB289:AB298,AJ289:AJ298))/MIN(D289:D298,L289:L298,T289:T298,AB289:AB298,AJ289:AJ298)*100%)</f>
        <v>1.7762723066755081E-3</v>
      </c>
      <c r="X301" s="48">
        <f t="array" ref="X301">AVERAGE((T289:T298 - MIN(D289:D298,L289:L298,T289:T298,AB289:AB298,AJ289:AJ298))/MIN(D289:D298,L289:L298,T289:T298,AB289:AB298,AJ289:AJ298)*100%)</f>
        <v>3.3232815598149799E-3</v>
      </c>
      <c r="Y301" s="44"/>
      <c r="Z301" s="51"/>
      <c r="AA301" s="54" t="s">
        <v>20</v>
      </c>
      <c r="AB301" s="48">
        <f>AVERAGE(AB289:AB298)</f>
        <v>485.86799999999982</v>
      </c>
      <c r="AC301" s="47"/>
      <c r="AD301" s="48">
        <f>_xlfn.STDEV.S(AB289:AB298) / AVERAGE(AB289:AB298) * 100%</f>
        <v>1.3486499406358031E-3</v>
      </c>
      <c r="AE301" s="48">
        <f t="array" ref="AE301">MIN((AB289:AB298 - MIN(D289:D298,L289:L298,T289:T298,AB289:AB298,AJ289:AJ298))/MIN(D289:D298,L289:L298,T289:T298,AB289:AB298,AJ289:AJ298)*100%)</f>
        <v>1.7762723066758602E-3</v>
      </c>
      <c r="AF301" s="48">
        <f t="array" ref="AF301">AVERAGE((AB289:AB298 - MIN(D289:D298,L289:L298,T289:T298,AB289:AB298,AJ289:AJ298))/MIN(D289:D298,L289:L298,T289:T298,AB289:AB298,AJ289:AJ298)*100%)</f>
        <v>3.5277594183741128E-3</v>
      </c>
      <c r="AG301" s="44"/>
      <c r="AH301" s="51"/>
      <c r="AI301" s="54" t="s">
        <v>20</v>
      </c>
      <c r="AJ301" s="48">
        <f>AVERAGE(AJ289:AJ298)</f>
        <v>484.77699999999987</v>
      </c>
      <c r="AK301" s="47"/>
      <c r="AL301" s="48">
        <f>_xlfn.STDEV.S(AJ289:AJ298) / AVERAGE(AJ289:AJ298) * 100%</f>
        <v>7.8963766261534957E-4</v>
      </c>
      <c r="AM301" s="48">
        <f t="array" ref="AM301">MIN((AJ289:AJ298 - MIN(D289:D298,L289:L298,T289:T298,AB289:AB298,AJ289:AJ298))/MIN(D289:D298,L289:L298,T289:T298,AB289:AB298,AJ289:AJ298)*100%)</f>
        <v>3.9243225380062685E-4</v>
      </c>
      <c r="AN301" s="48">
        <f t="array" ref="AN301">AVERAGE((AJ289:AJ298 - MIN(D289:D298,L289:L298,T289:T298,AB289:AB298,AJ289:AJ298))/MIN(D289:D298,L289:L298,T289:T298,AB289:AB298,AJ289:AJ298)*100%)</f>
        <v>1.274372108394017E-3</v>
      </c>
      <c r="AO301" s="44"/>
      <c r="AP301" s="51"/>
    </row>
    <row r="302" spans="1:42" ht="21" customHeight="1" thickTop="1" thickBot="1" x14ac:dyDescent="0.35">
      <c r="A302" s="63"/>
      <c r="B302" s="67"/>
      <c r="C302" s="53"/>
      <c r="D302" s="44"/>
      <c r="E302" s="44"/>
      <c r="F302" s="44"/>
      <c r="G302" s="44"/>
      <c r="H302" s="44"/>
      <c r="I302" s="44"/>
      <c r="J302" s="51"/>
      <c r="K302" s="53"/>
      <c r="L302" s="44"/>
      <c r="M302" s="44"/>
      <c r="N302" s="44"/>
      <c r="O302" s="44"/>
      <c r="P302" s="44"/>
      <c r="Q302" s="44"/>
      <c r="R302" s="51"/>
      <c r="S302" s="53"/>
      <c r="T302" s="44"/>
      <c r="U302" s="44"/>
      <c r="V302" s="44"/>
      <c r="W302" s="44"/>
      <c r="X302" s="44"/>
      <c r="Y302" s="44"/>
      <c r="Z302" s="51"/>
      <c r="AA302" s="53"/>
      <c r="AB302" s="44"/>
      <c r="AC302" s="44"/>
      <c r="AD302" s="44"/>
      <c r="AE302" s="44"/>
      <c r="AF302" s="44"/>
      <c r="AG302" s="44"/>
      <c r="AH302" s="51"/>
      <c r="AI302" s="53"/>
      <c r="AJ302" s="44"/>
      <c r="AK302" s="44"/>
      <c r="AL302" s="44"/>
      <c r="AM302" s="44"/>
      <c r="AN302" s="44"/>
      <c r="AO302" s="44"/>
      <c r="AP302" s="51"/>
    </row>
    <row r="303" spans="1:42" ht="21" customHeight="1" thickTop="1" thickBot="1" x14ac:dyDescent="0.35">
      <c r="A303" s="63"/>
      <c r="B303" s="65" t="s">
        <v>126</v>
      </c>
      <c r="C303" s="59" t="s">
        <v>8</v>
      </c>
      <c r="D303" s="46" t="s">
        <v>9</v>
      </c>
      <c r="E303" s="46" t="s">
        <v>10</v>
      </c>
      <c r="F303" s="46" t="s">
        <v>11</v>
      </c>
      <c r="G303" s="46" t="s">
        <v>12</v>
      </c>
      <c r="H303" s="46" t="s">
        <v>13</v>
      </c>
      <c r="I303" s="46" t="s">
        <v>14</v>
      </c>
      <c r="J303" s="60" t="s">
        <v>15</v>
      </c>
      <c r="K303" s="59" t="s">
        <v>8</v>
      </c>
      <c r="L303" s="46" t="s">
        <v>9</v>
      </c>
      <c r="M303" s="46" t="s">
        <v>10</v>
      </c>
      <c r="N303" s="46" t="s">
        <v>11</v>
      </c>
      <c r="O303" s="46" t="s">
        <v>12</v>
      </c>
      <c r="P303" s="46" t="s">
        <v>13</v>
      </c>
      <c r="Q303" s="46" t="s">
        <v>14</v>
      </c>
      <c r="R303" s="60" t="s">
        <v>15</v>
      </c>
      <c r="S303" s="59" t="s">
        <v>8</v>
      </c>
      <c r="T303" s="46" t="s">
        <v>9</v>
      </c>
      <c r="U303" s="46" t="s">
        <v>10</v>
      </c>
      <c r="V303" s="46" t="s">
        <v>11</v>
      </c>
      <c r="W303" s="46" t="s">
        <v>12</v>
      </c>
      <c r="X303" s="46" t="s">
        <v>13</v>
      </c>
      <c r="Y303" s="46" t="s">
        <v>14</v>
      </c>
      <c r="Z303" s="60" t="s">
        <v>15</v>
      </c>
      <c r="AA303" s="59" t="s">
        <v>8</v>
      </c>
      <c r="AB303" s="46" t="s">
        <v>9</v>
      </c>
      <c r="AC303" s="46" t="s">
        <v>10</v>
      </c>
      <c r="AD303" s="46" t="s">
        <v>11</v>
      </c>
      <c r="AE303" s="46" t="s">
        <v>12</v>
      </c>
      <c r="AF303" s="46" t="s">
        <v>13</v>
      </c>
      <c r="AG303" s="46" t="s">
        <v>14</v>
      </c>
      <c r="AH303" s="60" t="s">
        <v>15</v>
      </c>
      <c r="AI303" s="59" t="s">
        <v>8</v>
      </c>
      <c r="AJ303" s="46" t="s">
        <v>9</v>
      </c>
      <c r="AK303" s="46" t="s">
        <v>10</v>
      </c>
      <c r="AL303" s="46" t="s">
        <v>11</v>
      </c>
      <c r="AM303" s="46" t="s">
        <v>12</v>
      </c>
      <c r="AN303" s="46" t="s">
        <v>13</v>
      </c>
      <c r="AO303" s="46" t="s">
        <v>14</v>
      </c>
      <c r="AP303" s="60" t="s">
        <v>15</v>
      </c>
    </row>
    <row r="304" spans="1:42" ht="21" customHeight="1" thickTop="1" thickBot="1" x14ac:dyDescent="0.35">
      <c r="A304" s="63"/>
      <c r="B304" s="66"/>
      <c r="C304" s="52">
        <v>1</v>
      </c>
      <c r="D304" s="44">
        <v>484.78999999999968</v>
      </c>
      <c r="E304" s="44"/>
      <c r="F304" s="44"/>
      <c r="G304" s="44"/>
      <c r="H304" s="44"/>
      <c r="I304" s="44"/>
      <c r="J304" s="51"/>
      <c r="K304" s="52">
        <v>1</v>
      </c>
      <c r="L304" s="44">
        <v>485.98999999999978</v>
      </c>
      <c r="M304" s="44"/>
      <c r="N304" s="44"/>
      <c r="O304" s="44"/>
      <c r="P304" s="44"/>
      <c r="Q304" s="44"/>
      <c r="R304" s="51"/>
      <c r="S304" s="52">
        <v>1</v>
      </c>
      <c r="T304" s="44">
        <v>486.28999999999968</v>
      </c>
      <c r="U304" s="44"/>
      <c r="V304" s="44"/>
      <c r="W304" s="44"/>
      <c r="X304" s="44"/>
      <c r="Y304" s="44"/>
      <c r="Z304" s="51"/>
      <c r="AA304" s="52">
        <v>1</v>
      </c>
      <c r="AB304" s="44">
        <v>484.24999999999977</v>
      </c>
      <c r="AC304" s="44"/>
      <c r="AD304" s="44"/>
      <c r="AE304" s="44"/>
      <c r="AF304" s="44"/>
      <c r="AG304" s="44"/>
      <c r="AH304" s="51"/>
      <c r="AI304" s="52">
        <v>1</v>
      </c>
      <c r="AJ304" s="44">
        <v>484.0899999999998</v>
      </c>
      <c r="AK304" s="44"/>
      <c r="AL304" s="44"/>
      <c r="AM304" s="44"/>
      <c r="AN304" s="44"/>
      <c r="AO304" s="44"/>
      <c r="AP304" s="51"/>
    </row>
    <row r="305" spans="1:42" ht="21" customHeight="1" thickTop="1" thickBot="1" x14ac:dyDescent="0.35">
      <c r="A305" s="63"/>
      <c r="B305" s="66"/>
      <c r="C305" s="53">
        <v>2</v>
      </c>
      <c r="D305" s="45">
        <v>483.86999999999978</v>
      </c>
      <c r="E305" s="45"/>
      <c r="F305" s="45"/>
      <c r="G305" s="45"/>
      <c r="H305" s="45"/>
      <c r="I305" s="45"/>
      <c r="J305" s="51"/>
      <c r="K305" s="53">
        <v>2</v>
      </c>
      <c r="L305" s="45">
        <v>485.01999999999981</v>
      </c>
      <c r="M305" s="45"/>
      <c r="N305" s="45"/>
      <c r="O305" s="45"/>
      <c r="P305" s="45"/>
      <c r="Q305" s="45"/>
      <c r="R305" s="51"/>
      <c r="S305" s="53">
        <v>2</v>
      </c>
      <c r="T305" s="45">
        <v>486.25999999999982</v>
      </c>
      <c r="U305" s="45"/>
      <c r="V305" s="45"/>
      <c r="W305" s="45"/>
      <c r="X305" s="45"/>
      <c r="Y305" s="45"/>
      <c r="Z305" s="51"/>
      <c r="AA305" s="53">
        <v>2</v>
      </c>
      <c r="AB305" s="45">
        <v>485.01999999999981</v>
      </c>
      <c r="AC305" s="45"/>
      <c r="AD305" s="45"/>
      <c r="AE305" s="45"/>
      <c r="AF305" s="45"/>
      <c r="AG305" s="45"/>
      <c r="AH305" s="51"/>
      <c r="AI305" s="53">
        <v>2</v>
      </c>
      <c r="AJ305" s="45">
        <v>483.24999999999989</v>
      </c>
      <c r="AK305" s="45"/>
      <c r="AL305" s="45"/>
      <c r="AM305" s="45"/>
      <c r="AN305" s="45"/>
      <c r="AO305" s="45"/>
      <c r="AP305" s="51"/>
    </row>
    <row r="306" spans="1:42" ht="21" customHeight="1" thickTop="1" thickBot="1" x14ac:dyDescent="0.35">
      <c r="A306" s="63"/>
      <c r="B306" s="66"/>
      <c r="C306" s="53">
        <v>3</v>
      </c>
      <c r="D306" s="45">
        <v>484.8399999999998</v>
      </c>
      <c r="E306" s="45"/>
      <c r="F306" s="45"/>
      <c r="G306" s="44"/>
      <c r="H306" s="44"/>
      <c r="I306" s="44"/>
      <c r="J306" s="51"/>
      <c r="K306" s="53">
        <v>3</v>
      </c>
      <c r="L306" s="45">
        <v>484.62999999999988</v>
      </c>
      <c r="M306" s="45"/>
      <c r="N306" s="45"/>
      <c r="O306" s="44"/>
      <c r="P306" s="44"/>
      <c r="Q306" s="44"/>
      <c r="R306" s="51"/>
      <c r="S306" s="53">
        <v>3</v>
      </c>
      <c r="T306" s="45">
        <v>485.77999999999969</v>
      </c>
      <c r="U306" s="45"/>
      <c r="V306" s="45"/>
      <c r="W306" s="44"/>
      <c r="X306" s="44"/>
      <c r="Y306" s="44"/>
      <c r="Z306" s="51"/>
      <c r="AA306" s="53">
        <v>3</v>
      </c>
      <c r="AB306" s="45">
        <v>485.0199999999997</v>
      </c>
      <c r="AC306" s="45"/>
      <c r="AD306" s="45"/>
      <c r="AE306" s="44"/>
      <c r="AF306" s="44"/>
      <c r="AG306" s="44"/>
      <c r="AH306" s="51"/>
      <c r="AI306" s="53">
        <v>3</v>
      </c>
      <c r="AJ306" s="45">
        <v>484.12999999999988</v>
      </c>
      <c r="AK306" s="45"/>
      <c r="AL306" s="45"/>
      <c r="AM306" s="44"/>
      <c r="AN306" s="44"/>
      <c r="AO306" s="44"/>
      <c r="AP306" s="51"/>
    </row>
    <row r="307" spans="1:42" ht="21" customHeight="1" thickTop="1" thickBot="1" x14ac:dyDescent="0.35">
      <c r="A307" s="63"/>
      <c r="B307" s="66"/>
      <c r="C307" s="53">
        <v>4</v>
      </c>
      <c r="D307" s="45">
        <v>484.85999999999979</v>
      </c>
      <c r="E307" s="45"/>
      <c r="F307" s="45"/>
      <c r="G307" s="45"/>
      <c r="H307" s="45"/>
      <c r="I307" s="45"/>
      <c r="J307" s="51"/>
      <c r="K307" s="53">
        <v>4</v>
      </c>
      <c r="L307" s="45">
        <v>485.55999999999977</v>
      </c>
      <c r="M307" s="45"/>
      <c r="N307" s="45"/>
      <c r="O307" s="45"/>
      <c r="P307" s="45"/>
      <c r="Q307" s="45"/>
      <c r="R307" s="51"/>
      <c r="S307" s="53">
        <v>4</v>
      </c>
      <c r="T307" s="45">
        <v>483.85999999999979</v>
      </c>
      <c r="U307" s="45"/>
      <c r="V307" s="45"/>
      <c r="W307" s="45"/>
      <c r="X307" s="45"/>
      <c r="Y307" s="45"/>
      <c r="Z307" s="51"/>
      <c r="AA307" s="53">
        <v>4</v>
      </c>
      <c r="AB307" s="45">
        <v>484.68999999999983</v>
      </c>
      <c r="AC307" s="45"/>
      <c r="AD307" s="45"/>
      <c r="AE307" s="45"/>
      <c r="AF307" s="45"/>
      <c r="AG307" s="45"/>
      <c r="AH307" s="51"/>
      <c r="AI307" s="53">
        <v>4</v>
      </c>
      <c r="AJ307" s="45">
        <v>484.08999999999992</v>
      </c>
      <c r="AK307" s="45"/>
      <c r="AL307" s="45"/>
      <c r="AM307" s="45"/>
      <c r="AN307" s="45"/>
      <c r="AO307" s="45"/>
      <c r="AP307" s="51"/>
    </row>
    <row r="308" spans="1:42" ht="21" customHeight="1" thickTop="1" thickBot="1" x14ac:dyDescent="0.35">
      <c r="A308" s="63"/>
      <c r="B308" s="66"/>
      <c r="C308" s="53">
        <v>5</v>
      </c>
      <c r="D308" s="45">
        <v>483.49999999999977</v>
      </c>
      <c r="E308" s="45"/>
      <c r="F308" s="45"/>
      <c r="G308" s="45"/>
      <c r="H308" s="45"/>
      <c r="I308" s="45"/>
      <c r="J308" s="51"/>
      <c r="K308" s="53">
        <v>5</v>
      </c>
      <c r="L308" s="45">
        <v>485.13999999999982</v>
      </c>
      <c r="M308" s="45"/>
      <c r="N308" s="45"/>
      <c r="O308" s="45"/>
      <c r="P308" s="45"/>
      <c r="Q308" s="45"/>
      <c r="R308" s="51"/>
      <c r="S308" s="53">
        <v>5</v>
      </c>
      <c r="T308" s="45">
        <v>484.19999999999982</v>
      </c>
      <c r="U308" s="45"/>
      <c r="V308" s="45"/>
      <c r="W308" s="45"/>
      <c r="X308" s="45"/>
      <c r="Y308" s="45"/>
      <c r="Z308" s="51"/>
      <c r="AA308" s="53">
        <v>5</v>
      </c>
      <c r="AB308" s="45">
        <v>485.04999999999978</v>
      </c>
      <c r="AC308" s="45"/>
      <c r="AD308" s="45"/>
      <c r="AE308" s="45"/>
      <c r="AF308" s="45"/>
      <c r="AG308" s="45"/>
      <c r="AH308" s="51"/>
      <c r="AI308" s="53">
        <v>5</v>
      </c>
      <c r="AJ308" s="45">
        <v>484.12999999999982</v>
      </c>
      <c r="AK308" s="45"/>
      <c r="AL308" s="45"/>
      <c r="AM308" s="45"/>
      <c r="AN308" s="45"/>
      <c r="AO308" s="45"/>
      <c r="AP308" s="51"/>
    </row>
    <row r="309" spans="1:42" ht="21" customHeight="1" thickTop="1" thickBot="1" x14ac:dyDescent="0.35">
      <c r="A309" s="63"/>
      <c r="B309" s="66"/>
      <c r="C309" s="53">
        <v>6</v>
      </c>
      <c r="D309" s="45">
        <v>484.21999999999969</v>
      </c>
      <c r="E309" s="45"/>
      <c r="F309" s="45"/>
      <c r="G309" s="45"/>
      <c r="H309" s="45"/>
      <c r="I309" s="45"/>
      <c r="J309" s="51"/>
      <c r="K309" s="53">
        <v>6</v>
      </c>
      <c r="L309" s="45">
        <v>486.06999999999982</v>
      </c>
      <c r="M309" s="45"/>
      <c r="N309" s="45"/>
      <c r="O309" s="45"/>
      <c r="P309" s="45"/>
      <c r="Q309" s="45"/>
      <c r="R309" s="51"/>
      <c r="S309" s="53">
        <v>6</v>
      </c>
      <c r="T309" s="45">
        <v>484.32999999999981</v>
      </c>
      <c r="U309" s="45"/>
      <c r="V309" s="45"/>
      <c r="W309" s="45"/>
      <c r="X309" s="45"/>
      <c r="Y309" s="45"/>
      <c r="Z309" s="51"/>
      <c r="AA309" s="53">
        <v>6</v>
      </c>
      <c r="AB309" s="45">
        <v>485.0899999999998</v>
      </c>
      <c r="AC309" s="45"/>
      <c r="AD309" s="45"/>
      <c r="AE309" s="45"/>
      <c r="AF309" s="45"/>
      <c r="AG309" s="45"/>
      <c r="AH309" s="51"/>
      <c r="AI309" s="53">
        <v>6</v>
      </c>
      <c r="AJ309" s="45">
        <v>484.39999999999981</v>
      </c>
      <c r="AK309" s="45"/>
      <c r="AL309" s="45"/>
      <c r="AM309" s="45"/>
      <c r="AN309" s="45"/>
      <c r="AO309" s="45"/>
      <c r="AP309" s="51"/>
    </row>
    <row r="310" spans="1:42" ht="21" customHeight="1" thickTop="1" thickBot="1" x14ac:dyDescent="0.35">
      <c r="A310" s="63"/>
      <c r="B310" s="66"/>
      <c r="C310" s="53">
        <v>7</v>
      </c>
      <c r="D310" s="45">
        <v>485.0899999999998</v>
      </c>
      <c r="E310" s="45"/>
      <c r="F310" s="45"/>
      <c r="G310" s="45"/>
      <c r="H310" s="45"/>
      <c r="I310" s="45"/>
      <c r="J310" s="51"/>
      <c r="K310" s="53">
        <v>7</v>
      </c>
      <c r="L310" s="45">
        <v>485.00999999999982</v>
      </c>
      <c r="M310" s="45"/>
      <c r="N310" s="45"/>
      <c r="O310" s="45"/>
      <c r="P310" s="45"/>
      <c r="Q310" s="45"/>
      <c r="R310" s="51"/>
      <c r="S310" s="53">
        <v>7</v>
      </c>
      <c r="T310" s="45">
        <v>484.51999999999981</v>
      </c>
      <c r="U310" s="45"/>
      <c r="V310" s="45"/>
      <c r="W310" s="45"/>
      <c r="X310" s="45"/>
      <c r="Y310" s="45"/>
      <c r="Z310" s="51"/>
      <c r="AA310" s="53">
        <v>7</v>
      </c>
      <c r="AB310" s="45">
        <v>484.32999999999981</v>
      </c>
      <c r="AC310" s="45"/>
      <c r="AD310" s="45"/>
      <c r="AE310" s="45"/>
      <c r="AF310" s="45"/>
      <c r="AG310" s="45"/>
      <c r="AH310" s="51"/>
      <c r="AI310" s="53">
        <v>7</v>
      </c>
      <c r="AJ310" s="45">
        <v>484.08999999999969</v>
      </c>
      <c r="AK310" s="45"/>
      <c r="AL310" s="45"/>
      <c r="AM310" s="45"/>
      <c r="AN310" s="45"/>
      <c r="AO310" s="45"/>
      <c r="AP310" s="51"/>
    </row>
    <row r="311" spans="1:42" ht="21" customHeight="1" thickTop="1" thickBot="1" x14ac:dyDescent="0.35">
      <c r="A311" s="63"/>
      <c r="B311" s="66"/>
      <c r="C311" s="53">
        <v>8</v>
      </c>
      <c r="D311" s="45">
        <v>484.92999999999978</v>
      </c>
      <c r="E311" s="45"/>
      <c r="F311" s="45"/>
      <c r="G311" s="45"/>
      <c r="H311" s="45"/>
      <c r="I311" s="45"/>
      <c r="J311" s="51"/>
      <c r="K311" s="53">
        <v>8</v>
      </c>
      <c r="L311" s="45">
        <v>485.72999999999968</v>
      </c>
      <c r="M311" s="45"/>
      <c r="N311" s="45"/>
      <c r="O311" s="45"/>
      <c r="P311" s="45"/>
      <c r="Q311" s="45"/>
      <c r="R311" s="51"/>
      <c r="S311" s="53">
        <v>8</v>
      </c>
      <c r="T311" s="45">
        <v>484.0899999999998</v>
      </c>
      <c r="U311" s="45"/>
      <c r="V311" s="45"/>
      <c r="W311" s="45"/>
      <c r="X311" s="45"/>
      <c r="Y311" s="45"/>
      <c r="Z311" s="51"/>
      <c r="AA311" s="53">
        <v>8</v>
      </c>
      <c r="AB311" s="45">
        <v>484.93999999999983</v>
      </c>
      <c r="AC311" s="45"/>
      <c r="AD311" s="45"/>
      <c r="AE311" s="45"/>
      <c r="AF311" s="45"/>
      <c r="AG311" s="45"/>
      <c r="AH311" s="51"/>
      <c r="AI311" s="53">
        <v>8</v>
      </c>
      <c r="AJ311" s="45">
        <v>483.51999999999992</v>
      </c>
      <c r="AK311" s="45"/>
      <c r="AL311" s="45"/>
      <c r="AM311" s="45"/>
      <c r="AN311" s="45"/>
      <c r="AO311" s="45"/>
      <c r="AP311" s="51"/>
    </row>
    <row r="312" spans="1:42" ht="21" customHeight="1" thickTop="1" thickBot="1" x14ac:dyDescent="0.35">
      <c r="A312" s="63"/>
      <c r="B312" s="66"/>
      <c r="C312" s="53">
        <v>9</v>
      </c>
      <c r="D312" s="45">
        <v>485.46999999999969</v>
      </c>
      <c r="E312" s="45"/>
      <c r="F312" s="45"/>
      <c r="G312" s="45"/>
      <c r="H312" s="45"/>
      <c r="I312" s="45"/>
      <c r="J312" s="51"/>
      <c r="K312" s="53">
        <v>9</v>
      </c>
      <c r="L312" s="45">
        <v>484.85999999999979</v>
      </c>
      <c r="M312" s="45"/>
      <c r="N312" s="45"/>
      <c r="O312" s="45"/>
      <c r="P312" s="45"/>
      <c r="Q312" s="45"/>
      <c r="R312" s="51"/>
      <c r="S312" s="53">
        <v>9</v>
      </c>
      <c r="T312" s="45">
        <v>484.1599999999998</v>
      </c>
      <c r="U312" s="45"/>
      <c r="V312" s="45"/>
      <c r="W312" s="45"/>
      <c r="X312" s="45"/>
      <c r="Y312" s="45"/>
      <c r="Z312" s="51"/>
      <c r="AA312" s="53">
        <v>9</v>
      </c>
      <c r="AB312" s="45">
        <v>485.18999999999983</v>
      </c>
      <c r="AC312" s="45"/>
      <c r="AD312" s="45"/>
      <c r="AE312" s="45"/>
      <c r="AF312" s="45"/>
      <c r="AG312" s="45"/>
      <c r="AH312" s="51"/>
      <c r="AI312" s="53">
        <v>9</v>
      </c>
      <c r="AJ312" s="45">
        <v>483.70999999999981</v>
      </c>
      <c r="AK312" s="45"/>
      <c r="AL312" s="45"/>
      <c r="AM312" s="45"/>
      <c r="AN312" s="45"/>
      <c r="AO312" s="45"/>
      <c r="AP312" s="51"/>
    </row>
    <row r="313" spans="1:42" ht="21" customHeight="1" thickTop="1" thickBot="1" x14ac:dyDescent="0.35">
      <c r="A313" s="63"/>
      <c r="B313" s="66"/>
      <c r="C313" s="53">
        <v>10</v>
      </c>
      <c r="D313" s="45">
        <v>484.56999999999982</v>
      </c>
      <c r="E313" s="45"/>
      <c r="F313" s="45"/>
      <c r="G313" s="45"/>
      <c r="H313" s="45"/>
      <c r="I313" s="45"/>
      <c r="J313" s="51"/>
      <c r="K313" s="53">
        <v>10</v>
      </c>
      <c r="L313" s="45">
        <v>486.01999999999981</v>
      </c>
      <c r="M313" s="45"/>
      <c r="N313" s="45"/>
      <c r="O313" s="45"/>
      <c r="P313" s="45"/>
      <c r="Q313" s="45"/>
      <c r="R313" s="51"/>
      <c r="S313" s="53">
        <v>10</v>
      </c>
      <c r="T313" s="45">
        <v>485.31999999999982</v>
      </c>
      <c r="U313" s="45"/>
      <c r="V313" s="45"/>
      <c r="W313" s="45"/>
      <c r="X313" s="45"/>
      <c r="Y313" s="45"/>
      <c r="Z313" s="51"/>
      <c r="AA313" s="53">
        <v>10</v>
      </c>
      <c r="AB313" s="45">
        <v>485.49999999999977</v>
      </c>
      <c r="AC313" s="45"/>
      <c r="AD313" s="45"/>
      <c r="AE313" s="45"/>
      <c r="AF313" s="45"/>
      <c r="AG313" s="45"/>
      <c r="AH313" s="51"/>
      <c r="AI313" s="53">
        <v>10</v>
      </c>
      <c r="AJ313" s="45">
        <v>483.51999999999992</v>
      </c>
      <c r="AK313" s="45"/>
      <c r="AL313" s="45"/>
      <c r="AM313" s="45"/>
      <c r="AN313" s="45"/>
      <c r="AO313" s="45"/>
      <c r="AP313" s="51"/>
    </row>
    <row r="314" spans="1:42" ht="21" customHeight="1" thickTop="1" thickBot="1" x14ac:dyDescent="0.35">
      <c r="A314" s="63"/>
      <c r="B314" s="66"/>
      <c r="C314" s="53"/>
      <c r="D314" s="45"/>
      <c r="E314" s="45"/>
      <c r="F314" s="45"/>
      <c r="G314" s="45"/>
      <c r="H314" s="45"/>
      <c r="I314" s="45"/>
      <c r="J314" s="51"/>
      <c r="K314" s="53"/>
      <c r="L314" s="45"/>
      <c r="M314" s="45"/>
      <c r="N314" s="45"/>
      <c r="O314" s="45"/>
      <c r="P314" s="45"/>
      <c r="Q314" s="45"/>
      <c r="R314" s="51"/>
      <c r="S314" s="53"/>
      <c r="T314" s="45"/>
      <c r="U314" s="45"/>
      <c r="V314" s="45"/>
      <c r="W314" s="45"/>
      <c r="X314" s="45"/>
      <c r="Y314" s="45"/>
      <c r="Z314" s="51"/>
      <c r="AA314" s="53"/>
      <c r="AB314" s="45"/>
      <c r="AC314" s="45"/>
      <c r="AD314" s="45"/>
      <c r="AE314" s="45"/>
      <c r="AF314" s="45"/>
      <c r="AG314" s="45"/>
      <c r="AH314" s="51"/>
      <c r="AI314" s="53"/>
      <c r="AJ314" s="45"/>
      <c r="AK314" s="45"/>
      <c r="AL314" s="45"/>
      <c r="AM314" s="45"/>
      <c r="AN314" s="45"/>
      <c r="AO314" s="45"/>
      <c r="AP314" s="51"/>
    </row>
    <row r="315" spans="1:42" ht="21" customHeight="1" thickTop="1" thickBot="1" x14ac:dyDescent="0.35">
      <c r="A315" s="63"/>
      <c r="B315" s="66"/>
      <c r="C315" s="54" t="s">
        <v>16</v>
      </c>
      <c r="D315" s="49">
        <f>MIN(D304:D313)</f>
        <v>483.49999999999977</v>
      </c>
      <c r="E315" s="45"/>
      <c r="F315" s="55" t="s">
        <v>17</v>
      </c>
      <c r="G315" s="49" t="s">
        <v>18</v>
      </c>
      <c r="H315" s="49" t="s">
        <v>19</v>
      </c>
      <c r="I315" s="45"/>
      <c r="J315" s="51"/>
      <c r="K315" s="54" t="s">
        <v>16</v>
      </c>
      <c r="L315" s="49">
        <f>MIN(L304:L313)</f>
        <v>484.62999999999988</v>
      </c>
      <c r="M315" s="45"/>
      <c r="N315" s="55" t="s">
        <v>17</v>
      </c>
      <c r="O315" s="49" t="s">
        <v>18</v>
      </c>
      <c r="P315" s="49" t="s">
        <v>19</v>
      </c>
      <c r="Q315" s="45"/>
      <c r="R315" s="51"/>
      <c r="S315" s="54" t="s">
        <v>16</v>
      </c>
      <c r="T315" s="49">
        <f>MIN(T304:T313)</f>
        <v>483.85999999999979</v>
      </c>
      <c r="U315" s="45"/>
      <c r="V315" s="55" t="s">
        <v>17</v>
      </c>
      <c r="W315" s="49" t="s">
        <v>18</v>
      </c>
      <c r="X315" s="49" t="s">
        <v>19</v>
      </c>
      <c r="Y315" s="45"/>
      <c r="Z315" s="51"/>
      <c r="AA315" s="54" t="s">
        <v>16</v>
      </c>
      <c r="AB315" s="49">
        <f>MIN(AB304:AB313)</f>
        <v>484.24999999999977</v>
      </c>
      <c r="AC315" s="45"/>
      <c r="AD315" s="55" t="s">
        <v>17</v>
      </c>
      <c r="AE315" s="49" t="s">
        <v>18</v>
      </c>
      <c r="AF315" s="49" t="s">
        <v>19</v>
      </c>
      <c r="AG315" s="45"/>
      <c r="AH315" s="51"/>
      <c r="AI315" s="54" t="s">
        <v>16</v>
      </c>
      <c r="AJ315" s="49">
        <f>MIN(AJ304:AJ313)</f>
        <v>483.24999999999989</v>
      </c>
      <c r="AK315" s="45"/>
      <c r="AL315" s="55" t="s">
        <v>17</v>
      </c>
      <c r="AM315" s="49" t="s">
        <v>18</v>
      </c>
      <c r="AN315" s="49" t="s">
        <v>19</v>
      </c>
      <c r="AO315" s="45"/>
      <c r="AP315" s="51"/>
    </row>
    <row r="316" spans="1:42" ht="21" customHeight="1" thickTop="1" thickBot="1" x14ac:dyDescent="0.35">
      <c r="A316" s="63"/>
      <c r="B316" s="66"/>
      <c r="C316" s="54" t="s">
        <v>20</v>
      </c>
      <c r="D316" s="48">
        <f>AVERAGE(D304:D313)</f>
        <v>484.61399999999975</v>
      </c>
      <c r="E316" s="47"/>
      <c r="F316" s="48">
        <f>_xlfn.STDEV.S(D304:D313) / AVERAGE(D304:D313) * 100%</f>
        <v>1.2214482596484739E-3</v>
      </c>
      <c r="G316" s="48">
        <f t="array" ref="G316">MIN((D304:D313 - MIN(D304:D313,L304:L313,T304:T313,AB304:AB313,AJ304:AJ313))/MIN(D304:D313,L304:L313,T304:T313,AB304:AB313,AJ304:AJ313)*100%)</f>
        <v>5.1733057423670222E-4</v>
      </c>
      <c r="H316" s="48">
        <f t="array" ref="H316">AVERAGE((D304:D313 - MIN(D304:D313,L304:L313,T304:T313,AB304:AB313,AJ304:AJ313))/MIN(D304:D313,L304:L313,T304:T313,AB304:AB313,AJ304:AJ313)*100%)</f>
        <v>2.8225556130364693E-3</v>
      </c>
      <c r="I316" s="45"/>
      <c r="J316" s="51"/>
      <c r="K316" s="54" t="s">
        <v>20</v>
      </c>
      <c r="L316" s="48">
        <f>AVERAGE(L304:L313)</f>
        <v>485.40299999999968</v>
      </c>
      <c r="M316" s="47"/>
      <c r="N316" s="48">
        <f>_xlfn.STDEV.S(L304:L313) / AVERAGE(L304:L313) * 100%</f>
        <v>1.099689352285064E-3</v>
      </c>
      <c r="O316" s="48">
        <f t="array" ref="O316">MIN((L304:L313 - MIN(D304:D313,L304:L313,T304:T313,AB304:AB313,AJ304:AJ313))/MIN(D304:D313,L304:L313,T304:T313,AB304:AB313,AJ304:AJ313)*100%)</f>
        <v>2.8556647697878857E-3</v>
      </c>
      <c r="P316" s="48">
        <f t="array" ref="P316">AVERAGE((L304:L313 - MIN(D304:D313,L304:L313,T304:T313,AB304:AB313,AJ304:AJ313))/MIN(D304:D313,L304:L313,T304:T313,AB304:AB313,AJ304:AJ313)*100%)</f>
        <v>4.4552509053283236E-3</v>
      </c>
      <c r="Q316" s="44"/>
      <c r="R316" s="51"/>
      <c r="S316" s="54" t="s">
        <v>20</v>
      </c>
      <c r="T316" s="48">
        <f>AVERAGE(T304:T313)</f>
        <v>484.88099999999974</v>
      </c>
      <c r="U316" s="47"/>
      <c r="V316" s="48">
        <f>_xlfn.STDEV.S(T304:T313) / AVERAGE(T304:T313) * 100%</f>
        <v>1.9411889279772664E-3</v>
      </c>
      <c r="W316" s="48">
        <f t="array" ref="W316">MIN((T304:T313 - MIN(D304:D313,L304:L313,T304:T313,AB304:AB313,AJ304:AJ313))/MIN(D304:D313,L304:L313,T304:T313,AB304:AB313,AJ304:AJ313)*100%)</f>
        <v>1.2622866011379205E-3</v>
      </c>
      <c r="X316" s="48">
        <f t="array" ref="X316">AVERAGE((T304:T313 - MIN(D304:D313,L304:L313,T304:T313,AB304:AB313,AJ304:AJ313))/MIN(D304:D313,L304:L313,T304:T313,AB304:AB313,AJ304:AJ313)*100%)</f>
        <v>3.3750646663215692E-3</v>
      </c>
      <c r="Y316" s="44"/>
      <c r="Z316" s="51"/>
      <c r="AA316" s="54" t="s">
        <v>20</v>
      </c>
      <c r="AB316" s="48">
        <f>AVERAGE(AB304:AB313)</f>
        <v>484.90799999999979</v>
      </c>
      <c r="AC316" s="47"/>
      <c r="AD316" s="48">
        <f>_xlfn.STDEV.S(AB304:AB313) / AVERAGE(AB304:AB313) * 100%</f>
        <v>7.9096420180743655E-4</v>
      </c>
      <c r="AE316" s="48">
        <f t="array" ref="AE316">MIN((AB304:AB313 - MIN(D304:D313,L304:L313,T304:T313,AB304:AB313,AJ304:AJ313))/MIN(D304:D313,L304:L313,T304:T313,AB304:AB313,AJ304:AJ313)*100%)</f>
        <v>2.0693222969475149E-3</v>
      </c>
      <c r="AF316" s="48">
        <f t="array" ref="AF316">AVERAGE((AB304:AB313 - MIN(D304:D313,L304:L313,T304:T313,AB304:AB313,AJ304:AJ313))/MIN(D304:D313,L304:L313,T304:T313,AB304:AB313,AJ304:AJ313)*100%)</f>
        <v>3.4309363683391785E-3</v>
      </c>
      <c r="AG316" s="44"/>
      <c r="AH316" s="51"/>
      <c r="AI316" s="54" t="s">
        <v>20</v>
      </c>
      <c r="AJ316" s="48">
        <f>AVERAGE(AJ304:AJ313)</f>
        <v>483.89299999999974</v>
      </c>
      <c r="AK316" s="47"/>
      <c r="AL316" s="48">
        <f>_xlfn.STDEV.S(AJ304:AJ313) / AVERAGE(AJ304:AJ313) * 100%</f>
        <v>7.5805945746058011E-4</v>
      </c>
      <c r="AM316" s="48">
        <f t="array" ref="AM316">MIN((AJ304:AJ313 - MIN(D304:D313,L304:L313,T304:T313,AB304:AB313,AJ304:AJ313))/MIN(D304:D313,L304:L313,T304:T313,AB304:AB313,AJ304:AJ313)*100%)</f>
        <v>0</v>
      </c>
      <c r="AN316" s="48">
        <f t="array" ref="AN316">AVERAGE((AJ304:AJ313 - MIN(D304:D313,L304:L313,T304:T313,AB304:AB313,AJ304:AJ313))/MIN(D304:D313,L304:L313,T304:T313,AB304:AB313,AJ304:AJ313)*100%)</f>
        <v>1.3305742369373224E-3</v>
      </c>
      <c r="AO316" s="44"/>
      <c r="AP316" s="51"/>
    </row>
    <row r="317" spans="1:42" ht="21" customHeight="1" thickTop="1" thickBot="1" x14ac:dyDescent="0.35">
      <c r="A317" s="63"/>
      <c r="B317" s="67"/>
      <c r="C317" s="53"/>
      <c r="D317" s="44"/>
      <c r="E317" s="44"/>
      <c r="F317" s="44"/>
      <c r="G317" s="44"/>
      <c r="H317" s="44"/>
      <c r="I317" s="44"/>
      <c r="J317" s="51"/>
      <c r="K317" s="53"/>
      <c r="L317" s="44"/>
      <c r="M317" s="44"/>
      <c r="N317" s="44"/>
      <c r="O317" s="44"/>
      <c r="P317" s="44"/>
      <c r="Q317" s="44"/>
      <c r="R317" s="51"/>
      <c r="S317" s="53"/>
      <c r="T317" s="44"/>
      <c r="U317" s="44"/>
      <c r="V317" s="44"/>
      <c r="W317" s="44"/>
      <c r="X317" s="44"/>
      <c r="Y317" s="44"/>
      <c r="Z317" s="51"/>
      <c r="AA317" s="53"/>
      <c r="AB317" s="44"/>
      <c r="AC317" s="44"/>
      <c r="AD317" s="44"/>
      <c r="AE317" s="44"/>
      <c r="AF317" s="44"/>
      <c r="AG317" s="44"/>
      <c r="AH317" s="51"/>
      <c r="AI317" s="53"/>
      <c r="AJ317" s="44"/>
      <c r="AK317" s="44"/>
      <c r="AL317" s="44"/>
      <c r="AM317" s="44"/>
      <c r="AN317" s="44"/>
      <c r="AO317" s="44"/>
      <c r="AP317" s="51"/>
    </row>
    <row r="318" spans="1:42" ht="21" customHeight="1" thickTop="1" thickBot="1" x14ac:dyDescent="0.35">
      <c r="A318" s="63"/>
      <c r="B318" s="65" t="s">
        <v>127</v>
      </c>
      <c r="C318" s="59" t="s">
        <v>8</v>
      </c>
      <c r="D318" s="46" t="s">
        <v>9</v>
      </c>
      <c r="E318" s="46" t="s">
        <v>10</v>
      </c>
      <c r="F318" s="46" t="s">
        <v>11</v>
      </c>
      <c r="G318" s="46" t="s">
        <v>12</v>
      </c>
      <c r="H318" s="46" t="s">
        <v>13</v>
      </c>
      <c r="I318" s="46" t="s">
        <v>14</v>
      </c>
      <c r="J318" s="60" t="s">
        <v>15</v>
      </c>
      <c r="K318" s="59" t="s">
        <v>8</v>
      </c>
      <c r="L318" s="46" t="s">
        <v>9</v>
      </c>
      <c r="M318" s="46" t="s">
        <v>10</v>
      </c>
      <c r="N318" s="46" t="s">
        <v>11</v>
      </c>
      <c r="O318" s="46" t="s">
        <v>12</v>
      </c>
      <c r="P318" s="46" t="s">
        <v>13</v>
      </c>
      <c r="Q318" s="46" t="s">
        <v>14</v>
      </c>
      <c r="R318" s="60" t="s">
        <v>15</v>
      </c>
      <c r="S318" s="59" t="s">
        <v>8</v>
      </c>
      <c r="T318" s="46" t="s">
        <v>9</v>
      </c>
      <c r="U318" s="46" t="s">
        <v>10</v>
      </c>
      <c r="V318" s="46" t="s">
        <v>11</v>
      </c>
      <c r="W318" s="46" t="s">
        <v>12</v>
      </c>
      <c r="X318" s="46" t="s">
        <v>13</v>
      </c>
      <c r="Y318" s="46" t="s">
        <v>14</v>
      </c>
      <c r="Z318" s="60" t="s">
        <v>15</v>
      </c>
      <c r="AA318" s="59" t="s">
        <v>8</v>
      </c>
      <c r="AB318" s="46" t="s">
        <v>9</v>
      </c>
      <c r="AC318" s="46" t="s">
        <v>10</v>
      </c>
      <c r="AD318" s="46" t="s">
        <v>11</v>
      </c>
      <c r="AE318" s="46" t="s">
        <v>12</v>
      </c>
      <c r="AF318" s="46" t="s">
        <v>13</v>
      </c>
      <c r="AG318" s="46" t="s">
        <v>14</v>
      </c>
      <c r="AH318" s="60" t="s">
        <v>15</v>
      </c>
      <c r="AI318" s="59" t="s">
        <v>8</v>
      </c>
      <c r="AJ318" s="46" t="s">
        <v>9</v>
      </c>
      <c r="AK318" s="46" t="s">
        <v>10</v>
      </c>
      <c r="AL318" s="46" t="s">
        <v>11</v>
      </c>
      <c r="AM318" s="46" t="s">
        <v>12</v>
      </c>
      <c r="AN318" s="46" t="s">
        <v>13</v>
      </c>
      <c r="AO318" s="46" t="s">
        <v>14</v>
      </c>
      <c r="AP318" s="60" t="s">
        <v>15</v>
      </c>
    </row>
    <row r="319" spans="1:42" ht="21" customHeight="1" thickTop="1" thickBot="1" x14ac:dyDescent="0.35">
      <c r="A319" s="63"/>
      <c r="B319" s="66"/>
      <c r="C319" s="52">
        <v>1</v>
      </c>
      <c r="D319" s="44">
        <v>521.1999999999997</v>
      </c>
      <c r="E319" s="44"/>
      <c r="F319" s="44"/>
      <c r="G319" s="44"/>
      <c r="H319" s="44"/>
      <c r="I319" s="44"/>
      <c r="J319" s="51"/>
      <c r="K319" s="52">
        <v>1</v>
      </c>
      <c r="L319" s="44">
        <v>522.70999999999981</v>
      </c>
      <c r="M319" s="44"/>
      <c r="N319" s="44"/>
      <c r="O319" s="44"/>
      <c r="P319" s="44"/>
      <c r="Q319" s="44"/>
      <c r="R319" s="51"/>
      <c r="S319" s="52">
        <v>1</v>
      </c>
      <c r="T319" s="44">
        <v>523.19999999999993</v>
      </c>
      <c r="U319" s="44"/>
      <c r="V319" s="44"/>
      <c r="W319" s="44"/>
      <c r="X319" s="44"/>
      <c r="Y319" s="44"/>
      <c r="Z319" s="51"/>
      <c r="AA319" s="52">
        <v>1</v>
      </c>
      <c r="AB319" s="44">
        <v>521.39999999999975</v>
      </c>
      <c r="AC319" s="44"/>
      <c r="AD319" s="44"/>
      <c r="AE319" s="44"/>
      <c r="AF319" s="44"/>
      <c r="AG319" s="44"/>
      <c r="AH319" s="51"/>
      <c r="AI319" s="52">
        <v>1</v>
      </c>
      <c r="AJ319" s="44">
        <v>521.72999999999979</v>
      </c>
      <c r="AK319" s="44"/>
      <c r="AL319" s="44"/>
      <c r="AM319" s="44"/>
      <c r="AN319" s="44"/>
      <c r="AO319" s="44"/>
      <c r="AP319" s="51"/>
    </row>
    <row r="320" spans="1:42" ht="21" customHeight="1" thickTop="1" thickBot="1" x14ac:dyDescent="0.35">
      <c r="A320" s="63"/>
      <c r="B320" s="66"/>
      <c r="C320" s="53">
        <v>2</v>
      </c>
      <c r="D320" s="45">
        <v>521.9699999999998</v>
      </c>
      <c r="E320" s="45"/>
      <c r="F320" s="45"/>
      <c r="G320" s="45"/>
      <c r="H320" s="45"/>
      <c r="I320" s="45"/>
      <c r="J320" s="51"/>
      <c r="K320" s="53">
        <v>2</v>
      </c>
      <c r="L320" s="45">
        <v>522.6099999999999</v>
      </c>
      <c r="M320" s="45"/>
      <c r="N320" s="45"/>
      <c r="O320" s="45"/>
      <c r="P320" s="45"/>
      <c r="Q320" s="45"/>
      <c r="R320" s="51"/>
      <c r="S320" s="53">
        <v>2</v>
      </c>
      <c r="T320" s="45">
        <v>521.78999999999985</v>
      </c>
      <c r="U320" s="45"/>
      <c r="V320" s="45"/>
      <c r="W320" s="45"/>
      <c r="X320" s="45"/>
      <c r="Y320" s="45"/>
      <c r="Z320" s="51"/>
      <c r="AA320" s="53">
        <v>2</v>
      </c>
      <c r="AB320" s="45">
        <v>523.18999999999983</v>
      </c>
      <c r="AC320" s="45"/>
      <c r="AD320" s="45"/>
      <c r="AE320" s="45"/>
      <c r="AF320" s="45"/>
      <c r="AG320" s="45"/>
      <c r="AH320" s="51"/>
      <c r="AI320" s="53">
        <v>2</v>
      </c>
      <c r="AJ320" s="45">
        <v>522.55999999999983</v>
      </c>
      <c r="AK320" s="45"/>
      <c r="AL320" s="45"/>
      <c r="AM320" s="45"/>
      <c r="AN320" s="45"/>
      <c r="AO320" s="45"/>
      <c r="AP320" s="51"/>
    </row>
    <row r="321" spans="1:42" ht="21" customHeight="1" thickTop="1" thickBot="1" x14ac:dyDescent="0.35">
      <c r="A321" s="63"/>
      <c r="B321" s="66"/>
      <c r="C321" s="53">
        <v>3</v>
      </c>
      <c r="D321" s="45">
        <v>522.06999999999971</v>
      </c>
      <c r="E321" s="45"/>
      <c r="F321" s="45"/>
      <c r="G321" s="44"/>
      <c r="H321" s="44"/>
      <c r="I321" s="44"/>
      <c r="J321" s="51"/>
      <c r="K321" s="53">
        <v>3</v>
      </c>
      <c r="L321" s="45">
        <v>523.67999999999961</v>
      </c>
      <c r="M321" s="45"/>
      <c r="N321" s="45"/>
      <c r="O321" s="44"/>
      <c r="P321" s="44"/>
      <c r="Q321" s="44"/>
      <c r="R321" s="51"/>
      <c r="S321" s="53">
        <v>3</v>
      </c>
      <c r="T321" s="45">
        <v>522.19999999999982</v>
      </c>
      <c r="U321" s="45"/>
      <c r="V321" s="45"/>
      <c r="W321" s="44"/>
      <c r="X321" s="44"/>
      <c r="Y321" s="44"/>
      <c r="Z321" s="51"/>
      <c r="AA321" s="53">
        <v>3</v>
      </c>
      <c r="AB321" s="45">
        <v>522.06999999999982</v>
      </c>
      <c r="AC321" s="45"/>
      <c r="AD321" s="45"/>
      <c r="AE321" s="44"/>
      <c r="AF321" s="44"/>
      <c r="AG321" s="44"/>
      <c r="AH321" s="51"/>
      <c r="AI321" s="53">
        <v>3</v>
      </c>
      <c r="AJ321" s="45">
        <v>522.88999999999987</v>
      </c>
      <c r="AK321" s="45"/>
      <c r="AL321" s="45"/>
      <c r="AM321" s="44"/>
      <c r="AN321" s="44"/>
      <c r="AO321" s="44"/>
      <c r="AP321" s="51"/>
    </row>
    <row r="322" spans="1:42" ht="21" customHeight="1" thickTop="1" thickBot="1" x14ac:dyDescent="0.35">
      <c r="A322" s="63"/>
      <c r="B322" s="66"/>
      <c r="C322" s="53">
        <v>4</v>
      </c>
      <c r="D322" s="45">
        <v>522.5899999999998</v>
      </c>
      <c r="E322" s="45"/>
      <c r="F322" s="45"/>
      <c r="G322" s="45"/>
      <c r="H322" s="45"/>
      <c r="I322" s="45"/>
      <c r="J322" s="51"/>
      <c r="K322" s="53">
        <v>4</v>
      </c>
      <c r="L322" s="45">
        <v>523.00999999999976</v>
      </c>
      <c r="M322" s="45"/>
      <c r="N322" s="45"/>
      <c r="O322" s="45"/>
      <c r="P322" s="45"/>
      <c r="Q322" s="45"/>
      <c r="R322" s="51"/>
      <c r="S322" s="53">
        <v>4</v>
      </c>
      <c r="T322" s="45">
        <v>521.95999999999981</v>
      </c>
      <c r="U322" s="45"/>
      <c r="V322" s="45"/>
      <c r="W322" s="45"/>
      <c r="X322" s="45"/>
      <c r="Y322" s="45"/>
      <c r="Z322" s="51"/>
      <c r="AA322" s="53">
        <v>4</v>
      </c>
      <c r="AB322" s="45">
        <v>524.73999999999978</v>
      </c>
      <c r="AC322" s="45"/>
      <c r="AD322" s="45"/>
      <c r="AE322" s="45"/>
      <c r="AF322" s="45"/>
      <c r="AG322" s="45"/>
      <c r="AH322" s="51"/>
      <c r="AI322" s="53">
        <v>4</v>
      </c>
      <c r="AJ322" s="45">
        <v>521.62999999999988</v>
      </c>
      <c r="AK322" s="45"/>
      <c r="AL322" s="45"/>
      <c r="AM322" s="45"/>
      <c r="AN322" s="45"/>
      <c r="AO322" s="45"/>
      <c r="AP322" s="51"/>
    </row>
    <row r="323" spans="1:42" ht="21" customHeight="1" thickTop="1" thickBot="1" x14ac:dyDescent="0.35">
      <c r="A323" s="63"/>
      <c r="B323" s="66"/>
      <c r="C323" s="53">
        <v>5</v>
      </c>
      <c r="D323" s="45">
        <v>521.13999999999976</v>
      </c>
      <c r="E323" s="45"/>
      <c r="F323" s="45"/>
      <c r="G323" s="45"/>
      <c r="H323" s="45"/>
      <c r="I323" s="45"/>
      <c r="J323" s="51"/>
      <c r="K323" s="53">
        <v>5</v>
      </c>
      <c r="L323" s="45">
        <v>522.7199999999998</v>
      </c>
      <c r="M323" s="45"/>
      <c r="N323" s="45"/>
      <c r="O323" s="45"/>
      <c r="P323" s="45"/>
      <c r="Q323" s="45"/>
      <c r="R323" s="51"/>
      <c r="S323" s="53">
        <v>5</v>
      </c>
      <c r="T323" s="45">
        <v>522.39999999999986</v>
      </c>
      <c r="U323" s="45"/>
      <c r="V323" s="45"/>
      <c r="W323" s="45"/>
      <c r="X323" s="45"/>
      <c r="Y323" s="45"/>
      <c r="Z323" s="51"/>
      <c r="AA323" s="53">
        <v>5</v>
      </c>
      <c r="AB323" s="45">
        <v>521.86999999999966</v>
      </c>
      <c r="AC323" s="45"/>
      <c r="AD323" s="45"/>
      <c r="AE323" s="45"/>
      <c r="AF323" s="45"/>
      <c r="AG323" s="45"/>
      <c r="AH323" s="51"/>
      <c r="AI323" s="53">
        <v>5</v>
      </c>
      <c r="AJ323" s="45">
        <v>522.79999999999984</v>
      </c>
      <c r="AK323" s="45"/>
      <c r="AL323" s="45"/>
      <c r="AM323" s="45"/>
      <c r="AN323" s="45"/>
      <c r="AO323" s="45"/>
      <c r="AP323" s="51"/>
    </row>
    <row r="324" spans="1:42" ht="21" customHeight="1" thickTop="1" thickBot="1" x14ac:dyDescent="0.35">
      <c r="A324" s="63"/>
      <c r="B324" s="66"/>
      <c r="C324" s="53">
        <v>6</v>
      </c>
      <c r="D324" s="45">
        <v>522.02999999999986</v>
      </c>
      <c r="E324" s="45"/>
      <c r="F324" s="45"/>
      <c r="G324" s="45"/>
      <c r="H324" s="45"/>
      <c r="I324" s="45"/>
      <c r="J324" s="51"/>
      <c r="K324" s="53">
        <v>6</v>
      </c>
      <c r="L324" s="45">
        <v>522.94999999999982</v>
      </c>
      <c r="M324" s="45"/>
      <c r="N324" s="45"/>
      <c r="O324" s="45"/>
      <c r="P324" s="45"/>
      <c r="Q324" s="45"/>
      <c r="R324" s="51"/>
      <c r="S324" s="53">
        <v>6</v>
      </c>
      <c r="T324" s="45">
        <v>522.33999999999969</v>
      </c>
      <c r="U324" s="45"/>
      <c r="V324" s="45"/>
      <c r="W324" s="45"/>
      <c r="X324" s="45"/>
      <c r="Y324" s="45"/>
      <c r="Z324" s="51"/>
      <c r="AA324" s="53">
        <v>6</v>
      </c>
      <c r="AB324" s="45">
        <v>521.77999999999975</v>
      </c>
      <c r="AC324" s="45"/>
      <c r="AD324" s="45"/>
      <c r="AE324" s="45"/>
      <c r="AF324" s="45"/>
      <c r="AG324" s="45"/>
      <c r="AH324" s="51"/>
      <c r="AI324" s="53">
        <v>6</v>
      </c>
      <c r="AJ324" s="45">
        <v>522.5899999999998</v>
      </c>
      <c r="AK324" s="45"/>
      <c r="AL324" s="45"/>
      <c r="AM324" s="45"/>
      <c r="AN324" s="45"/>
      <c r="AO324" s="45"/>
      <c r="AP324" s="51"/>
    </row>
    <row r="325" spans="1:42" ht="21" customHeight="1" thickTop="1" thickBot="1" x14ac:dyDescent="0.35">
      <c r="A325" s="63"/>
      <c r="B325" s="66"/>
      <c r="C325" s="53">
        <v>7</v>
      </c>
      <c r="D325" s="45">
        <v>522.58999999999969</v>
      </c>
      <c r="E325" s="45"/>
      <c r="F325" s="45"/>
      <c r="G325" s="45"/>
      <c r="H325" s="45"/>
      <c r="I325" s="45"/>
      <c r="J325" s="51"/>
      <c r="K325" s="53">
        <v>7</v>
      </c>
      <c r="L325" s="45">
        <v>523.36999999999978</v>
      </c>
      <c r="M325" s="45"/>
      <c r="N325" s="45"/>
      <c r="O325" s="45"/>
      <c r="P325" s="45"/>
      <c r="Q325" s="45"/>
      <c r="R325" s="51"/>
      <c r="S325" s="53">
        <v>7</v>
      </c>
      <c r="T325" s="45">
        <v>521.78999999999985</v>
      </c>
      <c r="U325" s="45"/>
      <c r="V325" s="45"/>
      <c r="W325" s="45"/>
      <c r="X325" s="45"/>
      <c r="Y325" s="45"/>
      <c r="Z325" s="51"/>
      <c r="AA325" s="53">
        <v>7</v>
      </c>
      <c r="AB325" s="45">
        <v>522.72999999999979</v>
      </c>
      <c r="AC325" s="45"/>
      <c r="AD325" s="45"/>
      <c r="AE325" s="45"/>
      <c r="AF325" s="45"/>
      <c r="AG325" s="45"/>
      <c r="AH325" s="51"/>
      <c r="AI325" s="53">
        <v>7</v>
      </c>
      <c r="AJ325" s="45">
        <v>522.49999999999977</v>
      </c>
      <c r="AK325" s="45"/>
      <c r="AL325" s="45"/>
      <c r="AM325" s="45"/>
      <c r="AN325" s="45"/>
      <c r="AO325" s="45"/>
      <c r="AP325" s="51"/>
    </row>
    <row r="326" spans="1:42" ht="21" customHeight="1" thickTop="1" thickBot="1" x14ac:dyDescent="0.35">
      <c r="A326" s="63"/>
      <c r="B326" s="66"/>
      <c r="C326" s="53">
        <v>8</v>
      </c>
      <c r="D326" s="45">
        <v>521.72999999999979</v>
      </c>
      <c r="E326" s="45"/>
      <c r="F326" s="45"/>
      <c r="G326" s="45"/>
      <c r="H326" s="45"/>
      <c r="I326" s="45"/>
      <c r="J326" s="51"/>
      <c r="K326" s="53">
        <v>8</v>
      </c>
      <c r="L326" s="45">
        <v>523.72999999999979</v>
      </c>
      <c r="M326" s="45"/>
      <c r="N326" s="45"/>
      <c r="O326" s="45"/>
      <c r="P326" s="45"/>
      <c r="Q326" s="45"/>
      <c r="R326" s="51"/>
      <c r="S326" s="53">
        <v>8</v>
      </c>
      <c r="T326" s="45">
        <v>522.58999999999969</v>
      </c>
      <c r="U326" s="45"/>
      <c r="V326" s="45"/>
      <c r="W326" s="45"/>
      <c r="X326" s="45"/>
      <c r="Y326" s="45"/>
      <c r="Z326" s="51"/>
      <c r="AA326" s="53">
        <v>8</v>
      </c>
      <c r="AB326" s="45">
        <v>524.03999999999974</v>
      </c>
      <c r="AC326" s="45"/>
      <c r="AD326" s="45"/>
      <c r="AE326" s="45"/>
      <c r="AF326" s="45"/>
      <c r="AG326" s="45"/>
      <c r="AH326" s="51"/>
      <c r="AI326" s="53">
        <v>8</v>
      </c>
      <c r="AJ326" s="45">
        <v>521.73999999999978</v>
      </c>
      <c r="AK326" s="45"/>
      <c r="AL326" s="45"/>
      <c r="AM326" s="45"/>
      <c r="AN326" s="45"/>
      <c r="AO326" s="45"/>
      <c r="AP326" s="51"/>
    </row>
    <row r="327" spans="1:42" ht="21" customHeight="1" thickTop="1" thickBot="1" x14ac:dyDescent="0.35">
      <c r="A327" s="63"/>
      <c r="B327" s="66"/>
      <c r="C327" s="53">
        <v>9</v>
      </c>
      <c r="D327" s="45">
        <v>521.82999999999981</v>
      </c>
      <c r="E327" s="45"/>
      <c r="F327" s="45"/>
      <c r="G327" s="45"/>
      <c r="H327" s="45"/>
      <c r="I327" s="45"/>
      <c r="J327" s="51"/>
      <c r="K327" s="53">
        <v>9</v>
      </c>
      <c r="L327" s="45">
        <v>522.36999999999989</v>
      </c>
      <c r="M327" s="45"/>
      <c r="N327" s="45"/>
      <c r="O327" s="45"/>
      <c r="P327" s="45"/>
      <c r="Q327" s="45"/>
      <c r="R327" s="51"/>
      <c r="S327" s="53">
        <v>9</v>
      </c>
      <c r="T327" s="45">
        <v>524.77999999999975</v>
      </c>
      <c r="U327" s="45"/>
      <c r="V327" s="45"/>
      <c r="W327" s="45"/>
      <c r="X327" s="45"/>
      <c r="Y327" s="45"/>
      <c r="Z327" s="51"/>
      <c r="AA327" s="53">
        <v>9</v>
      </c>
      <c r="AB327" s="45">
        <v>521.49999999999977</v>
      </c>
      <c r="AC327" s="45"/>
      <c r="AD327" s="45"/>
      <c r="AE327" s="45"/>
      <c r="AF327" s="45"/>
      <c r="AG327" s="45"/>
      <c r="AH327" s="51"/>
      <c r="AI327" s="53">
        <v>9</v>
      </c>
      <c r="AJ327" s="45">
        <v>522.56999999999982</v>
      </c>
      <c r="AK327" s="45"/>
      <c r="AL327" s="45"/>
      <c r="AM327" s="45"/>
      <c r="AN327" s="45"/>
      <c r="AO327" s="45"/>
      <c r="AP327" s="51"/>
    </row>
    <row r="328" spans="1:42" ht="21" customHeight="1" thickTop="1" thickBot="1" x14ac:dyDescent="0.35">
      <c r="A328" s="63"/>
      <c r="B328" s="66"/>
      <c r="C328" s="53">
        <v>10</v>
      </c>
      <c r="D328" s="45">
        <v>522.27999999999975</v>
      </c>
      <c r="E328" s="45"/>
      <c r="F328" s="45"/>
      <c r="G328" s="45"/>
      <c r="H328" s="45"/>
      <c r="I328" s="45"/>
      <c r="J328" s="51"/>
      <c r="K328" s="53">
        <v>10</v>
      </c>
      <c r="L328" s="45">
        <v>522.38999999999987</v>
      </c>
      <c r="M328" s="45"/>
      <c r="N328" s="45"/>
      <c r="O328" s="45"/>
      <c r="P328" s="45"/>
      <c r="Q328" s="45"/>
      <c r="R328" s="51"/>
      <c r="S328" s="53">
        <v>10</v>
      </c>
      <c r="T328" s="45">
        <v>521.49999999999977</v>
      </c>
      <c r="U328" s="45"/>
      <c r="V328" s="45"/>
      <c r="W328" s="45"/>
      <c r="X328" s="45"/>
      <c r="Y328" s="45"/>
      <c r="Z328" s="51"/>
      <c r="AA328" s="53">
        <v>10</v>
      </c>
      <c r="AB328" s="45">
        <v>521.84999999999968</v>
      </c>
      <c r="AC328" s="45"/>
      <c r="AD328" s="45"/>
      <c r="AE328" s="45"/>
      <c r="AF328" s="45"/>
      <c r="AG328" s="45"/>
      <c r="AH328" s="51"/>
      <c r="AI328" s="53">
        <v>10</v>
      </c>
      <c r="AJ328" s="45">
        <v>522.49999999999977</v>
      </c>
      <c r="AK328" s="45"/>
      <c r="AL328" s="45"/>
      <c r="AM328" s="45"/>
      <c r="AN328" s="45"/>
      <c r="AO328" s="45"/>
      <c r="AP328" s="51"/>
    </row>
    <row r="329" spans="1:42" ht="21" customHeight="1" thickTop="1" thickBot="1" x14ac:dyDescent="0.35">
      <c r="A329" s="63"/>
      <c r="B329" s="66"/>
      <c r="C329" s="53"/>
      <c r="D329" s="45"/>
      <c r="E329" s="45"/>
      <c r="F329" s="45"/>
      <c r="G329" s="45"/>
      <c r="H329" s="45"/>
      <c r="I329" s="45"/>
      <c r="J329" s="51"/>
      <c r="K329" s="53"/>
      <c r="L329" s="45"/>
      <c r="M329" s="45"/>
      <c r="N329" s="45"/>
      <c r="O329" s="45"/>
      <c r="P329" s="45"/>
      <c r="Q329" s="45"/>
      <c r="R329" s="51"/>
      <c r="S329" s="53"/>
      <c r="T329" s="45"/>
      <c r="U329" s="45"/>
      <c r="V329" s="45"/>
      <c r="W329" s="45"/>
      <c r="X329" s="45"/>
      <c r="Y329" s="45"/>
      <c r="Z329" s="51"/>
      <c r="AA329" s="53"/>
      <c r="AB329" s="45"/>
      <c r="AC329" s="45"/>
      <c r="AD329" s="45"/>
      <c r="AE329" s="45"/>
      <c r="AF329" s="45"/>
      <c r="AG329" s="45"/>
      <c r="AH329" s="51"/>
      <c r="AI329" s="53"/>
      <c r="AJ329" s="45"/>
      <c r="AK329" s="45"/>
      <c r="AL329" s="45"/>
      <c r="AM329" s="45"/>
      <c r="AN329" s="45"/>
      <c r="AO329" s="45"/>
      <c r="AP329" s="51"/>
    </row>
    <row r="330" spans="1:42" ht="21" customHeight="1" thickTop="1" thickBot="1" x14ac:dyDescent="0.35">
      <c r="A330" s="63"/>
      <c r="B330" s="66"/>
      <c r="C330" s="54" t="s">
        <v>16</v>
      </c>
      <c r="D330" s="49">
        <f>MIN(D319:D328)</f>
        <v>521.13999999999976</v>
      </c>
      <c r="E330" s="45"/>
      <c r="F330" s="55" t="s">
        <v>17</v>
      </c>
      <c r="G330" s="49" t="s">
        <v>18</v>
      </c>
      <c r="H330" s="49" t="s">
        <v>19</v>
      </c>
      <c r="I330" s="45"/>
      <c r="J330" s="51"/>
      <c r="K330" s="54" t="s">
        <v>16</v>
      </c>
      <c r="L330" s="49">
        <f>MIN(L319:L328)</f>
        <v>522.36999999999989</v>
      </c>
      <c r="M330" s="45"/>
      <c r="N330" s="55" t="s">
        <v>17</v>
      </c>
      <c r="O330" s="49" t="s">
        <v>18</v>
      </c>
      <c r="P330" s="49" t="s">
        <v>19</v>
      </c>
      <c r="Q330" s="45"/>
      <c r="R330" s="51"/>
      <c r="S330" s="54" t="s">
        <v>16</v>
      </c>
      <c r="T330" s="49">
        <f>MIN(T319:T328)</f>
        <v>521.49999999999977</v>
      </c>
      <c r="U330" s="45"/>
      <c r="V330" s="55" t="s">
        <v>17</v>
      </c>
      <c r="W330" s="49" t="s">
        <v>18</v>
      </c>
      <c r="X330" s="49" t="s">
        <v>19</v>
      </c>
      <c r="Y330" s="45"/>
      <c r="Z330" s="51"/>
      <c r="AA330" s="54" t="s">
        <v>16</v>
      </c>
      <c r="AB330" s="49">
        <f>MIN(AB319:AB328)</f>
        <v>521.39999999999975</v>
      </c>
      <c r="AC330" s="45"/>
      <c r="AD330" s="55" t="s">
        <v>17</v>
      </c>
      <c r="AE330" s="49" t="s">
        <v>18</v>
      </c>
      <c r="AF330" s="49" t="s">
        <v>19</v>
      </c>
      <c r="AG330" s="45"/>
      <c r="AH330" s="51"/>
      <c r="AI330" s="54" t="s">
        <v>16</v>
      </c>
      <c r="AJ330" s="49">
        <f>MIN(AJ319:AJ328)</f>
        <v>521.62999999999988</v>
      </c>
      <c r="AK330" s="45"/>
      <c r="AL330" s="55" t="s">
        <v>17</v>
      </c>
      <c r="AM330" s="49" t="s">
        <v>18</v>
      </c>
      <c r="AN330" s="49" t="s">
        <v>19</v>
      </c>
      <c r="AO330" s="45"/>
      <c r="AP330" s="51"/>
    </row>
    <row r="331" spans="1:42" ht="21" customHeight="1" thickTop="1" thickBot="1" x14ac:dyDescent="0.35">
      <c r="A331" s="63"/>
      <c r="B331" s="66"/>
      <c r="C331" s="54" t="s">
        <v>20</v>
      </c>
      <c r="D331" s="48">
        <f>AVERAGE(D319:D328)</f>
        <v>521.94299999999976</v>
      </c>
      <c r="E331" s="47"/>
      <c r="F331" s="48">
        <f>_xlfn.STDEV.S(D319:D328) / AVERAGE(D319:D328) * 100%</f>
        <v>9.5373681535608794E-4</v>
      </c>
      <c r="G331" s="48">
        <f t="array" ref="G331">MIN((D319:D328 - MIN(D319:D328,L319:L328,T319:T328,AB319:AB328,AJ319:AJ328))/MIN(D319:D328,L319:L328,T319:T328,AB319:AB328,AJ319:AJ328)*100%)</f>
        <v>0</v>
      </c>
      <c r="H331" s="48">
        <f t="array" ref="H331">AVERAGE((D319:D328 - MIN(D319:D328,L319:L328,T319:T328,AB319:AB328,AJ319:AJ328))/MIN(D319:D328,L319:L328,T319:T328,AB319:AB328,AJ319:AJ328)*100%)</f>
        <v>1.5408527459032295E-3</v>
      </c>
      <c r="I331" s="45"/>
      <c r="J331" s="51"/>
      <c r="K331" s="54" t="s">
        <v>20</v>
      </c>
      <c r="L331" s="48">
        <f>AVERAGE(L319:L328)</f>
        <v>522.95399999999995</v>
      </c>
      <c r="M331" s="47"/>
      <c r="N331" s="48">
        <f>_xlfn.STDEV.S(L319:L328) / AVERAGE(L319:L328) * 100%</f>
        <v>9.4483071781940973E-4</v>
      </c>
      <c r="O331" s="48">
        <f t="array" ref="O331">MIN((L319:L328 - MIN(D319:D328,L319:L328,T319:T328,AB319:AB328,AJ319:AJ328))/MIN(D319:D328,L319:L328,T319:T328,AB319:AB328,AJ319:AJ328)*100%)</f>
        <v>2.3602103081708033E-3</v>
      </c>
      <c r="P331" s="48">
        <f t="array" ref="P331">AVERAGE((L319:L328 - MIN(D319:D328,L319:L328,T319:T328,AB319:AB328,AJ319:AJ328))/MIN(D319:D328,L319:L328,T319:T328,AB319:AB328,AJ319:AJ328)*100%)</f>
        <v>3.4808304870093355E-3</v>
      </c>
      <c r="Q331" s="44"/>
      <c r="R331" s="51"/>
      <c r="S331" s="54" t="s">
        <v>20</v>
      </c>
      <c r="T331" s="48">
        <f>AVERAGE(T319:T328)</f>
        <v>522.45499999999981</v>
      </c>
      <c r="U331" s="47"/>
      <c r="V331" s="48">
        <f>_xlfn.STDEV.S(T319:T328) / AVERAGE(T319:T328) * 100%</f>
        <v>1.8160031357361064E-3</v>
      </c>
      <c r="W331" s="48">
        <f t="array" ref="W331">MIN((T319:T328 - MIN(D319:D328,L319:L328,T319:T328,AB319:AB328,AJ319:AJ328))/MIN(D319:D328,L319:L328,T319:T328,AB319:AB328,AJ319:AJ328)*100%)</f>
        <v>6.9079326092799209E-4</v>
      </c>
      <c r="X331" s="48">
        <f t="array" ref="X331">AVERAGE((T319:T328 - MIN(D319:D328,L319:L328,T319:T328,AB319:AB328,AJ319:AJ328))/MIN(D319:D328,L319:L328,T319:T328,AB319:AB328,AJ319:AJ328)*100%)</f>
        <v>2.5233142725564028E-3</v>
      </c>
      <c r="Y331" s="44"/>
      <c r="Z331" s="51"/>
      <c r="AA331" s="54" t="s">
        <v>20</v>
      </c>
      <c r="AB331" s="48">
        <f>AVERAGE(AB319:AB328)</f>
        <v>522.51699999999971</v>
      </c>
      <c r="AC331" s="47"/>
      <c r="AD331" s="48">
        <f>_xlfn.STDEV.S(AB319:AB328) / AVERAGE(AB319:AB328) * 100%</f>
        <v>2.1772293891902579E-3</v>
      </c>
      <c r="AE331" s="48">
        <f t="array" ref="AE331">MIN((AB319:AB328 - MIN(D319:D328,L319:L328,T319:T328,AB319:AB328,AJ319:AJ328))/MIN(D319:D328,L319:L328,T319:T328,AB319:AB328,AJ319:AJ328)*100%)</f>
        <v>4.9890624400351349E-4</v>
      </c>
      <c r="AF331" s="48">
        <f t="array" ref="AF331">AVERAGE((AB319:AB328 - MIN(D319:D328,L319:L328,T319:T328,AB319:AB328,AJ319:AJ328))/MIN(D319:D328,L319:L328,T319:T328,AB319:AB328,AJ319:AJ328)*100%)</f>
        <v>2.6422842230494669E-3</v>
      </c>
      <c r="AG331" s="44"/>
      <c r="AH331" s="51"/>
      <c r="AI331" s="54" t="s">
        <v>20</v>
      </c>
      <c r="AJ331" s="48">
        <f>AVERAGE(AJ319:AJ328)</f>
        <v>522.35099999999989</v>
      </c>
      <c r="AK331" s="47"/>
      <c r="AL331" s="48">
        <f>_xlfn.STDEV.S(AJ319:AJ328) / AVERAGE(AJ319:AJ328) * 100%</f>
        <v>8.9432836863142281E-4</v>
      </c>
      <c r="AM331" s="48">
        <f t="array" ref="AM331">MIN((AJ319:AJ328 - MIN(D319:D328,L319:L328,T319:T328,AB319:AB328,AJ319:AJ328))/MIN(D319:D328,L319:L328,T319:T328,AB319:AB328,AJ319:AJ328)*100%)</f>
        <v>9.4024638292996697E-4</v>
      </c>
      <c r="AN331" s="48">
        <f t="array" ref="AN331">AVERAGE((AJ319:AJ328 - MIN(D319:D328,L319:L328,T319:T328,AB319:AB328,AJ319:AJ328))/MIN(D319:D328,L319:L328,T319:T328,AB319:AB328,AJ319:AJ328)*100%)</f>
        <v>2.3237517749550192E-3</v>
      </c>
      <c r="AO331" s="44"/>
      <c r="AP331" s="51"/>
    </row>
    <row r="332" spans="1:42" ht="21" customHeight="1" thickTop="1" thickBot="1" x14ac:dyDescent="0.35">
      <c r="A332" s="63"/>
      <c r="B332" s="67"/>
      <c r="C332" s="53"/>
      <c r="D332" s="44"/>
      <c r="E332" s="44"/>
      <c r="F332" s="44"/>
      <c r="G332" s="44"/>
      <c r="H332" s="44"/>
      <c r="I332" s="44"/>
      <c r="J332" s="51"/>
      <c r="K332" s="53"/>
      <c r="L332" s="44"/>
      <c r="M332" s="44"/>
      <c r="N332" s="44"/>
      <c r="O332" s="44"/>
      <c r="P332" s="44"/>
      <c r="Q332" s="44"/>
      <c r="R332" s="51"/>
      <c r="S332" s="53"/>
      <c r="T332" s="44"/>
      <c r="U332" s="44"/>
      <c r="V332" s="44"/>
      <c r="W332" s="44"/>
      <c r="X332" s="44"/>
      <c r="Y332" s="44"/>
      <c r="Z332" s="51"/>
      <c r="AA332" s="53"/>
      <c r="AB332" s="44"/>
      <c r="AC332" s="44"/>
      <c r="AD332" s="44"/>
      <c r="AE332" s="44"/>
      <c r="AF332" s="44"/>
      <c r="AG332" s="44"/>
      <c r="AH332" s="51"/>
      <c r="AI332" s="53"/>
      <c r="AJ332" s="44"/>
      <c r="AK332" s="44"/>
      <c r="AL332" s="44"/>
      <c r="AM332" s="44"/>
      <c r="AN332" s="44"/>
      <c r="AO332" s="44"/>
      <c r="AP332" s="51"/>
    </row>
    <row r="333" spans="1:42" ht="21" customHeight="1" thickTop="1" thickBot="1" x14ac:dyDescent="0.35">
      <c r="A333" s="63"/>
      <c r="B333" s="65" t="s">
        <v>128</v>
      </c>
      <c r="C333" s="59" t="s">
        <v>8</v>
      </c>
      <c r="D333" s="46" t="s">
        <v>9</v>
      </c>
      <c r="E333" s="46" t="s">
        <v>10</v>
      </c>
      <c r="F333" s="46" t="s">
        <v>11</v>
      </c>
      <c r="G333" s="46" t="s">
        <v>12</v>
      </c>
      <c r="H333" s="46" t="s">
        <v>13</v>
      </c>
      <c r="I333" s="46" t="s">
        <v>14</v>
      </c>
      <c r="J333" s="60" t="s">
        <v>15</v>
      </c>
      <c r="K333" s="59" t="s">
        <v>8</v>
      </c>
      <c r="L333" s="46" t="s">
        <v>9</v>
      </c>
      <c r="M333" s="46" t="s">
        <v>10</v>
      </c>
      <c r="N333" s="46" t="s">
        <v>11</v>
      </c>
      <c r="O333" s="46" t="s">
        <v>12</v>
      </c>
      <c r="P333" s="46" t="s">
        <v>13</v>
      </c>
      <c r="Q333" s="46" t="s">
        <v>14</v>
      </c>
      <c r="R333" s="60" t="s">
        <v>15</v>
      </c>
      <c r="S333" s="59" t="s">
        <v>8</v>
      </c>
      <c r="T333" s="46" t="s">
        <v>9</v>
      </c>
      <c r="U333" s="46" t="s">
        <v>10</v>
      </c>
      <c r="V333" s="46" t="s">
        <v>11</v>
      </c>
      <c r="W333" s="46" t="s">
        <v>12</v>
      </c>
      <c r="X333" s="46" t="s">
        <v>13</v>
      </c>
      <c r="Y333" s="46" t="s">
        <v>14</v>
      </c>
      <c r="Z333" s="60" t="s">
        <v>15</v>
      </c>
      <c r="AA333" s="59" t="s">
        <v>8</v>
      </c>
      <c r="AB333" s="46" t="s">
        <v>9</v>
      </c>
      <c r="AC333" s="46" t="s">
        <v>10</v>
      </c>
      <c r="AD333" s="46" t="s">
        <v>11</v>
      </c>
      <c r="AE333" s="46" t="s">
        <v>12</v>
      </c>
      <c r="AF333" s="46" t="s">
        <v>13</v>
      </c>
      <c r="AG333" s="46" t="s">
        <v>14</v>
      </c>
      <c r="AH333" s="60" t="s">
        <v>15</v>
      </c>
      <c r="AI333" s="59" t="s">
        <v>8</v>
      </c>
      <c r="AJ333" s="46" t="s">
        <v>9</v>
      </c>
      <c r="AK333" s="46" t="s">
        <v>10</v>
      </c>
      <c r="AL333" s="46" t="s">
        <v>11</v>
      </c>
      <c r="AM333" s="46" t="s">
        <v>12</v>
      </c>
      <c r="AN333" s="46" t="s">
        <v>13</v>
      </c>
      <c r="AO333" s="46" t="s">
        <v>14</v>
      </c>
      <c r="AP333" s="60" t="s">
        <v>15</v>
      </c>
    </row>
    <row r="334" spans="1:42" ht="21" customHeight="1" thickTop="1" thickBot="1" x14ac:dyDescent="0.35">
      <c r="A334" s="63"/>
      <c r="B334" s="66"/>
      <c r="C334" s="52">
        <v>1</v>
      </c>
      <c r="D334" s="44">
        <v>541.82999999999981</v>
      </c>
      <c r="E334" s="44"/>
      <c r="F334" s="44"/>
      <c r="G334" s="44"/>
      <c r="H334" s="44"/>
      <c r="I334" s="44"/>
      <c r="J334" s="51"/>
      <c r="K334" s="52">
        <v>1</v>
      </c>
      <c r="L334" s="44">
        <v>543.11999999999978</v>
      </c>
      <c r="M334" s="44"/>
      <c r="N334" s="44"/>
      <c r="O334" s="44"/>
      <c r="P334" s="44"/>
      <c r="Q334" s="44"/>
      <c r="R334" s="51"/>
      <c r="S334" s="52">
        <v>1</v>
      </c>
      <c r="T334" s="44">
        <v>542.04999999999973</v>
      </c>
      <c r="U334" s="44"/>
      <c r="V334" s="44"/>
      <c r="W334" s="44"/>
      <c r="X334" s="44"/>
      <c r="Y334" s="44"/>
      <c r="Z334" s="51"/>
      <c r="AA334" s="52">
        <v>1</v>
      </c>
      <c r="AB334" s="44">
        <v>542.37999999999988</v>
      </c>
      <c r="AC334" s="44"/>
      <c r="AD334" s="44"/>
      <c r="AE334" s="44"/>
      <c r="AF334" s="44"/>
      <c r="AG334" s="44"/>
      <c r="AH334" s="51"/>
      <c r="AI334" s="52">
        <v>1</v>
      </c>
      <c r="AJ334" s="44">
        <v>541.99999999999989</v>
      </c>
      <c r="AK334" s="44"/>
      <c r="AL334" s="44"/>
      <c r="AM334" s="44"/>
      <c r="AN334" s="44"/>
      <c r="AO334" s="44"/>
      <c r="AP334" s="51"/>
    </row>
    <row r="335" spans="1:42" ht="21" customHeight="1" thickTop="1" thickBot="1" x14ac:dyDescent="0.35">
      <c r="A335" s="63"/>
      <c r="B335" s="66"/>
      <c r="C335" s="53">
        <v>2</v>
      </c>
      <c r="D335" s="45">
        <v>542.74999999999977</v>
      </c>
      <c r="E335" s="45"/>
      <c r="F335" s="45"/>
      <c r="G335" s="45"/>
      <c r="H335" s="45"/>
      <c r="I335" s="45"/>
      <c r="J335" s="51"/>
      <c r="K335" s="53">
        <v>2</v>
      </c>
      <c r="L335" s="45">
        <v>542.58999999999992</v>
      </c>
      <c r="M335" s="45"/>
      <c r="N335" s="45"/>
      <c r="O335" s="45"/>
      <c r="P335" s="45"/>
      <c r="Q335" s="45"/>
      <c r="R335" s="51"/>
      <c r="S335" s="53">
        <v>2</v>
      </c>
      <c r="T335" s="45">
        <v>542.55999999999983</v>
      </c>
      <c r="U335" s="45"/>
      <c r="V335" s="45"/>
      <c r="W335" s="45"/>
      <c r="X335" s="45"/>
      <c r="Y335" s="45"/>
      <c r="Z335" s="51"/>
      <c r="AA335" s="53">
        <v>2</v>
      </c>
      <c r="AB335" s="45">
        <v>542.52999999999986</v>
      </c>
      <c r="AC335" s="45"/>
      <c r="AD335" s="45"/>
      <c r="AE335" s="45"/>
      <c r="AF335" s="45"/>
      <c r="AG335" s="45"/>
      <c r="AH335" s="51"/>
      <c r="AI335" s="53">
        <v>2</v>
      </c>
      <c r="AJ335" s="45">
        <v>542.30999999999983</v>
      </c>
      <c r="AK335" s="45"/>
      <c r="AL335" s="45"/>
      <c r="AM335" s="45"/>
      <c r="AN335" s="45"/>
      <c r="AO335" s="45"/>
      <c r="AP335" s="51"/>
    </row>
    <row r="336" spans="1:42" ht="21" customHeight="1" thickTop="1" thickBot="1" x14ac:dyDescent="0.35">
      <c r="A336" s="63"/>
      <c r="B336" s="66"/>
      <c r="C336" s="53">
        <v>3</v>
      </c>
      <c r="D336" s="45">
        <v>541.66999999999985</v>
      </c>
      <c r="E336" s="45"/>
      <c r="F336" s="45"/>
      <c r="G336" s="44"/>
      <c r="H336" s="44"/>
      <c r="I336" s="44"/>
      <c r="J336" s="51"/>
      <c r="K336" s="53">
        <v>3</v>
      </c>
      <c r="L336" s="45">
        <v>543.26999999999987</v>
      </c>
      <c r="M336" s="45"/>
      <c r="N336" s="45"/>
      <c r="O336" s="44"/>
      <c r="P336" s="44"/>
      <c r="Q336" s="44"/>
      <c r="R336" s="51"/>
      <c r="S336" s="53">
        <v>3</v>
      </c>
      <c r="T336" s="45">
        <v>542.31999999999982</v>
      </c>
      <c r="U336" s="45"/>
      <c r="V336" s="45"/>
      <c r="W336" s="44"/>
      <c r="X336" s="44"/>
      <c r="Y336" s="44"/>
      <c r="Z336" s="51"/>
      <c r="AA336" s="53">
        <v>3</v>
      </c>
      <c r="AB336" s="45">
        <v>542.10999999999979</v>
      </c>
      <c r="AC336" s="45"/>
      <c r="AD336" s="45"/>
      <c r="AE336" s="44"/>
      <c r="AF336" s="44"/>
      <c r="AG336" s="44"/>
      <c r="AH336" s="51"/>
      <c r="AI336" s="53">
        <v>3</v>
      </c>
      <c r="AJ336" s="45">
        <v>542.30999999999995</v>
      </c>
      <c r="AK336" s="45"/>
      <c r="AL336" s="45"/>
      <c r="AM336" s="44"/>
      <c r="AN336" s="44"/>
      <c r="AO336" s="44"/>
      <c r="AP336" s="51"/>
    </row>
    <row r="337" spans="1:42" ht="21" customHeight="1" thickTop="1" thickBot="1" x14ac:dyDescent="0.35">
      <c r="A337" s="63"/>
      <c r="B337" s="66"/>
      <c r="C337" s="53">
        <v>4</v>
      </c>
      <c r="D337" s="45">
        <v>542.53</v>
      </c>
      <c r="E337" s="45"/>
      <c r="F337" s="45"/>
      <c r="G337" s="45"/>
      <c r="H337" s="45"/>
      <c r="I337" s="45"/>
      <c r="J337" s="51"/>
      <c r="K337" s="53">
        <v>4</v>
      </c>
      <c r="L337" s="45">
        <v>543.10999999999967</v>
      </c>
      <c r="M337" s="45"/>
      <c r="N337" s="45"/>
      <c r="O337" s="45"/>
      <c r="P337" s="45"/>
      <c r="Q337" s="45"/>
      <c r="R337" s="51"/>
      <c r="S337" s="53">
        <v>4</v>
      </c>
      <c r="T337" s="45">
        <v>543.32999999999981</v>
      </c>
      <c r="U337" s="45"/>
      <c r="V337" s="45"/>
      <c r="W337" s="45"/>
      <c r="X337" s="45"/>
      <c r="Y337" s="45"/>
      <c r="Z337" s="51"/>
      <c r="AA337" s="53">
        <v>4</v>
      </c>
      <c r="AB337" s="45">
        <v>541.68999999999971</v>
      </c>
      <c r="AC337" s="45"/>
      <c r="AD337" s="45"/>
      <c r="AE337" s="45"/>
      <c r="AF337" s="45"/>
      <c r="AG337" s="45"/>
      <c r="AH337" s="51"/>
      <c r="AI337" s="53">
        <v>4</v>
      </c>
      <c r="AJ337" s="45">
        <v>542.30999999999983</v>
      </c>
      <c r="AK337" s="45"/>
      <c r="AL337" s="45"/>
      <c r="AM337" s="45"/>
      <c r="AN337" s="45"/>
      <c r="AO337" s="45"/>
      <c r="AP337" s="51"/>
    </row>
    <row r="338" spans="1:42" ht="21" customHeight="1" thickTop="1" thickBot="1" x14ac:dyDescent="0.35">
      <c r="A338" s="63"/>
      <c r="B338" s="66"/>
      <c r="C338" s="53">
        <v>5</v>
      </c>
      <c r="D338" s="45">
        <v>542.70999999999981</v>
      </c>
      <c r="E338" s="45"/>
      <c r="F338" s="45"/>
      <c r="G338" s="45"/>
      <c r="H338" s="45"/>
      <c r="I338" s="45"/>
      <c r="J338" s="51"/>
      <c r="K338" s="53">
        <v>5</v>
      </c>
      <c r="L338" s="45">
        <v>542.80999999999983</v>
      </c>
      <c r="M338" s="45"/>
      <c r="N338" s="45"/>
      <c r="O338" s="45"/>
      <c r="P338" s="45"/>
      <c r="Q338" s="45"/>
      <c r="R338" s="51"/>
      <c r="S338" s="53">
        <v>5</v>
      </c>
      <c r="T338" s="45">
        <v>542.56000000000006</v>
      </c>
      <c r="U338" s="45"/>
      <c r="V338" s="45"/>
      <c r="W338" s="45"/>
      <c r="X338" s="45"/>
      <c r="Y338" s="45"/>
      <c r="Z338" s="51"/>
      <c r="AA338" s="53">
        <v>5</v>
      </c>
      <c r="AB338" s="45">
        <v>541.60999999999979</v>
      </c>
      <c r="AC338" s="45"/>
      <c r="AD338" s="45"/>
      <c r="AE338" s="45"/>
      <c r="AF338" s="45"/>
      <c r="AG338" s="45"/>
      <c r="AH338" s="51"/>
      <c r="AI338" s="53">
        <v>5</v>
      </c>
      <c r="AJ338" s="45">
        <v>542.30999999999983</v>
      </c>
      <c r="AK338" s="45"/>
      <c r="AL338" s="45"/>
      <c r="AM338" s="45"/>
      <c r="AN338" s="45"/>
      <c r="AO338" s="45"/>
      <c r="AP338" s="51"/>
    </row>
    <row r="339" spans="1:42" ht="21" customHeight="1" thickTop="1" thickBot="1" x14ac:dyDescent="0.35">
      <c r="A339" s="63"/>
      <c r="B339" s="66"/>
      <c r="C339" s="53">
        <v>6</v>
      </c>
      <c r="D339" s="45">
        <v>542.28999999999974</v>
      </c>
      <c r="E339" s="45"/>
      <c r="F339" s="45"/>
      <c r="G339" s="45"/>
      <c r="H339" s="45"/>
      <c r="I339" s="45"/>
      <c r="J339" s="51"/>
      <c r="K339" s="53">
        <v>6</v>
      </c>
      <c r="L339" s="45">
        <v>542.54999999999984</v>
      </c>
      <c r="M339" s="45"/>
      <c r="N339" s="45"/>
      <c r="O339" s="45"/>
      <c r="P339" s="45"/>
      <c r="Q339" s="45"/>
      <c r="R339" s="51"/>
      <c r="S339" s="53">
        <v>6</v>
      </c>
      <c r="T339" s="45">
        <v>544.21999999999991</v>
      </c>
      <c r="U339" s="45"/>
      <c r="V339" s="45"/>
      <c r="W339" s="45"/>
      <c r="X339" s="45"/>
      <c r="Y339" s="45"/>
      <c r="Z339" s="51"/>
      <c r="AA339" s="53">
        <v>6</v>
      </c>
      <c r="AB339" s="45">
        <v>543.00999999999988</v>
      </c>
      <c r="AC339" s="45"/>
      <c r="AD339" s="45"/>
      <c r="AE339" s="45"/>
      <c r="AF339" s="45"/>
      <c r="AG339" s="45"/>
      <c r="AH339" s="51"/>
      <c r="AI339" s="53">
        <v>6</v>
      </c>
      <c r="AJ339" s="45">
        <v>541.44999999999982</v>
      </c>
      <c r="AK339" s="45"/>
      <c r="AL339" s="45"/>
      <c r="AM339" s="45"/>
      <c r="AN339" s="45"/>
      <c r="AO339" s="45"/>
      <c r="AP339" s="51"/>
    </row>
    <row r="340" spans="1:42" ht="21" customHeight="1" thickTop="1" thickBot="1" x14ac:dyDescent="0.35">
      <c r="A340" s="63"/>
      <c r="B340" s="66"/>
      <c r="C340" s="53">
        <v>7</v>
      </c>
      <c r="D340" s="45">
        <v>541.52999999999975</v>
      </c>
      <c r="E340" s="45"/>
      <c r="F340" s="45"/>
      <c r="G340" s="45"/>
      <c r="H340" s="45"/>
      <c r="I340" s="45"/>
      <c r="J340" s="51"/>
      <c r="K340" s="53">
        <v>7</v>
      </c>
      <c r="L340" s="45">
        <v>542.77999999999975</v>
      </c>
      <c r="M340" s="45"/>
      <c r="N340" s="45"/>
      <c r="O340" s="45"/>
      <c r="P340" s="45"/>
      <c r="Q340" s="45"/>
      <c r="R340" s="51"/>
      <c r="S340" s="53">
        <v>7</v>
      </c>
      <c r="T340" s="45">
        <v>543.77999999999986</v>
      </c>
      <c r="U340" s="45"/>
      <c r="V340" s="45"/>
      <c r="W340" s="45"/>
      <c r="X340" s="45"/>
      <c r="Y340" s="45"/>
      <c r="Z340" s="51"/>
      <c r="AA340" s="53">
        <v>7</v>
      </c>
      <c r="AB340" s="45">
        <v>542.37999999999988</v>
      </c>
      <c r="AC340" s="45"/>
      <c r="AD340" s="45"/>
      <c r="AE340" s="45"/>
      <c r="AF340" s="45"/>
      <c r="AG340" s="45"/>
      <c r="AH340" s="51"/>
      <c r="AI340" s="53">
        <v>7</v>
      </c>
      <c r="AJ340" s="45">
        <v>541.99999999999989</v>
      </c>
      <c r="AK340" s="45"/>
      <c r="AL340" s="45"/>
      <c r="AM340" s="45"/>
      <c r="AN340" s="45"/>
      <c r="AO340" s="45"/>
      <c r="AP340" s="51"/>
    </row>
    <row r="341" spans="1:42" ht="21" customHeight="1" thickTop="1" thickBot="1" x14ac:dyDescent="0.35">
      <c r="A341" s="63"/>
      <c r="B341" s="66"/>
      <c r="C341" s="53">
        <v>8</v>
      </c>
      <c r="D341" s="45">
        <v>542.29999999999973</v>
      </c>
      <c r="E341" s="45"/>
      <c r="F341" s="45"/>
      <c r="G341" s="45"/>
      <c r="H341" s="45"/>
      <c r="I341" s="45"/>
      <c r="J341" s="51"/>
      <c r="K341" s="53">
        <v>8</v>
      </c>
      <c r="L341" s="45">
        <v>543.05999999999972</v>
      </c>
      <c r="M341" s="45"/>
      <c r="N341" s="45"/>
      <c r="O341" s="45"/>
      <c r="P341" s="45"/>
      <c r="Q341" s="45"/>
      <c r="R341" s="51"/>
      <c r="S341" s="53">
        <v>8</v>
      </c>
      <c r="T341" s="45">
        <v>542.13999999999976</v>
      </c>
      <c r="U341" s="45"/>
      <c r="V341" s="45"/>
      <c r="W341" s="45"/>
      <c r="X341" s="45"/>
      <c r="Y341" s="45"/>
      <c r="Z341" s="51"/>
      <c r="AA341" s="53">
        <v>8</v>
      </c>
      <c r="AB341" s="45">
        <v>542.4799999999999</v>
      </c>
      <c r="AC341" s="45"/>
      <c r="AD341" s="45"/>
      <c r="AE341" s="45"/>
      <c r="AF341" s="45"/>
      <c r="AG341" s="45"/>
      <c r="AH341" s="51"/>
      <c r="AI341" s="53">
        <v>8</v>
      </c>
      <c r="AJ341" s="45">
        <v>541.99999999999977</v>
      </c>
      <c r="AK341" s="45"/>
      <c r="AL341" s="45"/>
      <c r="AM341" s="45"/>
      <c r="AN341" s="45"/>
      <c r="AO341" s="45"/>
      <c r="AP341" s="51"/>
    </row>
    <row r="342" spans="1:42" ht="21" customHeight="1" thickTop="1" thickBot="1" x14ac:dyDescent="0.35">
      <c r="A342" s="63"/>
      <c r="B342" s="66"/>
      <c r="C342" s="53">
        <v>9</v>
      </c>
      <c r="D342" s="45">
        <v>542.44999999999982</v>
      </c>
      <c r="E342" s="45"/>
      <c r="F342" s="45"/>
      <c r="G342" s="45"/>
      <c r="H342" s="45"/>
      <c r="I342" s="45"/>
      <c r="J342" s="51"/>
      <c r="K342" s="53">
        <v>9</v>
      </c>
      <c r="L342" s="45">
        <v>542.87999999999988</v>
      </c>
      <c r="M342" s="45"/>
      <c r="N342" s="45"/>
      <c r="O342" s="45"/>
      <c r="P342" s="45"/>
      <c r="Q342" s="45"/>
      <c r="R342" s="51"/>
      <c r="S342" s="53">
        <v>9</v>
      </c>
      <c r="T342" s="45">
        <v>543.11999999999978</v>
      </c>
      <c r="U342" s="45"/>
      <c r="V342" s="45"/>
      <c r="W342" s="45"/>
      <c r="X342" s="45"/>
      <c r="Y342" s="45"/>
      <c r="Z342" s="51"/>
      <c r="AA342" s="53">
        <v>9</v>
      </c>
      <c r="AB342" s="45">
        <v>544.56999999999971</v>
      </c>
      <c r="AC342" s="45"/>
      <c r="AD342" s="45"/>
      <c r="AE342" s="45"/>
      <c r="AF342" s="45"/>
      <c r="AG342" s="45"/>
      <c r="AH342" s="51"/>
      <c r="AI342" s="53">
        <v>9</v>
      </c>
      <c r="AJ342" s="45">
        <v>542.62</v>
      </c>
      <c r="AK342" s="45"/>
      <c r="AL342" s="45"/>
      <c r="AM342" s="45"/>
      <c r="AN342" s="45"/>
      <c r="AO342" s="45"/>
      <c r="AP342" s="51"/>
    </row>
    <row r="343" spans="1:42" ht="21" customHeight="1" thickTop="1" thickBot="1" x14ac:dyDescent="0.35">
      <c r="A343" s="63"/>
      <c r="B343" s="66"/>
      <c r="C343" s="53">
        <v>10</v>
      </c>
      <c r="D343" s="45">
        <v>542.30999999999983</v>
      </c>
      <c r="E343" s="45"/>
      <c r="F343" s="45"/>
      <c r="G343" s="45"/>
      <c r="H343" s="45"/>
      <c r="I343" s="45"/>
      <c r="J343" s="51"/>
      <c r="K343" s="53">
        <v>10</v>
      </c>
      <c r="L343" s="45">
        <v>543.11999999999989</v>
      </c>
      <c r="M343" s="45"/>
      <c r="N343" s="45"/>
      <c r="O343" s="45"/>
      <c r="P343" s="45"/>
      <c r="Q343" s="45"/>
      <c r="R343" s="51"/>
      <c r="S343" s="53">
        <v>10</v>
      </c>
      <c r="T343" s="45">
        <v>542.31999999999982</v>
      </c>
      <c r="U343" s="45"/>
      <c r="V343" s="45"/>
      <c r="W343" s="45"/>
      <c r="X343" s="45"/>
      <c r="Y343" s="45"/>
      <c r="Z343" s="51"/>
      <c r="AA343" s="53">
        <v>10</v>
      </c>
      <c r="AB343" s="45">
        <v>542.52999999999986</v>
      </c>
      <c r="AC343" s="45"/>
      <c r="AD343" s="45"/>
      <c r="AE343" s="45"/>
      <c r="AF343" s="45"/>
      <c r="AG343" s="45"/>
      <c r="AH343" s="51"/>
      <c r="AI343" s="53">
        <v>10</v>
      </c>
      <c r="AJ343" s="45">
        <v>541.34999999999991</v>
      </c>
      <c r="AK343" s="45"/>
      <c r="AL343" s="45"/>
      <c r="AM343" s="45"/>
      <c r="AN343" s="45"/>
      <c r="AO343" s="45"/>
      <c r="AP343" s="51"/>
    </row>
    <row r="344" spans="1:42" ht="21" customHeight="1" thickTop="1" thickBot="1" x14ac:dyDescent="0.35">
      <c r="A344" s="63"/>
      <c r="B344" s="66"/>
      <c r="C344" s="53"/>
      <c r="D344" s="45"/>
      <c r="E344" s="45"/>
      <c r="F344" s="45"/>
      <c r="G344" s="45"/>
      <c r="H344" s="45"/>
      <c r="I344" s="45"/>
      <c r="J344" s="51"/>
      <c r="K344" s="53"/>
      <c r="L344" s="45"/>
      <c r="M344" s="45"/>
      <c r="N344" s="45"/>
      <c r="O344" s="45"/>
      <c r="P344" s="45"/>
      <c r="Q344" s="45"/>
      <c r="R344" s="51"/>
      <c r="S344" s="53"/>
      <c r="T344" s="45"/>
      <c r="U344" s="45"/>
      <c r="V344" s="45"/>
      <c r="W344" s="45"/>
      <c r="X344" s="45"/>
      <c r="Y344" s="45"/>
      <c r="Z344" s="51"/>
      <c r="AA344" s="53"/>
      <c r="AB344" s="45"/>
      <c r="AC344" s="45"/>
      <c r="AD344" s="45"/>
      <c r="AE344" s="45"/>
      <c r="AF344" s="45"/>
      <c r="AG344" s="45"/>
      <c r="AH344" s="51"/>
      <c r="AI344" s="53"/>
      <c r="AJ344" s="45"/>
      <c r="AK344" s="45"/>
      <c r="AL344" s="45"/>
      <c r="AM344" s="45"/>
      <c r="AN344" s="45"/>
      <c r="AO344" s="45"/>
      <c r="AP344" s="51"/>
    </row>
    <row r="345" spans="1:42" ht="21" customHeight="1" thickTop="1" thickBot="1" x14ac:dyDescent="0.35">
      <c r="A345" s="63"/>
      <c r="B345" s="66"/>
      <c r="C345" s="54" t="s">
        <v>16</v>
      </c>
      <c r="D345" s="49">
        <f>MIN(D334:D343)</f>
        <v>541.52999999999975</v>
      </c>
      <c r="E345" s="45"/>
      <c r="F345" s="55" t="s">
        <v>17</v>
      </c>
      <c r="G345" s="49" t="s">
        <v>18</v>
      </c>
      <c r="H345" s="49" t="s">
        <v>19</v>
      </c>
      <c r="I345" s="45"/>
      <c r="J345" s="51"/>
      <c r="K345" s="54" t="s">
        <v>16</v>
      </c>
      <c r="L345" s="49">
        <f>MIN(L334:L343)</f>
        <v>542.54999999999984</v>
      </c>
      <c r="M345" s="45"/>
      <c r="N345" s="55" t="s">
        <v>17</v>
      </c>
      <c r="O345" s="49" t="s">
        <v>18</v>
      </c>
      <c r="P345" s="49" t="s">
        <v>19</v>
      </c>
      <c r="Q345" s="45"/>
      <c r="R345" s="51"/>
      <c r="S345" s="54" t="s">
        <v>16</v>
      </c>
      <c r="T345" s="49">
        <f>MIN(T334:T343)</f>
        <v>542.04999999999973</v>
      </c>
      <c r="U345" s="45"/>
      <c r="V345" s="55" t="s">
        <v>17</v>
      </c>
      <c r="W345" s="49" t="s">
        <v>18</v>
      </c>
      <c r="X345" s="49" t="s">
        <v>19</v>
      </c>
      <c r="Y345" s="45"/>
      <c r="Z345" s="51"/>
      <c r="AA345" s="54" t="s">
        <v>16</v>
      </c>
      <c r="AB345" s="49">
        <f>MIN(AB334:AB343)</f>
        <v>541.60999999999979</v>
      </c>
      <c r="AC345" s="45"/>
      <c r="AD345" s="55" t="s">
        <v>17</v>
      </c>
      <c r="AE345" s="49" t="s">
        <v>18</v>
      </c>
      <c r="AF345" s="49" t="s">
        <v>19</v>
      </c>
      <c r="AG345" s="45"/>
      <c r="AH345" s="51"/>
      <c r="AI345" s="54" t="s">
        <v>16</v>
      </c>
      <c r="AJ345" s="49">
        <f>MIN(AJ334:AJ343)</f>
        <v>541.34999999999991</v>
      </c>
      <c r="AK345" s="45"/>
      <c r="AL345" s="55" t="s">
        <v>17</v>
      </c>
      <c r="AM345" s="49" t="s">
        <v>18</v>
      </c>
      <c r="AN345" s="49" t="s">
        <v>19</v>
      </c>
      <c r="AO345" s="45"/>
      <c r="AP345" s="51"/>
    </row>
    <row r="346" spans="1:42" ht="21" customHeight="1" thickTop="1" thickBot="1" x14ac:dyDescent="0.35">
      <c r="A346" s="63"/>
      <c r="B346" s="66"/>
      <c r="C346" s="54" t="s">
        <v>20</v>
      </c>
      <c r="D346" s="48">
        <f>AVERAGE(D334:D343)</f>
        <v>542.23699999999985</v>
      </c>
      <c r="E346" s="47"/>
      <c r="F346" s="48">
        <f>_xlfn.STDEV.S(D334:D343) / AVERAGE(D334:D343) * 100%</f>
        <v>7.817588485739776E-4</v>
      </c>
      <c r="G346" s="48">
        <f t="array" ref="G346">MIN((D334:D343 - MIN(D334:D343,L334:L343,T334:T343,AB334:AB343,AJ334:AJ343))/MIN(D334:D343,L334:L343,T334:T343,AB334:AB343,AJ334:AJ343)*100%)</f>
        <v>3.3250207813768603E-4</v>
      </c>
      <c r="H346" s="48">
        <f t="array" ref="H346">AVERAGE((D334:D343 - MIN(D334:D343,L334:L343,T334:T343,AB334:AB343,AJ334:AJ343))/MIN(D334:D343,L334:L343,T334:T343,AB334:AB343,AJ334:AJ343)*100%)</f>
        <v>1.6384963517131212E-3</v>
      </c>
      <c r="I346" s="45"/>
      <c r="J346" s="51"/>
      <c r="K346" s="54" t="s">
        <v>20</v>
      </c>
      <c r="L346" s="48">
        <f>AVERAGE(L334:L343)</f>
        <v>542.92899999999986</v>
      </c>
      <c r="M346" s="47"/>
      <c r="N346" s="48">
        <f>_xlfn.STDEV.S(L334:L343) / AVERAGE(L334:L343) * 100%</f>
        <v>4.4969340789245243E-4</v>
      </c>
      <c r="O346" s="48">
        <f t="array" ref="O346">MIN((L334:L343 - MIN(D334:D343,L334:L343,T334:T343,AB334:AB343,AJ334:AJ343))/MIN(D334:D343,L334:L343,T334:T343,AB334:AB343,AJ334:AJ343)*100%)</f>
        <v>2.2166805209197968E-3</v>
      </c>
      <c r="P346" s="48">
        <f t="array" ref="P346">AVERAGE((L334:L343 - MIN(D334:D343,L334:L343,T334:T343,AB334:AB343,AJ334:AJ343))/MIN(D334:D343,L334:L343,T334:T343,AB334:AB343,AJ334:AJ343)*100%)</f>
        <v>2.9167821187769572E-3</v>
      </c>
      <c r="Q346" s="44"/>
      <c r="R346" s="51"/>
      <c r="S346" s="54" t="s">
        <v>20</v>
      </c>
      <c r="T346" s="48">
        <f>AVERAGE(T334:T343)</f>
        <v>542.8399999999998</v>
      </c>
      <c r="U346" s="47"/>
      <c r="V346" s="48">
        <f>_xlfn.STDEV.S(T334:T343) / AVERAGE(T334:T343) * 100%</f>
        <v>1.3617895468450976E-3</v>
      </c>
      <c r="W346" s="48">
        <f t="array" ref="W346">MIN((T334:T343 - MIN(D334:D343,L334:L343,T334:T343,AB334:AB343,AJ334:AJ343))/MIN(D334:D343,L334:L343,T334:T343,AB334:AB343,AJ334:AJ343)*100%)</f>
        <v>1.2930636372029522E-3</v>
      </c>
      <c r="X346" s="48">
        <f t="array" ref="X346">AVERAGE((T334:T343 - MIN(D334:D343,L334:L343,T334:T343,AB334:AB343,AJ334:AJ343))/MIN(D334:D343,L334:L343,T334:T343,AB334:AB343,AJ334:AJ343)*100%)</f>
        <v>2.7523783134754407E-3</v>
      </c>
      <c r="Y346" s="44"/>
      <c r="Z346" s="51"/>
      <c r="AA346" s="54" t="s">
        <v>20</v>
      </c>
      <c r="AB346" s="48">
        <f>AVERAGE(AB334:AB343)</f>
        <v>542.52899999999977</v>
      </c>
      <c r="AC346" s="47"/>
      <c r="AD346" s="48">
        <f>_xlfn.STDEV.S(AB334:AB343) / AVERAGE(AB334:AB343) * 100%</f>
        <v>1.5258930590803898E-3</v>
      </c>
      <c r="AE346" s="48">
        <f t="array" ref="AE346">MIN((AB334:AB343 - MIN(D334:D343,L334:L343,T334:T343,AB334:AB343,AJ334:AJ343))/MIN(D334:D343,L334:L343,T334:T343,AB334:AB343,AJ334:AJ343)*100%)</f>
        <v>4.8028077953242313E-4</v>
      </c>
      <c r="AF346" s="48">
        <f t="array" ref="AF346">AVERAGE((AB334:AB343 - MIN(D334:D343,L334:L343,T334:T343,AB334:AB343,AJ334:AJ343))/MIN(D334:D343,L334:L343,T334:T343,AB334:AB343,AJ334:AJ343)*100%)</f>
        <v>2.1778886118036704E-3</v>
      </c>
      <c r="AG346" s="44"/>
      <c r="AH346" s="51"/>
      <c r="AI346" s="54" t="s">
        <v>20</v>
      </c>
      <c r="AJ346" s="48">
        <f>AVERAGE(AJ334:AJ343)</f>
        <v>542.0659999999998</v>
      </c>
      <c r="AK346" s="47"/>
      <c r="AL346" s="48">
        <f>_xlfn.STDEV.S(AJ334:AJ343) / AVERAGE(AJ334:AJ343) * 100%</f>
        <v>7.405365818503153E-4</v>
      </c>
      <c r="AM346" s="48">
        <f t="array" ref="AM346">MIN((AJ334:AJ343 - MIN(D334:D343,L334:L343,T334:T343,AB334:AB343,AJ334:AJ343))/MIN(D334:D343,L334:L343,T334:T343,AB334:AB343,AJ334:AJ343)*100%)</f>
        <v>0</v>
      </c>
      <c r="AN346" s="48">
        <f t="array" ref="AN346">AVERAGE((AJ334:AJ343 - MIN(D334:D343,L334:L343,T334:T343,AB334:AB343,AJ334:AJ343))/MIN(D334:D343,L334:L343,T334:T343,AB334:AB343,AJ334:AJ343)*100%)</f>
        <v>1.3226193774821518E-3</v>
      </c>
      <c r="AO346" s="44"/>
      <c r="AP346" s="51"/>
    </row>
    <row r="347" spans="1:42" ht="21" customHeight="1" thickTop="1" thickBot="1" x14ac:dyDescent="0.35">
      <c r="A347" s="63"/>
      <c r="B347" s="67"/>
      <c r="C347" s="53"/>
      <c r="D347" s="44"/>
      <c r="E347" s="44"/>
      <c r="F347" s="44"/>
      <c r="G347" s="44"/>
      <c r="H347" s="44"/>
      <c r="I347" s="44"/>
      <c r="J347" s="51"/>
      <c r="K347" s="53"/>
      <c r="L347" s="44"/>
      <c r="M347" s="44"/>
      <c r="N347" s="44"/>
      <c r="O347" s="44"/>
      <c r="P347" s="44"/>
      <c r="Q347" s="44"/>
      <c r="R347" s="51"/>
      <c r="S347" s="53"/>
      <c r="T347" s="44"/>
      <c r="U347" s="44"/>
      <c r="V347" s="44"/>
      <c r="W347" s="44"/>
      <c r="X347" s="44"/>
      <c r="Y347" s="44"/>
      <c r="Z347" s="51"/>
      <c r="AA347" s="53"/>
      <c r="AB347" s="44"/>
      <c r="AC347" s="44"/>
      <c r="AD347" s="44"/>
      <c r="AE347" s="44"/>
      <c r="AF347" s="44"/>
      <c r="AG347" s="44"/>
      <c r="AH347" s="51"/>
      <c r="AI347" s="53"/>
      <c r="AJ347" s="44"/>
      <c r="AK347" s="44"/>
      <c r="AL347" s="44"/>
      <c r="AM347" s="44"/>
      <c r="AN347" s="44"/>
      <c r="AO347" s="44"/>
      <c r="AP347" s="51"/>
    </row>
    <row r="348" spans="1:42" ht="21" customHeight="1" thickTop="1" thickBot="1" x14ac:dyDescent="0.35">
      <c r="A348" s="63"/>
      <c r="B348" s="65" t="s">
        <v>129</v>
      </c>
      <c r="C348" s="59" t="s">
        <v>8</v>
      </c>
      <c r="D348" s="46" t="s">
        <v>9</v>
      </c>
      <c r="E348" s="46" t="s">
        <v>10</v>
      </c>
      <c r="F348" s="46" t="s">
        <v>11</v>
      </c>
      <c r="G348" s="46" t="s">
        <v>12</v>
      </c>
      <c r="H348" s="46" t="s">
        <v>13</v>
      </c>
      <c r="I348" s="46" t="s">
        <v>14</v>
      </c>
      <c r="J348" s="60" t="s">
        <v>15</v>
      </c>
      <c r="K348" s="59" t="s">
        <v>8</v>
      </c>
      <c r="L348" s="46" t="s">
        <v>9</v>
      </c>
      <c r="M348" s="46" t="s">
        <v>10</v>
      </c>
      <c r="N348" s="46" t="s">
        <v>11</v>
      </c>
      <c r="O348" s="46" t="s">
        <v>12</v>
      </c>
      <c r="P348" s="46" t="s">
        <v>13</v>
      </c>
      <c r="Q348" s="46" t="s">
        <v>14</v>
      </c>
      <c r="R348" s="60" t="s">
        <v>15</v>
      </c>
      <c r="S348" s="59" t="s">
        <v>8</v>
      </c>
      <c r="T348" s="46" t="s">
        <v>9</v>
      </c>
      <c r="U348" s="46" t="s">
        <v>10</v>
      </c>
      <c r="V348" s="46" t="s">
        <v>11</v>
      </c>
      <c r="W348" s="46" t="s">
        <v>12</v>
      </c>
      <c r="X348" s="46" t="s">
        <v>13</v>
      </c>
      <c r="Y348" s="46" t="s">
        <v>14</v>
      </c>
      <c r="Z348" s="60" t="s">
        <v>15</v>
      </c>
      <c r="AA348" s="59" t="s">
        <v>8</v>
      </c>
      <c r="AB348" s="46" t="s">
        <v>9</v>
      </c>
      <c r="AC348" s="46" t="s">
        <v>10</v>
      </c>
      <c r="AD348" s="46" t="s">
        <v>11</v>
      </c>
      <c r="AE348" s="46" t="s">
        <v>12</v>
      </c>
      <c r="AF348" s="46" t="s">
        <v>13</v>
      </c>
      <c r="AG348" s="46" t="s">
        <v>14</v>
      </c>
      <c r="AH348" s="60" t="s">
        <v>15</v>
      </c>
      <c r="AI348" s="59" t="s">
        <v>8</v>
      </c>
      <c r="AJ348" s="46" t="s">
        <v>9</v>
      </c>
      <c r="AK348" s="46" t="s">
        <v>10</v>
      </c>
      <c r="AL348" s="46" t="s">
        <v>11</v>
      </c>
      <c r="AM348" s="46" t="s">
        <v>12</v>
      </c>
      <c r="AN348" s="46" t="s">
        <v>13</v>
      </c>
      <c r="AO348" s="46" t="s">
        <v>14</v>
      </c>
      <c r="AP348" s="60" t="s">
        <v>15</v>
      </c>
    </row>
    <row r="349" spans="1:42" ht="21" customHeight="1" thickTop="1" thickBot="1" x14ac:dyDescent="0.35">
      <c r="A349" s="63"/>
      <c r="B349" s="66"/>
      <c r="C349" s="52">
        <v>1</v>
      </c>
      <c r="D349" s="44">
        <v>560.10999999999979</v>
      </c>
      <c r="E349" s="44"/>
      <c r="F349" s="44"/>
      <c r="G349" s="44"/>
      <c r="H349" s="44"/>
      <c r="I349" s="44"/>
      <c r="J349" s="51"/>
      <c r="K349" s="52">
        <v>1</v>
      </c>
      <c r="L349" s="44">
        <v>560.95999999999981</v>
      </c>
      <c r="M349" s="44"/>
      <c r="N349" s="44"/>
      <c r="O349" s="44"/>
      <c r="P349" s="44"/>
      <c r="Q349" s="44"/>
      <c r="R349" s="51"/>
      <c r="S349" s="52">
        <v>1</v>
      </c>
      <c r="T349" s="44">
        <v>560.85999999999979</v>
      </c>
      <c r="U349" s="44"/>
      <c r="V349" s="44"/>
      <c r="W349" s="44"/>
      <c r="X349" s="44"/>
      <c r="Y349" s="44"/>
      <c r="Z349" s="51"/>
      <c r="AA349" s="52">
        <v>1</v>
      </c>
      <c r="AB349" s="44">
        <v>560.30999999999972</v>
      </c>
      <c r="AC349" s="44"/>
      <c r="AD349" s="44"/>
      <c r="AE349" s="44"/>
      <c r="AF349" s="44"/>
      <c r="AG349" s="44"/>
      <c r="AH349" s="51"/>
      <c r="AI349" s="52">
        <v>1</v>
      </c>
      <c r="AJ349" s="44">
        <v>559.4</v>
      </c>
      <c r="AK349" s="44"/>
      <c r="AL349" s="44"/>
      <c r="AM349" s="44"/>
      <c r="AN349" s="44"/>
      <c r="AO349" s="44"/>
      <c r="AP349" s="51"/>
    </row>
    <row r="350" spans="1:42" ht="21" customHeight="1" thickTop="1" thickBot="1" x14ac:dyDescent="0.35">
      <c r="A350" s="63"/>
      <c r="B350" s="66"/>
      <c r="C350" s="53">
        <v>2</v>
      </c>
      <c r="D350" s="45">
        <v>559.61999999999978</v>
      </c>
      <c r="E350" s="45"/>
      <c r="F350" s="45"/>
      <c r="G350" s="45"/>
      <c r="H350" s="45"/>
      <c r="I350" s="45"/>
      <c r="J350" s="51"/>
      <c r="K350" s="53">
        <v>2</v>
      </c>
      <c r="L350" s="45">
        <v>559.51999999999975</v>
      </c>
      <c r="M350" s="45"/>
      <c r="N350" s="45"/>
      <c r="O350" s="45"/>
      <c r="P350" s="45"/>
      <c r="Q350" s="45"/>
      <c r="R350" s="51"/>
      <c r="S350" s="53">
        <v>2</v>
      </c>
      <c r="T350" s="45">
        <v>560.00999999999988</v>
      </c>
      <c r="U350" s="45"/>
      <c r="V350" s="45"/>
      <c r="W350" s="45"/>
      <c r="X350" s="45"/>
      <c r="Y350" s="45"/>
      <c r="Z350" s="51"/>
      <c r="AA350" s="53">
        <v>2</v>
      </c>
      <c r="AB350" s="45">
        <v>559.89999999999986</v>
      </c>
      <c r="AC350" s="45"/>
      <c r="AD350" s="45"/>
      <c r="AE350" s="45"/>
      <c r="AF350" s="45"/>
      <c r="AG350" s="45"/>
      <c r="AH350" s="51"/>
      <c r="AI350" s="53">
        <v>2</v>
      </c>
      <c r="AJ350" s="45">
        <v>559.15999999999985</v>
      </c>
      <c r="AK350" s="45"/>
      <c r="AL350" s="45"/>
      <c r="AM350" s="45"/>
      <c r="AN350" s="45"/>
      <c r="AO350" s="45"/>
      <c r="AP350" s="51"/>
    </row>
    <row r="351" spans="1:42" ht="21" customHeight="1" thickTop="1" thickBot="1" x14ac:dyDescent="0.35">
      <c r="A351" s="63"/>
      <c r="B351" s="66"/>
      <c r="C351" s="53">
        <v>3</v>
      </c>
      <c r="D351" s="45">
        <v>560.95999999999981</v>
      </c>
      <c r="E351" s="45"/>
      <c r="F351" s="45"/>
      <c r="G351" s="44"/>
      <c r="H351" s="44"/>
      <c r="I351" s="44"/>
      <c r="J351" s="51"/>
      <c r="K351" s="53">
        <v>3</v>
      </c>
      <c r="L351" s="45">
        <v>559.9799999999999</v>
      </c>
      <c r="M351" s="45"/>
      <c r="N351" s="45"/>
      <c r="O351" s="44"/>
      <c r="P351" s="44"/>
      <c r="Q351" s="44"/>
      <c r="R351" s="51"/>
      <c r="S351" s="53">
        <v>3</v>
      </c>
      <c r="T351" s="45">
        <v>561.60999999999979</v>
      </c>
      <c r="U351" s="45"/>
      <c r="V351" s="45"/>
      <c r="W351" s="44"/>
      <c r="X351" s="44"/>
      <c r="Y351" s="44"/>
      <c r="Z351" s="51"/>
      <c r="AA351" s="53">
        <v>3</v>
      </c>
      <c r="AB351" s="45">
        <v>560.35999999999979</v>
      </c>
      <c r="AC351" s="45"/>
      <c r="AD351" s="45"/>
      <c r="AE351" s="44"/>
      <c r="AF351" s="44"/>
      <c r="AG351" s="44"/>
      <c r="AH351" s="51"/>
      <c r="AI351" s="53">
        <v>3</v>
      </c>
      <c r="AJ351" s="45">
        <v>559.55999999999983</v>
      </c>
      <c r="AK351" s="45"/>
      <c r="AL351" s="45"/>
      <c r="AM351" s="44"/>
      <c r="AN351" s="44"/>
      <c r="AO351" s="44"/>
      <c r="AP351" s="51"/>
    </row>
    <row r="352" spans="1:42" ht="21" customHeight="1" thickTop="1" thickBot="1" x14ac:dyDescent="0.35">
      <c r="A352" s="63"/>
      <c r="B352" s="66"/>
      <c r="C352" s="53">
        <v>4</v>
      </c>
      <c r="D352" s="45">
        <v>560.04999999999984</v>
      </c>
      <c r="E352" s="45"/>
      <c r="F352" s="45"/>
      <c r="G352" s="45"/>
      <c r="H352" s="45"/>
      <c r="I352" s="45"/>
      <c r="J352" s="51"/>
      <c r="K352" s="53">
        <v>4</v>
      </c>
      <c r="L352" s="45">
        <v>559.87999999999965</v>
      </c>
      <c r="M352" s="45"/>
      <c r="N352" s="45"/>
      <c r="O352" s="45"/>
      <c r="P352" s="45"/>
      <c r="Q352" s="45"/>
      <c r="R352" s="51"/>
      <c r="S352" s="53">
        <v>4</v>
      </c>
      <c r="T352" s="45">
        <v>559.81999999999982</v>
      </c>
      <c r="U352" s="45"/>
      <c r="V352" s="45"/>
      <c r="W352" s="45"/>
      <c r="X352" s="45"/>
      <c r="Y352" s="45"/>
      <c r="Z352" s="51"/>
      <c r="AA352" s="53">
        <v>4</v>
      </c>
      <c r="AB352" s="45">
        <v>560.03999999999974</v>
      </c>
      <c r="AC352" s="45"/>
      <c r="AD352" s="45"/>
      <c r="AE352" s="45"/>
      <c r="AF352" s="45"/>
      <c r="AG352" s="45"/>
      <c r="AH352" s="51"/>
      <c r="AI352" s="53">
        <v>4</v>
      </c>
      <c r="AJ352" s="45">
        <v>560.02</v>
      </c>
      <c r="AK352" s="45"/>
      <c r="AL352" s="45"/>
      <c r="AM352" s="45"/>
      <c r="AN352" s="45"/>
      <c r="AO352" s="45"/>
      <c r="AP352" s="51"/>
    </row>
    <row r="353" spans="1:42" ht="21" customHeight="1" thickTop="1" thickBot="1" x14ac:dyDescent="0.35">
      <c r="A353" s="63"/>
      <c r="B353" s="66"/>
      <c r="C353" s="53">
        <v>5</v>
      </c>
      <c r="D353" s="45">
        <v>560.04999999999995</v>
      </c>
      <c r="E353" s="45"/>
      <c r="F353" s="45"/>
      <c r="G353" s="45"/>
      <c r="H353" s="45"/>
      <c r="I353" s="45"/>
      <c r="J353" s="51"/>
      <c r="K353" s="53">
        <v>5</v>
      </c>
      <c r="L353" s="45">
        <v>559.41999999999985</v>
      </c>
      <c r="M353" s="45"/>
      <c r="N353" s="45"/>
      <c r="O353" s="45"/>
      <c r="P353" s="45"/>
      <c r="Q353" s="45"/>
      <c r="R353" s="51"/>
      <c r="S353" s="53">
        <v>5</v>
      </c>
      <c r="T353" s="45">
        <v>561.18999999999994</v>
      </c>
      <c r="U353" s="45"/>
      <c r="V353" s="45"/>
      <c r="W353" s="45"/>
      <c r="X353" s="45"/>
      <c r="Y353" s="45"/>
      <c r="Z353" s="51"/>
      <c r="AA353" s="53">
        <v>5</v>
      </c>
      <c r="AB353" s="45">
        <v>559.9699999999998</v>
      </c>
      <c r="AC353" s="45"/>
      <c r="AD353" s="45"/>
      <c r="AE353" s="45"/>
      <c r="AF353" s="45"/>
      <c r="AG353" s="45"/>
      <c r="AH353" s="51"/>
      <c r="AI353" s="53">
        <v>5</v>
      </c>
      <c r="AJ353" s="45">
        <v>559.52</v>
      </c>
      <c r="AK353" s="45"/>
      <c r="AL353" s="45"/>
      <c r="AM353" s="45"/>
      <c r="AN353" s="45"/>
      <c r="AO353" s="45"/>
      <c r="AP353" s="51"/>
    </row>
    <row r="354" spans="1:42" ht="21" customHeight="1" thickTop="1" thickBot="1" x14ac:dyDescent="0.35">
      <c r="A354" s="63"/>
      <c r="B354" s="66"/>
      <c r="C354" s="53">
        <v>6</v>
      </c>
      <c r="D354" s="45">
        <v>559.87999999999977</v>
      </c>
      <c r="E354" s="45"/>
      <c r="F354" s="45"/>
      <c r="G354" s="45"/>
      <c r="H354" s="45"/>
      <c r="I354" s="45"/>
      <c r="J354" s="51"/>
      <c r="K354" s="53">
        <v>6</v>
      </c>
      <c r="L354" s="45">
        <v>559.61999999999978</v>
      </c>
      <c r="M354" s="45"/>
      <c r="N354" s="45"/>
      <c r="O354" s="45"/>
      <c r="P354" s="45"/>
      <c r="Q354" s="45"/>
      <c r="R354" s="51"/>
      <c r="S354" s="53">
        <v>6</v>
      </c>
      <c r="T354" s="45">
        <v>559.98999999999978</v>
      </c>
      <c r="U354" s="45"/>
      <c r="V354" s="45"/>
      <c r="W354" s="45"/>
      <c r="X354" s="45"/>
      <c r="Y354" s="45"/>
      <c r="Z354" s="51"/>
      <c r="AA354" s="53">
        <v>6</v>
      </c>
      <c r="AB354" s="45">
        <v>560.22999999999979</v>
      </c>
      <c r="AC354" s="45"/>
      <c r="AD354" s="45"/>
      <c r="AE354" s="45"/>
      <c r="AF354" s="45"/>
      <c r="AG354" s="45"/>
      <c r="AH354" s="51"/>
      <c r="AI354" s="53">
        <v>6</v>
      </c>
      <c r="AJ354" s="45">
        <v>559.41999999999996</v>
      </c>
      <c r="AK354" s="45"/>
      <c r="AL354" s="45"/>
      <c r="AM354" s="45"/>
      <c r="AN354" s="45"/>
      <c r="AO354" s="45"/>
      <c r="AP354" s="51"/>
    </row>
    <row r="355" spans="1:42" ht="21" customHeight="1" thickTop="1" thickBot="1" x14ac:dyDescent="0.35">
      <c r="A355" s="63"/>
      <c r="B355" s="66"/>
      <c r="C355" s="53">
        <v>7</v>
      </c>
      <c r="D355" s="45">
        <v>559.61999999999966</v>
      </c>
      <c r="E355" s="45"/>
      <c r="F355" s="45"/>
      <c r="G355" s="45"/>
      <c r="H355" s="45"/>
      <c r="I355" s="45"/>
      <c r="J355" s="51"/>
      <c r="K355" s="53">
        <v>7</v>
      </c>
      <c r="L355" s="45">
        <v>560.43999999999983</v>
      </c>
      <c r="M355" s="45"/>
      <c r="N355" s="45"/>
      <c r="O355" s="45"/>
      <c r="P355" s="45"/>
      <c r="Q355" s="45"/>
      <c r="R355" s="51"/>
      <c r="S355" s="53">
        <v>7</v>
      </c>
      <c r="T355" s="45">
        <v>561.00999999999976</v>
      </c>
      <c r="U355" s="45"/>
      <c r="V355" s="45"/>
      <c r="W355" s="45"/>
      <c r="X355" s="45"/>
      <c r="Y355" s="45"/>
      <c r="Z355" s="51"/>
      <c r="AA355" s="53">
        <v>7</v>
      </c>
      <c r="AB355" s="45">
        <v>560.07999999999981</v>
      </c>
      <c r="AC355" s="45"/>
      <c r="AD355" s="45"/>
      <c r="AE355" s="45"/>
      <c r="AF355" s="45"/>
      <c r="AG355" s="45"/>
      <c r="AH355" s="51"/>
      <c r="AI355" s="53">
        <v>7</v>
      </c>
      <c r="AJ355" s="45">
        <v>559.94999999999982</v>
      </c>
      <c r="AK355" s="45"/>
      <c r="AL355" s="45"/>
      <c r="AM355" s="45"/>
      <c r="AN355" s="45"/>
      <c r="AO355" s="45"/>
      <c r="AP355" s="51"/>
    </row>
    <row r="356" spans="1:42" ht="21" customHeight="1" thickTop="1" thickBot="1" x14ac:dyDescent="0.35">
      <c r="A356" s="63"/>
      <c r="B356" s="66"/>
      <c r="C356" s="53">
        <v>8</v>
      </c>
      <c r="D356" s="45">
        <v>559.81999999999971</v>
      </c>
      <c r="E356" s="45"/>
      <c r="F356" s="45"/>
      <c r="G356" s="45"/>
      <c r="H356" s="45"/>
      <c r="I356" s="45"/>
      <c r="J356" s="51"/>
      <c r="K356" s="53">
        <v>8</v>
      </c>
      <c r="L356" s="45">
        <v>560.40999999999985</v>
      </c>
      <c r="M356" s="45"/>
      <c r="N356" s="45"/>
      <c r="O356" s="45"/>
      <c r="P356" s="45"/>
      <c r="Q356" s="45"/>
      <c r="R356" s="51"/>
      <c r="S356" s="53">
        <v>8</v>
      </c>
      <c r="T356" s="45">
        <v>559.94999999999993</v>
      </c>
      <c r="U356" s="45"/>
      <c r="V356" s="45"/>
      <c r="W356" s="45"/>
      <c r="X356" s="45"/>
      <c r="Y356" s="45"/>
      <c r="Z356" s="51"/>
      <c r="AA356" s="53">
        <v>8</v>
      </c>
      <c r="AB356" s="45">
        <v>560.70999999999981</v>
      </c>
      <c r="AC356" s="45"/>
      <c r="AD356" s="45"/>
      <c r="AE356" s="45"/>
      <c r="AF356" s="45"/>
      <c r="AG356" s="45"/>
      <c r="AH356" s="51"/>
      <c r="AI356" s="53">
        <v>8</v>
      </c>
      <c r="AJ356" s="45">
        <v>559.91999999999996</v>
      </c>
      <c r="AK356" s="45"/>
      <c r="AL356" s="45"/>
      <c r="AM356" s="45"/>
      <c r="AN356" s="45"/>
      <c r="AO356" s="45"/>
      <c r="AP356" s="51"/>
    </row>
    <row r="357" spans="1:42" ht="21" customHeight="1" thickTop="1" thickBot="1" x14ac:dyDescent="0.35">
      <c r="A357" s="63"/>
      <c r="B357" s="66"/>
      <c r="C357" s="53">
        <v>9</v>
      </c>
      <c r="D357" s="45">
        <v>559.61999999999978</v>
      </c>
      <c r="E357" s="45"/>
      <c r="F357" s="45"/>
      <c r="G357" s="45"/>
      <c r="H357" s="45"/>
      <c r="I357" s="45"/>
      <c r="J357" s="51"/>
      <c r="K357" s="53">
        <v>9</v>
      </c>
      <c r="L357" s="45">
        <v>560.30999999999972</v>
      </c>
      <c r="M357" s="45"/>
      <c r="N357" s="45"/>
      <c r="O357" s="45"/>
      <c r="P357" s="45"/>
      <c r="Q357" s="45"/>
      <c r="R357" s="51"/>
      <c r="S357" s="53">
        <v>9</v>
      </c>
      <c r="T357" s="45">
        <v>560.00999999999988</v>
      </c>
      <c r="U357" s="45"/>
      <c r="V357" s="45"/>
      <c r="W357" s="45"/>
      <c r="X357" s="45"/>
      <c r="Y357" s="45"/>
      <c r="Z357" s="51"/>
      <c r="AA357" s="53">
        <v>9</v>
      </c>
      <c r="AB357" s="45">
        <v>561.2199999999998</v>
      </c>
      <c r="AC357" s="45"/>
      <c r="AD357" s="45"/>
      <c r="AE357" s="45"/>
      <c r="AF357" s="45"/>
      <c r="AG357" s="45"/>
      <c r="AH357" s="51"/>
      <c r="AI357" s="53">
        <v>9</v>
      </c>
      <c r="AJ357" s="45">
        <v>559.93999999999994</v>
      </c>
      <c r="AK357" s="45"/>
      <c r="AL357" s="45"/>
      <c r="AM357" s="45"/>
      <c r="AN357" s="45"/>
      <c r="AO357" s="45"/>
      <c r="AP357" s="51"/>
    </row>
    <row r="358" spans="1:42" ht="21" customHeight="1" thickTop="1" thickBot="1" x14ac:dyDescent="0.35">
      <c r="A358" s="63"/>
      <c r="B358" s="66"/>
      <c r="C358" s="53">
        <v>10</v>
      </c>
      <c r="D358" s="45">
        <v>559.63999999999976</v>
      </c>
      <c r="E358" s="45"/>
      <c r="F358" s="45"/>
      <c r="G358" s="45"/>
      <c r="H358" s="45"/>
      <c r="I358" s="45"/>
      <c r="J358" s="51"/>
      <c r="K358" s="53">
        <v>10</v>
      </c>
      <c r="L358" s="45">
        <v>561.16999999999985</v>
      </c>
      <c r="M358" s="45"/>
      <c r="N358" s="45"/>
      <c r="O358" s="45"/>
      <c r="P358" s="45"/>
      <c r="Q358" s="45"/>
      <c r="R358" s="51"/>
      <c r="S358" s="53">
        <v>10</v>
      </c>
      <c r="T358" s="45">
        <v>560.92999999999972</v>
      </c>
      <c r="U358" s="45"/>
      <c r="V358" s="45"/>
      <c r="W358" s="45"/>
      <c r="X358" s="45"/>
      <c r="Y358" s="45"/>
      <c r="Z358" s="51"/>
      <c r="AA358" s="53">
        <v>10</v>
      </c>
      <c r="AB358" s="45">
        <v>560.66999999999973</v>
      </c>
      <c r="AC358" s="45"/>
      <c r="AD358" s="45"/>
      <c r="AE358" s="45"/>
      <c r="AF358" s="45"/>
      <c r="AG358" s="45"/>
      <c r="AH358" s="51"/>
      <c r="AI358" s="53">
        <v>10</v>
      </c>
      <c r="AJ358" s="45">
        <v>559.41999999999985</v>
      </c>
      <c r="AK358" s="45"/>
      <c r="AL358" s="45"/>
      <c r="AM358" s="45"/>
      <c r="AN358" s="45"/>
      <c r="AO358" s="45"/>
      <c r="AP358" s="51"/>
    </row>
    <row r="359" spans="1:42" ht="21" customHeight="1" thickTop="1" thickBot="1" x14ac:dyDescent="0.35">
      <c r="A359" s="63"/>
      <c r="B359" s="66"/>
      <c r="C359" s="53"/>
      <c r="D359" s="45"/>
      <c r="E359" s="45"/>
      <c r="F359" s="45"/>
      <c r="G359" s="45"/>
      <c r="H359" s="45"/>
      <c r="I359" s="45"/>
      <c r="J359" s="51"/>
      <c r="K359" s="53"/>
      <c r="L359" s="45"/>
      <c r="M359" s="45"/>
      <c r="N359" s="45"/>
      <c r="O359" s="45"/>
      <c r="P359" s="45"/>
      <c r="Q359" s="45"/>
      <c r="R359" s="51"/>
      <c r="S359" s="53"/>
      <c r="T359" s="45"/>
      <c r="U359" s="45"/>
      <c r="V359" s="45"/>
      <c r="W359" s="45"/>
      <c r="X359" s="45"/>
      <c r="Y359" s="45"/>
      <c r="Z359" s="51"/>
      <c r="AA359" s="53"/>
      <c r="AB359" s="45"/>
      <c r="AC359" s="45"/>
      <c r="AD359" s="45"/>
      <c r="AE359" s="45"/>
      <c r="AF359" s="45"/>
      <c r="AG359" s="45"/>
      <c r="AH359" s="51"/>
      <c r="AI359" s="53"/>
      <c r="AJ359" s="45"/>
      <c r="AK359" s="45"/>
      <c r="AL359" s="45"/>
      <c r="AM359" s="45"/>
      <c r="AN359" s="45"/>
      <c r="AO359" s="45"/>
      <c r="AP359" s="51"/>
    </row>
    <row r="360" spans="1:42" ht="21" customHeight="1" thickTop="1" thickBot="1" x14ac:dyDescent="0.35">
      <c r="A360" s="63"/>
      <c r="B360" s="66"/>
      <c r="C360" s="54" t="s">
        <v>16</v>
      </c>
      <c r="D360" s="49">
        <f>MIN(D349:D358)</f>
        <v>559.61999999999966</v>
      </c>
      <c r="E360" s="45"/>
      <c r="F360" s="55" t="s">
        <v>17</v>
      </c>
      <c r="G360" s="49" t="s">
        <v>18</v>
      </c>
      <c r="H360" s="49" t="s">
        <v>19</v>
      </c>
      <c r="I360" s="45"/>
      <c r="J360" s="51"/>
      <c r="K360" s="54" t="s">
        <v>16</v>
      </c>
      <c r="L360" s="49">
        <f>MIN(L349:L358)</f>
        <v>559.41999999999985</v>
      </c>
      <c r="M360" s="45"/>
      <c r="N360" s="55" t="s">
        <v>17</v>
      </c>
      <c r="O360" s="49" t="s">
        <v>18</v>
      </c>
      <c r="P360" s="49" t="s">
        <v>19</v>
      </c>
      <c r="Q360" s="45"/>
      <c r="R360" s="51"/>
      <c r="S360" s="54" t="s">
        <v>16</v>
      </c>
      <c r="T360" s="49">
        <f>MIN(T349:T358)</f>
        <v>559.81999999999982</v>
      </c>
      <c r="U360" s="45"/>
      <c r="V360" s="55" t="s">
        <v>17</v>
      </c>
      <c r="W360" s="49" t="s">
        <v>18</v>
      </c>
      <c r="X360" s="49" t="s">
        <v>19</v>
      </c>
      <c r="Y360" s="45"/>
      <c r="Z360" s="51"/>
      <c r="AA360" s="54" t="s">
        <v>16</v>
      </c>
      <c r="AB360" s="49">
        <f>MIN(AB349:AB358)</f>
        <v>559.89999999999986</v>
      </c>
      <c r="AC360" s="45"/>
      <c r="AD360" s="55" t="s">
        <v>17</v>
      </c>
      <c r="AE360" s="49" t="s">
        <v>18</v>
      </c>
      <c r="AF360" s="49" t="s">
        <v>19</v>
      </c>
      <c r="AG360" s="45"/>
      <c r="AH360" s="51"/>
      <c r="AI360" s="54" t="s">
        <v>16</v>
      </c>
      <c r="AJ360" s="49">
        <f>MIN(AJ349:AJ358)</f>
        <v>559.15999999999985</v>
      </c>
      <c r="AK360" s="45"/>
      <c r="AL360" s="55" t="s">
        <v>17</v>
      </c>
      <c r="AM360" s="49" t="s">
        <v>18</v>
      </c>
      <c r="AN360" s="49" t="s">
        <v>19</v>
      </c>
      <c r="AO360" s="45"/>
      <c r="AP360" s="51"/>
    </row>
    <row r="361" spans="1:42" ht="21" customHeight="1" thickTop="1" thickBot="1" x14ac:dyDescent="0.35">
      <c r="A361" s="63"/>
      <c r="B361" s="66"/>
      <c r="C361" s="54" t="s">
        <v>20</v>
      </c>
      <c r="D361" s="48">
        <f>AVERAGE(D349:D358)</f>
        <v>559.93699999999967</v>
      </c>
      <c r="E361" s="47"/>
      <c r="F361" s="48">
        <f>_xlfn.STDEV.S(D349:D358) / AVERAGE(D349:D358) * 100%</f>
        <v>7.3118634152696783E-4</v>
      </c>
      <c r="G361" s="48">
        <f t="array" ref="G361">MIN((D349:D358 - MIN(D349:D358,L349:L358,T349:T358,AB349:AB358,AJ349:AJ358))/MIN(D349:D358,L349:L358,T349:T358,AB349:AB358,AJ349:AJ358)*100%)</f>
        <v>8.2266256527614484E-4</v>
      </c>
      <c r="H361" s="48">
        <f t="array" ref="H361">AVERAGE((D349:D358 - MIN(D349:D358,L349:L358,T349:T358,AB349:AB358,AJ349:AJ358))/MIN(D349:D358,L349:L358,T349:T358,AB349:AB358,AJ349:AJ358)*100%)</f>
        <v>1.3895843765647225E-3</v>
      </c>
      <c r="I361" s="45"/>
      <c r="J361" s="51"/>
      <c r="K361" s="54" t="s">
        <v>20</v>
      </c>
      <c r="L361" s="48">
        <f>AVERAGE(L349:L358)</f>
        <v>560.17099999999982</v>
      </c>
      <c r="M361" s="47"/>
      <c r="N361" s="48">
        <f>_xlfn.STDEV.S(L349:L358) / AVERAGE(L349:L358) * 100%</f>
        <v>1.0614528426630486E-3</v>
      </c>
      <c r="O361" s="48">
        <f t="array" ref="O361">MIN((L349:L358 - MIN(D349:D358,L349:L358,T349:T358,AB349:AB358,AJ349:AJ358))/MIN(D349:D358,L349:L358,T349:T358,AB349:AB358,AJ349:AJ358)*100%)</f>
        <v>4.6498318906930213E-4</v>
      </c>
      <c r="P361" s="48">
        <f t="array" ref="P361">AVERAGE((L349:L358 - MIN(D349:D358,L349:L358,T349:T358,AB349:AB358,AJ349:AJ358))/MIN(D349:D358,L349:L358,T349:T358,AB349:AB358,AJ349:AJ358)*100%)</f>
        <v>1.8080692467271349E-3</v>
      </c>
      <c r="Q361" s="44"/>
      <c r="R361" s="51"/>
      <c r="S361" s="54" t="s">
        <v>20</v>
      </c>
      <c r="T361" s="48">
        <f>AVERAGE(T349:T358)</f>
        <v>560.53799999999978</v>
      </c>
      <c r="U361" s="47"/>
      <c r="V361" s="48">
        <f>_xlfn.STDEV.S(T349:T358) / AVERAGE(T349:T358) * 100%</f>
        <v>1.1551790804650698E-3</v>
      </c>
      <c r="W361" s="48">
        <f t="array" ref="W361">MIN((T349:T358 - MIN(D349:D358,L349:L358,T349:T358,AB349:AB358,AJ349:AJ358))/MIN(D349:D358,L349:L358,T349:T358,AB349:AB358,AJ349:AJ358)*100%)</f>
        <v>1.1803419414835974E-3</v>
      </c>
      <c r="X361" s="48">
        <f t="array" ref="X361">AVERAGE((T349:T358 - MIN(D349:D358,L349:L358,T349:T358,AB349:AB358,AJ349:AJ358))/MIN(D349:D358,L349:L358,T349:T358,AB349:AB358,AJ349:AJ358)*100%)</f>
        <v>2.464410902067342E-3</v>
      </c>
      <c r="Y361" s="44"/>
      <c r="Z361" s="51"/>
      <c r="AA361" s="54" t="s">
        <v>20</v>
      </c>
      <c r="AB361" s="48">
        <f>AVERAGE(AB349:AB358)</f>
        <v>560.34899999999982</v>
      </c>
      <c r="AC361" s="47"/>
      <c r="AD361" s="48">
        <f>_xlfn.STDEV.S(AB349:AB358) / AVERAGE(AB349:AB358) * 100%</f>
        <v>7.336164250231525E-4</v>
      </c>
      <c r="AE361" s="48">
        <f t="array" ref="AE361">MIN((AB349:AB358 - MIN(D349:D358,L349:L358,T349:T358,AB349:AB358,AJ349:AJ358))/MIN(D349:D358,L349:L358,T349:T358,AB349:AB358,AJ349:AJ358)*100%)</f>
        <v>1.3234136919665377E-3</v>
      </c>
      <c r="AF361" s="48">
        <f t="array" ref="AF361">AVERAGE((AB349:AB358 - MIN(D349:D358,L349:L358,T349:T358,AB349:AB358,AJ349:AJ358))/MIN(D349:D358,L349:L358,T349:T358,AB349:AB358,AJ349:AJ358)*100%)</f>
        <v>2.1264038915514891E-3</v>
      </c>
      <c r="AG361" s="44"/>
      <c r="AH361" s="51"/>
      <c r="AI361" s="54" t="s">
        <v>20</v>
      </c>
      <c r="AJ361" s="48">
        <f>AVERAGE(AJ349:AJ358)</f>
        <v>559.63099999999997</v>
      </c>
      <c r="AK361" s="47"/>
      <c r="AL361" s="48">
        <f>_xlfn.STDEV.S(AJ349:AJ358) / AVERAGE(AJ349:AJ358) * 100%</f>
        <v>5.3728717111852886E-4</v>
      </c>
      <c r="AM361" s="48">
        <f t="array" ref="AM361">MIN((AJ349:AJ358 - MIN(D349:D358,L349:L358,T349:T358,AB349:AB358,AJ349:AJ358))/MIN(D349:D358,L349:L358,T349:T358,AB349:AB358,AJ349:AJ358)*100%)</f>
        <v>0</v>
      </c>
      <c r="AN361" s="48">
        <f t="array" ref="AN361">AVERAGE((AJ349:AJ358 - MIN(D349:D358,L349:L358,T349:T358,AB349:AB358,AJ349:AJ358))/MIN(D349:D358,L349:L358,T349:T358,AB349:AB358,AJ349:AJ358)*100%)</f>
        <v>8.4233493096798882E-4</v>
      </c>
      <c r="AO361" s="44"/>
      <c r="AP361" s="51"/>
    </row>
    <row r="362" spans="1:42" ht="21" customHeight="1" thickTop="1" thickBot="1" x14ac:dyDescent="0.35">
      <c r="A362" s="64"/>
      <c r="B362" s="67"/>
      <c r="C362" s="56"/>
      <c r="D362" s="57"/>
      <c r="E362" s="57"/>
      <c r="F362" s="57"/>
      <c r="G362" s="57"/>
      <c r="H362" s="57"/>
      <c r="I362" s="57"/>
      <c r="J362" s="58"/>
      <c r="K362" s="56"/>
      <c r="L362" s="57"/>
      <c r="M362" s="57"/>
      <c r="N362" s="57"/>
      <c r="O362" s="57"/>
      <c r="P362" s="57"/>
      <c r="Q362" s="57"/>
      <c r="R362" s="58"/>
      <c r="S362" s="56"/>
      <c r="T362" s="57"/>
      <c r="U362" s="57"/>
      <c r="V362" s="57"/>
      <c r="W362" s="57"/>
      <c r="X362" s="57"/>
      <c r="Y362" s="57"/>
      <c r="Z362" s="58"/>
      <c r="AA362" s="56"/>
      <c r="AB362" s="57"/>
      <c r="AC362" s="57"/>
      <c r="AD362" s="57"/>
      <c r="AE362" s="57"/>
      <c r="AF362" s="57"/>
      <c r="AG362" s="57"/>
      <c r="AH362" s="58"/>
      <c r="AI362" s="56"/>
      <c r="AJ362" s="57"/>
      <c r="AK362" s="57"/>
      <c r="AL362" s="57"/>
      <c r="AM362" s="57"/>
      <c r="AN362" s="57"/>
      <c r="AO362" s="57"/>
      <c r="AP362" s="58"/>
    </row>
    <row r="363" spans="1:42" ht="21" customHeight="1" thickTop="1" thickBot="1" x14ac:dyDescent="0.35">
      <c r="A363" s="62">
        <v>4</v>
      </c>
      <c r="B363" s="65" t="s">
        <v>130</v>
      </c>
      <c r="C363" s="59" t="s">
        <v>8</v>
      </c>
      <c r="D363" s="46" t="s">
        <v>9</v>
      </c>
      <c r="E363" s="46" t="s">
        <v>10</v>
      </c>
      <c r="F363" s="46" t="s">
        <v>11</v>
      </c>
      <c r="G363" s="46" t="s">
        <v>12</v>
      </c>
      <c r="H363" s="46" t="s">
        <v>13</v>
      </c>
      <c r="I363" s="46" t="s">
        <v>14</v>
      </c>
      <c r="J363" s="60" t="s">
        <v>15</v>
      </c>
      <c r="K363" s="59" t="s">
        <v>8</v>
      </c>
      <c r="L363" s="46" t="s">
        <v>9</v>
      </c>
      <c r="M363" s="46" t="s">
        <v>10</v>
      </c>
      <c r="N363" s="46" t="s">
        <v>11</v>
      </c>
      <c r="O363" s="46" t="s">
        <v>12</v>
      </c>
      <c r="P363" s="46" t="s">
        <v>13</v>
      </c>
      <c r="Q363" s="46" t="s">
        <v>14</v>
      </c>
      <c r="R363" s="60" t="s">
        <v>15</v>
      </c>
      <c r="S363" s="59" t="s">
        <v>8</v>
      </c>
      <c r="T363" s="46" t="s">
        <v>9</v>
      </c>
      <c r="U363" s="46" t="s">
        <v>10</v>
      </c>
      <c r="V363" s="46" t="s">
        <v>11</v>
      </c>
      <c r="W363" s="46" t="s">
        <v>12</v>
      </c>
      <c r="X363" s="46" t="s">
        <v>13</v>
      </c>
      <c r="Y363" s="46" t="s">
        <v>14</v>
      </c>
      <c r="Z363" s="60" t="s">
        <v>15</v>
      </c>
      <c r="AA363" s="59" t="s">
        <v>8</v>
      </c>
      <c r="AB363" s="46" t="s">
        <v>9</v>
      </c>
      <c r="AC363" s="46" t="s">
        <v>10</v>
      </c>
      <c r="AD363" s="46" t="s">
        <v>11</v>
      </c>
      <c r="AE363" s="46" t="s">
        <v>12</v>
      </c>
      <c r="AF363" s="46" t="s">
        <v>13</v>
      </c>
      <c r="AG363" s="46" t="s">
        <v>14</v>
      </c>
      <c r="AH363" s="60" t="s">
        <v>15</v>
      </c>
      <c r="AI363" s="59" t="s">
        <v>8</v>
      </c>
      <c r="AJ363" s="46" t="s">
        <v>9</v>
      </c>
      <c r="AK363" s="46" t="s">
        <v>10</v>
      </c>
      <c r="AL363" s="46" t="s">
        <v>11</v>
      </c>
      <c r="AM363" s="46" t="s">
        <v>12</v>
      </c>
      <c r="AN363" s="46" t="s">
        <v>13</v>
      </c>
      <c r="AO363" s="46" t="s">
        <v>14</v>
      </c>
      <c r="AP363" s="60" t="s">
        <v>15</v>
      </c>
    </row>
    <row r="364" spans="1:42" ht="21" customHeight="1" thickTop="1" thickBot="1" x14ac:dyDescent="0.35">
      <c r="A364" s="63"/>
      <c r="B364" s="66"/>
      <c r="C364" s="52">
        <v>1</v>
      </c>
      <c r="D364" s="44">
        <v>406.17999999999989</v>
      </c>
      <c r="E364" s="44"/>
      <c r="F364" s="44"/>
      <c r="G364" s="44"/>
      <c r="H364" s="44"/>
      <c r="I364" s="44"/>
      <c r="J364" s="51"/>
      <c r="K364" s="52">
        <v>1</v>
      </c>
      <c r="L364" s="44">
        <v>407.20999999999992</v>
      </c>
      <c r="M364" s="44"/>
      <c r="N364" s="44"/>
      <c r="O364" s="44"/>
      <c r="P364" s="44"/>
      <c r="Q364" s="44"/>
      <c r="R364" s="51"/>
      <c r="S364" s="52">
        <v>1</v>
      </c>
      <c r="T364" s="44">
        <v>407.13999999999982</v>
      </c>
      <c r="U364" s="44"/>
      <c r="V364" s="44"/>
      <c r="W364" s="44"/>
      <c r="X364" s="44"/>
      <c r="Y364" s="44"/>
      <c r="Z364" s="51"/>
      <c r="AA364" s="52">
        <v>1</v>
      </c>
      <c r="AB364" s="44">
        <v>405.33999999999992</v>
      </c>
      <c r="AC364" s="44"/>
      <c r="AD364" s="44"/>
      <c r="AE364" s="44"/>
      <c r="AF364" s="44"/>
      <c r="AG364" s="44"/>
      <c r="AH364" s="51"/>
      <c r="AI364" s="52">
        <v>1</v>
      </c>
      <c r="AJ364" s="44">
        <v>406.78999999999979</v>
      </c>
      <c r="AK364" s="44"/>
      <c r="AL364" s="44"/>
      <c r="AM364" s="44"/>
      <c r="AN364" s="44"/>
      <c r="AO364" s="44"/>
      <c r="AP364" s="51"/>
    </row>
    <row r="365" spans="1:42" ht="21" customHeight="1" thickTop="1" thickBot="1" x14ac:dyDescent="0.35">
      <c r="A365" s="63"/>
      <c r="B365" s="66"/>
      <c r="C365" s="53">
        <v>2</v>
      </c>
      <c r="D365" s="45">
        <v>405.9199999999999</v>
      </c>
      <c r="E365" s="45"/>
      <c r="F365" s="45"/>
      <c r="G365" s="45"/>
      <c r="H365" s="45"/>
      <c r="I365" s="45"/>
      <c r="J365" s="51"/>
      <c r="K365" s="53">
        <v>2</v>
      </c>
      <c r="L365" s="45">
        <v>407.0499999999999</v>
      </c>
      <c r="M365" s="45"/>
      <c r="N365" s="45"/>
      <c r="O365" s="45"/>
      <c r="P365" s="45"/>
      <c r="Q365" s="45"/>
      <c r="R365" s="51"/>
      <c r="S365" s="53">
        <v>2</v>
      </c>
      <c r="T365" s="45">
        <v>407.62999999999988</v>
      </c>
      <c r="U365" s="45"/>
      <c r="V365" s="45"/>
      <c r="W365" s="45"/>
      <c r="X365" s="45"/>
      <c r="Y365" s="45"/>
      <c r="Z365" s="51"/>
      <c r="AA365" s="53">
        <v>2</v>
      </c>
      <c r="AB365" s="45">
        <v>406.75999999999988</v>
      </c>
      <c r="AC365" s="45"/>
      <c r="AD365" s="45"/>
      <c r="AE365" s="45"/>
      <c r="AF365" s="45"/>
      <c r="AG365" s="45"/>
      <c r="AH365" s="51"/>
      <c r="AI365" s="53">
        <v>2</v>
      </c>
      <c r="AJ365" s="45">
        <v>406.70999999999992</v>
      </c>
      <c r="AK365" s="45"/>
      <c r="AL365" s="45"/>
      <c r="AM365" s="45"/>
      <c r="AN365" s="45"/>
      <c r="AO365" s="45"/>
      <c r="AP365" s="51"/>
    </row>
    <row r="366" spans="1:42" ht="21" customHeight="1" thickTop="1" thickBot="1" x14ac:dyDescent="0.35">
      <c r="A366" s="63"/>
      <c r="B366" s="66"/>
      <c r="C366" s="53">
        <v>3</v>
      </c>
      <c r="D366" s="45">
        <v>405.94999999999987</v>
      </c>
      <c r="E366" s="45"/>
      <c r="F366" s="45"/>
      <c r="G366" s="44"/>
      <c r="H366" s="44"/>
      <c r="I366" s="44"/>
      <c r="J366" s="51"/>
      <c r="K366" s="53">
        <v>3</v>
      </c>
      <c r="L366" s="45">
        <v>406.7999999999999</v>
      </c>
      <c r="M366" s="45"/>
      <c r="N366" s="45"/>
      <c r="O366" s="44"/>
      <c r="P366" s="44"/>
      <c r="Q366" s="44"/>
      <c r="R366" s="51"/>
      <c r="S366" s="53">
        <v>3</v>
      </c>
      <c r="T366" s="45">
        <v>406.66999999999979</v>
      </c>
      <c r="U366" s="45"/>
      <c r="V366" s="45"/>
      <c r="W366" s="44"/>
      <c r="X366" s="44"/>
      <c r="Y366" s="44"/>
      <c r="Z366" s="51"/>
      <c r="AA366" s="53">
        <v>3</v>
      </c>
      <c r="AB366" s="45">
        <v>408.44999999999987</v>
      </c>
      <c r="AC366" s="45"/>
      <c r="AD366" s="45"/>
      <c r="AE366" s="44"/>
      <c r="AF366" s="44"/>
      <c r="AG366" s="44"/>
      <c r="AH366" s="51"/>
      <c r="AI366" s="53">
        <v>3</v>
      </c>
      <c r="AJ366" s="45">
        <v>406.57999999999993</v>
      </c>
      <c r="AK366" s="45"/>
      <c r="AL366" s="45"/>
      <c r="AM366" s="44"/>
      <c r="AN366" s="44"/>
      <c r="AO366" s="44"/>
      <c r="AP366" s="51"/>
    </row>
    <row r="367" spans="1:42" ht="21" customHeight="1" thickTop="1" thickBot="1" x14ac:dyDescent="0.35">
      <c r="A367" s="63"/>
      <c r="B367" s="66"/>
      <c r="C367" s="53">
        <v>4</v>
      </c>
      <c r="D367" s="45">
        <v>404.88999999999987</v>
      </c>
      <c r="E367" s="45"/>
      <c r="F367" s="45"/>
      <c r="G367" s="45"/>
      <c r="H367" s="45"/>
      <c r="I367" s="45"/>
      <c r="J367" s="51"/>
      <c r="K367" s="53">
        <v>4</v>
      </c>
      <c r="L367" s="45">
        <v>406.27999999999992</v>
      </c>
      <c r="M367" s="45"/>
      <c r="N367" s="45"/>
      <c r="O367" s="45"/>
      <c r="P367" s="45"/>
      <c r="Q367" s="45"/>
      <c r="R367" s="51"/>
      <c r="S367" s="53">
        <v>4</v>
      </c>
      <c r="T367" s="45">
        <v>405.53999999999979</v>
      </c>
      <c r="U367" s="45"/>
      <c r="V367" s="45"/>
      <c r="W367" s="45"/>
      <c r="X367" s="45"/>
      <c r="Y367" s="45"/>
      <c r="Z367" s="51"/>
      <c r="AA367" s="53">
        <v>4</v>
      </c>
      <c r="AB367" s="45">
        <v>405.24</v>
      </c>
      <c r="AC367" s="45"/>
      <c r="AD367" s="45"/>
      <c r="AE367" s="45"/>
      <c r="AF367" s="45"/>
      <c r="AG367" s="45"/>
      <c r="AH367" s="51"/>
      <c r="AI367" s="53">
        <v>4</v>
      </c>
      <c r="AJ367" s="45">
        <v>405.90999999999991</v>
      </c>
      <c r="AK367" s="45"/>
      <c r="AL367" s="45"/>
      <c r="AM367" s="45"/>
      <c r="AN367" s="45"/>
      <c r="AO367" s="45"/>
      <c r="AP367" s="51"/>
    </row>
    <row r="368" spans="1:42" ht="21" customHeight="1" thickTop="1" thickBot="1" x14ac:dyDescent="0.35">
      <c r="A368" s="63"/>
      <c r="B368" s="66"/>
      <c r="C368" s="53">
        <v>5</v>
      </c>
      <c r="D368" s="45">
        <v>405.69999999999982</v>
      </c>
      <c r="E368" s="45"/>
      <c r="F368" s="45"/>
      <c r="G368" s="45"/>
      <c r="H368" s="45"/>
      <c r="I368" s="45"/>
      <c r="J368" s="51"/>
      <c r="K368" s="53">
        <v>5</v>
      </c>
      <c r="L368" s="45">
        <v>407.56999999999988</v>
      </c>
      <c r="M368" s="45"/>
      <c r="N368" s="45"/>
      <c r="O368" s="45"/>
      <c r="P368" s="45"/>
      <c r="Q368" s="45"/>
      <c r="R368" s="51"/>
      <c r="S368" s="53">
        <v>5</v>
      </c>
      <c r="T368" s="45">
        <v>405.42999999999989</v>
      </c>
      <c r="U368" s="45"/>
      <c r="V368" s="45"/>
      <c r="W368" s="45"/>
      <c r="X368" s="45"/>
      <c r="Y368" s="45"/>
      <c r="Z368" s="51"/>
      <c r="AA368" s="53">
        <v>5</v>
      </c>
      <c r="AB368" s="45">
        <v>406.88999999999987</v>
      </c>
      <c r="AC368" s="45"/>
      <c r="AD368" s="45"/>
      <c r="AE368" s="45"/>
      <c r="AF368" s="45"/>
      <c r="AG368" s="45"/>
      <c r="AH368" s="51"/>
      <c r="AI368" s="53">
        <v>5</v>
      </c>
      <c r="AJ368" s="45">
        <v>407.71999999999991</v>
      </c>
      <c r="AK368" s="45"/>
      <c r="AL368" s="45"/>
      <c r="AM368" s="45"/>
      <c r="AN368" s="45"/>
      <c r="AO368" s="45"/>
      <c r="AP368" s="51"/>
    </row>
    <row r="369" spans="1:42" ht="21" customHeight="1" thickTop="1" thickBot="1" x14ac:dyDescent="0.35">
      <c r="A369" s="63"/>
      <c r="B369" s="66"/>
      <c r="C369" s="53">
        <v>6</v>
      </c>
      <c r="D369" s="45">
        <v>405.56999999999988</v>
      </c>
      <c r="E369" s="45"/>
      <c r="F369" s="45"/>
      <c r="G369" s="45"/>
      <c r="H369" s="45"/>
      <c r="I369" s="45"/>
      <c r="J369" s="51"/>
      <c r="K369" s="53">
        <v>6</v>
      </c>
      <c r="L369" s="45">
        <v>406.57999999999993</v>
      </c>
      <c r="M369" s="45"/>
      <c r="N369" s="45"/>
      <c r="O369" s="45"/>
      <c r="P369" s="45"/>
      <c r="Q369" s="45"/>
      <c r="R369" s="51"/>
      <c r="S369" s="53">
        <v>6</v>
      </c>
      <c r="T369" s="45">
        <v>406.79999999999978</v>
      </c>
      <c r="U369" s="45"/>
      <c r="V369" s="45"/>
      <c r="W369" s="45"/>
      <c r="X369" s="45"/>
      <c r="Y369" s="45"/>
      <c r="Z369" s="51"/>
      <c r="AA369" s="53">
        <v>6</v>
      </c>
      <c r="AB369" s="45">
        <v>407.06999999999988</v>
      </c>
      <c r="AC369" s="45"/>
      <c r="AD369" s="45"/>
      <c r="AE369" s="45"/>
      <c r="AF369" s="45"/>
      <c r="AG369" s="45"/>
      <c r="AH369" s="51"/>
      <c r="AI369" s="53">
        <v>6</v>
      </c>
      <c r="AJ369" s="45">
        <v>405.52999999999992</v>
      </c>
      <c r="AK369" s="45"/>
      <c r="AL369" s="45"/>
      <c r="AM369" s="45"/>
      <c r="AN369" s="45"/>
      <c r="AO369" s="45"/>
      <c r="AP369" s="51"/>
    </row>
    <row r="370" spans="1:42" ht="21" customHeight="1" thickTop="1" thickBot="1" x14ac:dyDescent="0.35">
      <c r="A370" s="63"/>
      <c r="B370" s="66"/>
      <c r="C370" s="53">
        <v>7</v>
      </c>
      <c r="D370" s="45">
        <v>404.83999999999992</v>
      </c>
      <c r="E370" s="45"/>
      <c r="F370" s="45"/>
      <c r="G370" s="45"/>
      <c r="H370" s="45"/>
      <c r="I370" s="45"/>
      <c r="J370" s="51"/>
      <c r="K370" s="53">
        <v>7</v>
      </c>
      <c r="L370" s="45">
        <v>407.78999999999991</v>
      </c>
      <c r="M370" s="45"/>
      <c r="N370" s="45"/>
      <c r="O370" s="45"/>
      <c r="P370" s="45"/>
      <c r="Q370" s="45"/>
      <c r="R370" s="51"/>
      <c r="S370" s="53">
        <v>7</v>
      </c>
      <c r="T370" s="45">
        <v>406.06999999999988</v>
      </c>
      <c r="U370" s="45"/>
      <c r="V370" s="45"/>
      <c r="W370" s="45"/>
      <c r="X370" s="45"/>
      <c r="Y370" s="45"/>
      <c r="Z370" s="51"/>
      <c r="AA370" s="53">
        <v>7</v>
      </c>
      <c r="AB370" s="45">
        <v>406.66999999999979</v>
      </c>
      <c r="AC370" s="45"/>
      <c r="AD370" s="45"/>
      <c r="AE370" s="45"/>
      <c r="AF370" s="45"/>
      <c r="AG370" s="45"/>
      <c r="AH370" s="51"/>
      <c r="AI370" s="53">
        <v>7</v>
      </c>
      <c r="AJ370" s="45">
        <v>406.25999999999988</v>
      </c>
      <c r="AK370" s="45"/>
      <c r="AL370" s="45"/>
      <c r="AM370" s="45"/>
      <c r="AN370" s="45"/>
      <c r="AO370" s="45"/>
      <c r="AP370" s="51"/>
    </row>
    <row r="371" spans="1:42" ht="21" customHeight="1" thickTop="1" thickBot="1" x14ac:dyDescent="0.35">
      <c r="A371" s="63"/>
      <c r="B371" s="66"/>
      <c r="C371" s="53">
        <v>8</v>
      </c>
      <c r="D371" s="45">
        <v>406.09999999999991</v>
      </c>
      <c r="E371" s="45"/>
      <c r="F371" s="45"/>
      <c r="G371" s="45"/>
      <c r="H371" s="45"/>
      <c r="I371" s="45"/>
      <c r="J371" s="51"/>
      <c r="K371" s="53">
        <v>8</v>
      </c>
      <c r="L371" s="45">
        <v>407.7199999999998</v>
      </c>
      <c r="M371" s="45"/>
      <c r="N371" s="45"/>
      <c r="O371" s="45"/>
      <c r="P371" s="45"/>
      <c r="Q371" s="45"/>
      <c r="R371" s="51"/>
      <c r="S371" s="53">
        <v>8</v>
      </c>
      <c r="T371" s="45">
        <v>405.41999999999979</v>
      </c>
      <c r="U371" s="45"/>
      <c r="V371" s="45"/>
      <c r="W371" s="45"/>
      <c r="X371" s="45"/>
      <c r="Y371" s="45"/>
      <c r="Z371" s="51"/>
      <c r="AA371" s="53">
        <v>8</v>
      </c>
      <c r="AB371" s="45">
        <v>406.82</v>
      </c>
      <c r="AC371" s="45"/>
      <c r="AD371" s="45"/>
      <c r="AE371" s="45"/>
      <c r="AF371" s="45"/>
      <c r="AG371" s="45"/>
      <c r="AH371" s="51"/>
      <c r="AI371" s="53">
        <v>8</v>
      </c>
      <c r="AJ371" s="45">
        <v>406.89999999999992</v>
      </c>
      <c r="AK371" s="45"/>
      <c r="AL371" s="45"/>
      <c r="AM371" s="45"/>
      <c r="AN371" s="45"/>
      <c r="AO371" s="45"/>
      <c r="AP371" s="51"/>
    </row>
    <row r="372" spans="1:42" ht="21" customHeight="1" thickTop="1" thickBot="1" x14ac:dyDescent="0.35">
      <c r="A372" s="63"/>
      <c r="B372" s="66"/>
      <c r="C372" s="53">
        <v>9</v>
      </c>
      <c r="D372" s="45">
        <v>405.78999999999991</v>
      </c>
      <c r="E372" s="45"/>
      <c r="F372" s="45"/>
      <c r="G372" s="45"/>
      <c r="H372" s="45"/>
      <c r="I372" s="45"/>
      <c r="J372" s="51"/>
      <c r="K372" s="53">
        <v>9</v>
      </c>
      <c r="L372" s="45">
        <v>406.79999999999978</v>
      </c>
      <c r="M372" s="45"/>
      <c r="N372" s="45"/>
      <c r="O372" s="45"/>
      <c r="P372" s="45"/>
      <c r="Q372" s="45"/>
      <c r="R372" s="51"/>
      <c r="S372" s="53">
        <v>9</v>
      </c>
      <c r="T372" s="45">
        <v>407.78999999999991</v>
      </c>
      <c r="U372" s="45"/>
      <c r="V372" s="45"/>
      <c r="W372" s="45"/>
      <c r="X372" s="45"/>
      <c r="Y372" s="45"/>
      <c r="Z372" s="51"/>
      <c r="AA372" s="53">
        <v>9</v>
      </c>
      <c r="AB372" s="45">
        <v>407.96999999999991</v>
      </c>
      <c r="AC372" s="45"/>
      <c r="AD372" s="45"/>
      <c r="AE372" s="45"/>
      <c r="AF372" s="45"/>
      <c r="AG372" s="45"/>
      <c r="AH372" s="51"/>
      <c r="AI372" s="53">
        <v>9</v>
      </c>
      <c r="AJ372" s="45">
        <v>405.96999999999991</v>
      </c>
      <c r="AK372" s="45"/>
      <c r="AL372" s="45"/>
      <c r="AM372" s="45"/>
      <c r="AN372" s="45"/>
      <c r="AO372" s="45"/>
      <c r="AP372" s="51"/>
    </row>
    <row r="373" spans="1:42" ht="21" customHeight="1" thickTop="1" thickBot="1" x14ac:dyDescent="0.35">
      <c r="A373" s="63"/>
      <c r="B373" s="66"/>
      <c r="C373" s="53">
        <v>10</v>
      </c>
      <c r="D373" s="45">
        <v>405.87999999999988</v>
      </c>
      <c r="E373" s="45"/>
      <c r="F373" s="45"/>
      <c r="G373" s="45"/>
      <c r="H373" s="45"/>
      <c r="I373" s="45"/>
      <c r="J373" s="51"/>
      <c r="K373" s="53">
        <v>10</v>
      </c>
      <c r="L373" s="45">
        <v>407.78999999999979</v>
      </c>
      <c r="M373" s="45"/>
      <c r="N373" s="45"/>
      <c r="O373" s="45"/>
      <c r="P373" s="45"/>
      <c r="Q373" s="45"/>
      <c r="R373" s="51"/>
      <c r="S373" s="53">
        <v>10</v>
      </c>
      <c r="T373" s="45">
        <v>406.78999999999979</v>
      </c>
      <c r="U373" s="45"/>
      <c r="V373" s="45"/>
      <c r="W373" s="45"/>
      <c r="X373" s="45"/>
      <c r="Y373" s="45"/>
      <c r="Z373" s="51"/>
      <c r="AA373" s="53">
        <v>10</v>
      </c>
      <c r="AB373" s="45">
        <v>406.03999999999991</v>
      </c>
      <c r="AC373" s="45"/>
      <c r="AD373" s="45"/>
      <c r="AE373" s="45"/>
      <c r="AF373" s="45"/>
      <c r="AG373" s="45"/>
      <c r="AH373" s="51"/>
      <c r="AI373" s="53">
        <v>10</v>
      </c>
      <c r="AJ373" s="45">
        <v>405.94999999999987</v>
      </c>
      <c r="AK373" s="45"/>
      <c r="AL373" s="45"/>
      <c r="AM373" s="45"/>
      <c r="AN373" s="45"/>
      <c r="AO373" s="45"/>
      <c r="AP373" s="51"/>
    </row>
    <row r="374" spans="1:42" ht="21" customHeight="1" thickTop="1" thickBot="1" x14ac:dyDescent="0.35">
      <c r="A374" s="63"/>
      <c r="B374" s="66"/>
      <c r="C374" s="53"/>
      <c r="D374" s="45"/>
      <c r="E374" s="45"/>
      <c r="F374" s="45"/>
      <c r="G374" s="45"/>
      <c r="H374" s="45"/>
      <c r="I374" s="45"/>
      <c r="J374" s="51"/>
      <c r="K374" s="53"/>
      <c r="L374" s="45"/>
      <c r="M374" s="45"/>
      <c r="N374" s="45"/>
      <c r="O374" s="45"/>
      <c r="P374" s="45"/>
      <c r="Q374" s="45"/>
      <c r="R374" s="51"/>
      <c r="S374" s="53"/>
      <c r="T374" s="45"/>
      <c r="U374" s="45"/>
      <c r="V374" s="45"/>
      <c r="W374" s="45"/>
      <c r="X374" s="45"/>
      <c r="Y374" s="45"/>
      <c r="Z374" s="51"/>
      <c r="AA374" s="53"/>
      <c r="AB374" s="45"/>
      <c r="AC374" s="45"/>
      <c r="AD374" s="45"/>
      <c r="AE374" s="45"/>
      <c r="AF374" s="45"/>
      <c r="AG374" s="45"/>
      <c r="AH374" s="51"/>
      <c r="AI374" s="53"/>
      <c r="AJ374" s="45"/>
      <c r="AK374" s="45"/>
      <c r="AL374" s="45"/>
      <c r="AM374" s="45"/>
      <c r="AN374" s="45"/>
      <c r="AO374" s="45"/>
      <c r="AP374" s="51"/>
    </row>
    <row r="375" spans="1:42" ht="21" customHeight="1" thickTop="1" thickBot="1" x14ac:dyDescent="0.35">
      <c r="A375" s="63"/>
      <c r="B375" s="66"/>
      <c r="C375" s="54" t="s">
        <v>16</v>
      </c>
      <c r="D375" s="49">
        <f>MIN(D364:D373)</f>
        <v>404.83999999999992</v>
      </c>
      <c r="E375" s="45"/>
      <c r="F375" s="55" t="s">
        <v>17</v>
      </c>
      <c r="G375" s="49" t="s">
        <v>18</v>
      </c>
      <c r="H375" s="49" t="s">
        <v>19</v>
      </c>
      <c r="I375" s="45"/>
      <c r="J375" s="51"/>
      <c r="K375" s="54" t="s">
        <v>16</v>
      </c>
      <c r="L375" s="49">
        <f>MIN(L364:L373)</f>
        <v>406.27999999999992</v>
      </c>
      <c r="M375" s="45"/>
      <c r="N375" s="55" t="s">
        <v>17</v>
      </c>
      <c r="O375" s="49" t="s">
        <v>18</v>
      </c>
      <c r="P375" s="49" t="s">
        <v>19</v>
      </c>
      <c r="Q375" s="45"/>
      <c r="R375" s="51"/>
      <c r="S375" s="54" t="s">
        <v>16</v>
      </c>
      <c r="T375" s="49">
        <f>MIN(T364:T373)</f>
        <v>405.41999999999979</v>
      </c>
      <c r="U375" s="45"/>
      <c r="V375" s="55" t="s">
        <v>17</v>
      </c>
      <c r="W375" s="49" t="s">
        <v>18</v>
      </c>
      <c r="X375" s="49" t="s">
        <v>19</v>
      </c>
      <c r="Y375" s="45"/>
      <c r="Z375" s="51"/>
      <c r="AA375" s="54" t="s">
        <v>16</v>
      </c>
      <c r="AB375" s="49">
        <f>MIN(AB364:AB373)</f>
        <v>405.24</v>
      </c>
      <c r="AC375" s="45"/>
      <c r="AD375" s="55" t="s">
        <v>17</v>
      </c>
      <c r="AE375" s="49" t="s">
        <v>18</v>
      </c>
      <c r="AF375" s="49" t="s">
        <v>19</v>
      </c>
      <c r="AG375" s="45"/>
      <c r="AH375" s="51"/>
      <c r="AI375" s="54" t="s">
        <v>16</v>
      </c>
      <c r="AJ375" s="49">
        <f>MIN(AJ364:AJ373)</f>
        <v>405.52999999999992</v>
      </c>
      <c r="AK375" s="45"/>
      <c r="AL375" s="55" t="s">
        <v>17</v>
      </c>
      <c r="AM375" s="49" t="s">
        <v>18</v>
      </c>
      <c r="AN375" s="49" t="s">
        <v>19</v>
      </c>
      <c r="AO375" s="45"/>
      <c r="AP375" s="51"/>
    </row>
    <row r="376" spans="1:42" ht="21" customHeight="1" thickTop="1" thickBot="1" x14ac:dyDescent="0.35">
      <c r="A376" s="63"/>
      <c r="B376" s="66"/>
      <c r="C376" s="54" t="s">
        <v>20</v>
      </c>
      <c r="D376" s="48">
        <f>AVERAGE(D364:D373)</f>
        <v>405.6819999999999</v>
      </c>
      <c r="E376" s="47"/>
      <c r="F376" s="48">
        <f>_xlfn.STDEV.S(D364:D373) / AVERAGE(D364:D373) * 100%</f>
        <v>1.1477292470890199E-3</v>
      </c>
      <c r="G376" s="48">
        <f t="array" ref="G376">MIN((D364:D373 - MIN(D364:D373,L364:L373,T364:T373,AB364:AB373,AJ364:AJ373))/MIN(D364:D373,L364:L373,T364:T373,AB364:AB373,AJ364:AJ373)*100%)</f>
        <v>0</v>
      </c>
      <c r="H376" s="48">
        <f t="array" ref="H376">AVERAGE((D364:D373 - MIN(D364:D373,L364:L373,T364:T373,AB364:AB373,AJ364:AJ373))/MIN(D364:D373,L364:L373,T364:T373,AB364:AB373,AJ364:AJ373)*100%)</f>
        <v>2.0798340084971041E-3</v>
      </c>
      <c r="I376" s="45"/>
      <c r="J376" s="51"/>
      <c r="K376" s="54" t="s">
        <v>20</v>
      </c>
      <c r="L376" s="48">
        <f>AVERAGE(L364:L373)</f>
        <v>407.15899999999993</v>
      </c>
      <c r="M376" s="47"/>
      <c r="N376" s="48">
        <f>_xlfn.STDEV.S(L364:L373) / AVERAGE(L364:L373) * 100%</f>
        <v>1.3352508758387065E-3</v>
      </c>
      <c r="O376" s="48">
        <f t="array" ref="O376">MIN((L364:L373 - MIN(D364:D373,L364:L373,T364:T373,AB364:AB373,AJ364:AJ373))/MIN(D364:D373,L364:L373,T364:T373,AB364:AB373,AJ364:AJ373)*100%)</f>
        <v>3.5569607746270084E-3</v>
      </c>
      <c r="P376" s="48">
        <f t="array" ref="P376">AVERAGE((L364:L373 - MIN(D364:D373,L364:L373,T364:T373,AB364:AB373,AJ364:AJ373))/MIN(D364:D373,L364:L373,T364:T373,AB364:AB373,AJ364:AJ373)*100%)</f>
        <v>5.7281889141388076E-3</v>
      </c>
      <c r="Q376" s="44"/>
      <c r="R376" s="51"/>
      <c r="S376" s="54" t="s">
        <v>20</v>
      </c>
      <c r="T376" s="48">
        <f>AVERAGE(T364:T373)</f>
        <v>406.52799999999985</v>
      </c>
      <c r="U376" s="47"/>
      <c r="V376" s="48">
        <f>_xlfn.STDEV.S(T364:T373) / AVERAGE(T364:T373) * 100%</f>
        <v>2.1637343657003104E-3</v>
      </c>
      <c r="W376" s="48">
        <f t="array" ref="W376">MIN((T364:T373 - MIN(D364:D373,L364:L373,T364:T373,AB364:AB373,AJ364:AJ373))/MIN(D364:D373,L364:L373,T364:T373,AB364:AB373,AJ364:AJ373)*100%)</f>
        <v>1.4326647564466715E-3</v>
      </c>
      <c r="X376" s="48">
        <f t="array" ref="X376">AVERAGE((T364:T373 - MIN(D364:D373,L364:L373,T364:T373,AB364:AB373,AJ364:AJ373))/MIN(D364:D373,L364:L373,T364:T373,AB364:AB373,AJ364:AJ373)*100%)</f>
        <v>4.1695484635903435E-3</v>
      </c>
      <c r="Y376" s="44"/>
      <c r="Z376" s="51"/>
      <c r="AA376" s="54" t="s">
        <v>20</v>
      </c>
      <c r="AB376" s="48">
        <f>AVERAGE(AB364:AB373)</f>
        <v>406.72499999999991</v>
      </c>
      <c r="AC376" s="47"/>
      <c r="AD376" s="48">
        <f>_xlfn.STDEV.S(AB364:AB373) / AVERAGE(AB364:AB373) * 100%</f>
        <v>2.4963274414453369E-3</v>
      </c>
      <c r="AE376" s="48">
        <f t="array" ref="AE376">MIN((AB364:AB373 - MIN(D364:D373,L364:L373,T364:T373,AB364:AB373,AJ364:AJ373))/MIN(D364:D373,L364:L373,T364:T373,AB364:AB373,AJ364:AJ373)*100%)</f>
        <v>9.8804465961883957E-4</v>
      </c>
      <c r="AF376" s="48">
        <f t="array" ref="AF376">AVERAGE((AB364:AB373 - MIN(D364:D373,L364:L373,T364:T373,AB364:AB373,AJ364:AJ373))/MIN(D364:D373,L364:L373,T364:T373,AB364:AB373,AJ364:AJ373)*100%)</f>
        <v>4.6561604584526867E-3</v>
      </c>
      <c r="AG376" s="44"/>
      <c r="AH376" s="51"/>
      <c r="AI376" s="54" t="s">
        <v>20</v>
      </c>
      <c r="AJ376" s="48">
        <f>AVERAGE(AJ364:AJ373)</f>
        <v>406.4319999999999</v>
      </c>
      <c r="AK376" s="47"/>
      <c r="AL376" s="48">
        <f>_xlfn.STDEV.S(AJ364:AJ373) / AVERAGE(AJ364:AJ373) * 100%</f>
        <v>1.5704788551995736E-3</v>
      </c>
      <c r="AM376" s="48">
        <f t="array" ref="AM376">MIN((AJ364:AJ373 - MIN(D364:D373,L364:L373,T364:T373,AB364:AB373,AJ364:AJ373))/MIN(D364:D373,L364:L373,T364:T373,AB364:AB373,AJ364:AJ373)*100%)</f>
        <v>1.7043770378421053E-3</v>
      </c>
      <c r="AN376" s="48">
        <f t="array" ref="AN376">AVERAGE((AJ364:AJ373 - MIN(D364:D373,L364:L373,T364:T373,AB364:AB373,AJ364:AJ373))/MIN(D364:D373,L364:L373,T364:T373,AB364:AB373,AJ364:AJ373)*100%)</f>
        <v>3.9324177452820354E-3</v>
      </c>
      <c r="AO376" s="44"/>
      <c r="AP376" s="51"/>
    </row>
    <row r="377" spans="1:42" ht="21" customHeight="1" thickTop="1" thickBot="1" x14ac:dyDescent="0.35">
      <c r="A377" s="63"/>
      <c r="B377" s="67"/>
      <c r="C377" s="53"/>
      <c r="D377" s="44"/>
      <c r="E377" s="44"/>
      <c r="F377" s="44"/>
      <c r="G377" s="44"/>
      <c r="H377" s="44"/>
      <c r="I377" s="44"/>
      <c r="J377" s="51"/>
      <c r="K377" s="53"/>
      <c r="L377" s="44"/>
      <c r="M377" s="44"/>
      <c r="N377" s="44"/>
      <c r="O377" s="44"/>
      <c r="P377" s="44"/>
      <c r="Q377" s="44"/>
      <c r="R377" s="51"/>
      <c r="S377" s="53"/>
      <c r="T377" s="44"/>
      <c r="U377" s="44"/>
      <c r="V377" s="44"/>
      <c r="W377" s="44"/>
      <c r="X377" s="44"/>
      <c r="Y377" s="44"/>
      <c r="Z377" s="51"/>
      <c r="AA377" s="53"/>
      <c r="AB377" s="44"/>
      <c r="AC377" s="44"/>
      <c r="AD377" s="44"/>
      <c r="AE377" s="44"/>
      <c r="AF377" s="44"/>
      <c r="AG377" s="44"/>
      <c r="AH377" s="51"/>
      <c r="AI377" s="53"/>
      <c r="AJ377" s="44"/>
      <c r="AK377" s="44"/>
      <c r="AL377" s="44"/>
      <c r="AM377" s="44"/>
      <c r="AN377" s="44"/>
      <c r="AO377" s="44"/>
      <c r="AP377" s="51"/>
    </row>
    <row r="378" spans="1:42" ht="21" customHeight="1" thickTop="1" thickBot="1" x14ac:dyDescent="0.35">
      <c r="A378" s="63"/>
      <c r="B378" s="65" t="s">
        <v>131</v>
      </c>
      <c r="C378" s="59" t="s">
        <v>8</v>
      </c>
      <c r="D378" s="46" t="s">
        <v>9</v>
      </c>
      <c r="E378" s="46" t="s">
        <v>10</v>
      </c>
      <c r="F378" s="46" t="s">
        <v>11</v>
      </c>
      <c r="G378" s="46" t="s">
        <v>12</v>
      </c>
      <c r="H378" s="46" t="s">
        <v>13</v>
      </c>
      <c r="I378" s="46" t="s">
        <v>14</v>
      </c>
      <c r="J378" s="60" t="s">
        <v>15</v>
      </c>
      <c r="K378" s="59" t="s">
        <v>8</v>
      </c>
      <c r="L378" s="46" t="s">
        <v>9</v>
      </c>
      <c r="M378" s="46" t="s">
        <v>10</v>
      </c>
      <c r="N378" s="46" t="s">
        <v>11</v>
      </c>
      <c r="O378" s="46" t="s">
        <v>12</v>
      </c>
      <c r="P378" s="46" t="s">
        <v>13</v>
      </c>
      <c r="Q378" s="46" t="s">
        <v>14</v>
      </c>
      <c r="R378" s="60" t="s">
        <v>15</v>
      </c>
      <c r="S378" s="59" t="s">
        <v>8</v>
      </c>
      <c r="T378" s="46" t="s">
        <v>9</v>
      </c>
      <c r="U378" s="46" t="s">
        <v>10</v>
      </c>
      <c r="V378" s="46" t="s">
        <v>11</v>
      </c>
      <c r="W378" s="46" t="s">
        <v>12</v>
      </c>
      <c r="X378" s="46" t="s">
        <v>13</v>
      </c>
      <c r="Y378" s="46" t="s">
        <v>14</v>
      </c>
      <c r="Z378" s="60" t="s">
        <v>15</v>
      </c>
      <c r="AA378" s="59" t="s">
        <v>8</v>
      </c>
      <c r="AB378" s="46" t="s">
        <v>9</v>
      </c>
      <c r="AC378" s="46" t="s">
        <v>10</v>
      </c>
      <c r="AD378" s="46" t="s">
        <v>11</v>
      </c>
      <c r="AE378" s="46" t="s">
        <v>12</v>
      </c>
      <c r="AF378" s="46" t="s">
        <v>13</v>
      </c>
      <c r="AG378" s="46" t="s">
        <v>14</v>
      </c>
      <c r="AH378" s="60" t="s">
        <v>15</v>
      </c>
      <c r="AI378" s="59" t="s">
        <v>8</v>
      </c>
      <c r="AJ378" s="46" t="s">
        <v>9</v>
      </c>
      <c r="AK378" s="46" t="s">
        <v>10</v>
      </c>
      <c r="AL378" s="46" t="s">
        <v>11</v>
      </c>
      <c r="AM378" s="46" t="s">
        <v>12</v>
      </c>
      <c r="AN378" s="46" t="s">
        <v>13</v>
      </c>
      <c r="AO378" s="46" t="s">
        <v>14</v>
      </c>
      <c r="AP378" s="60" t="s">
        <v>15</v>
      </c>
    </row>
    <row r="379" spans="1:42" ht="21" customHeight="1" thickTop="1" thickBot="1" x14ac:dyDescent="0.35">
      <c r="A379" s="63"/>
      <c r="B379" s="66"/>
      <c r="C379" s="52">
        <v>1</v>
      </c>
      <c r="D379" s="44">
        <v>446.36999999999978</v>
      </c>
      <c r="E379" s="44"/>
      <c r="F379" s="44"/>
      <c r="G379" s="44"/>
      <c r="H379" s="44"/>
      <c r="I379" s="44"/>
      <c r="J379" s="51"/>
      <c r="K379" s="52">
        <v>1</v>
      </c>
      <c r="L379" s="44">
        <v>447.63999999999987</v>
      </c>
      <c r="M379" s="44"/>
      <c r="N379" s="44"/>
      <c r="O379" s="44"/>
      <c r="P379" s="44"/>
      <c r="Q379" s="44"/>
      <c r="R379" s="51"/>
      <c r="S379" s="52">
        <v>1</v>
      </c>
      <c r="T379" s="44">
        <v>449.50999999999982</v>
      </c>
      <c r="U379" s="44"/>
      <c r="V379" s="44"/>
      <c r="W379" s="44"/>
      <c r="X379" s="44"/>
      <c r="Y379" s="44"/>
      <c r="Z379" s="51"/>
      <c r="AA379" s="52">
        <v>1</v>
      </c>
      <c r="AB379" s="44">
        <v>447.26999999999981</v>
      </c>
      <c r="AC379" s="44"/>
      <c r="AD379" s="44"/>
      <c r="AE379" s="44"/>
      <c r="AF379" s="44"/>
      <c r="AG379" s="44"/>
      <c r="AH379" s="51"/>
      <c r="AI379" s="52">
        <v>1</v>
      </c>
      <c r="AJ379" s="44">
        <v>446.24999999999977</v>
      </c>
      <c r="AK379" s="44"/>
      <c r="AL379" s="44"/>
      <c r="AM379" s="44"/>
      <c r="AN379" s="44"/>
      <c r="AO379" s="44"/>
      <c r="AP379" s="51"/>
    </row>
    <row r="380" spans="1:42" ht="21" customHeight="1" thickTop="1" thickBot="1" x14ac:dyDescent="0.35">
      <c r="A380" s="63"/>
      <c r="B380" s="66"/>
      <c r="C380" s="53">
        <v>2</v>
      </c>
      <c r="D380" s="45">
        <v>446.46999999999991</v>
      </c>
      <c r="E380" s="45"/>
      <c r="F380" s="45"/>
      <c r="G380" s="45"/>
      <c r="H380" s="45"/>
      <c r="I380" s="45"/>
      <c r="J380" s="51"/>
      <c r="K380" s="53">
        <v>2</v>
      </c>
      <c r="L380" s="45">
        <v>447.21999999999991</v>
      </c>
      <c r="M380" s="45"/>
      <c r="N380" s="45"/>
      <c r="O380" s="45"/>
      <c r="P380" s="45"/>
      <c r="Q380" s="45"/>
      <c r="R380" s="51"/>
      <c r="S380" s="53">
        <v>2</v>
      </c>
      <c r="T380" s="45">
        <v>448.17999999999989</v>
      </c>
      <c r="U380" s="45"/>
      <c r="V380" s="45"/>
      <c r="W380" s="45"/>
      <c r="X380" s="45"/>
      <c r="Y380" s="45"/>
      <c r="Z380" s="51"/>
      <c r="AA380" s="53">
        <v>2</v>
      </c>
      <c r="AB380" s="45">
        <v>446.06999999999982</v>
      </c>
      <c r="AC380" s="45"/>
      <c r="AD380" s="45"/>
      <c r="AE380" s="45"/>
      <c r="AF380" s="45"/>
      <c r="AG380" s="45"/>
      <c r="AH380" s="51"/>
      <c r="AI380" s="53">
        <v>2</v>
      </c>
      <c r="AJ380" s="45">
        <v>445.68999999999988</v>
      </c>
      <c r="AK380" s="45"/>
      <c r="AL380" s="45"/>
      <c r="AM380" s="45"/>
      <c r="AN380" s="45"/>
      <c r="AO380" s="45"/>
      <c r="AP380" s="51"/>
    </row>
    <row r="381" spans="1:42" ht="21" customHeight="1" thickTop="1" thickBot="1" x14ac:dyDescent="0.35">
      <c r="A381" s="63"/>
      <c r="B381" s="66"/>
      <c r="C381" s="53">
        <v>3</v>
      </c>
      <c r="D381" s="45">
        <v>446.44999999999987</v>
      </c>
      <c r="E381" s="45"/>
      <c r="F381" s="45"/>
      <c r="G381" s="44"/>
      <c r="H381" s="44"/>
      <c r="I381" s="44"/>
      <c r="J381" s="51"/>
      <c r="K381" s="53">
        <v>3</v>
      </c>
      <c r="L381" s="45">
        <v>446.59999999999991</v>
      </c>
      <c r="M381" s="45"/>
      <c r="N381" s="45"/>
      <c r="O381" s="44"/>
      <c r="P381" s="44"/>
      <c r="Q381" s="44"/>
      <c r="R381" s="51"/>
      <c r="S381" s="53">
        <v>3</v>
      </c>
      <c r="T381" s="45">
        <v>446.67999999999978</v>
      </c>
      <c r="U381" s="45"/>
      <c r="V381" s="45"/>
      <c r="W381" s="44"/>
      <c r="X381" s="44"/>
      <c r="Y381" s="44"/>
      <c r="Z381" s="51"/>
      <c r="AA381" s="53">
        <v>3</v>
      </c>
      <c r="AB381" s="45">
        <v>446.02999999999992</v>
      </c>
      <c r="AC381" s="45"/>
      <c r="AD381" s="45"/>
      <c r="AE381" s="44"/>
      <c r="AF381" s="44"/>
      <c r="AG381" s="44"/>
      <c r="AH381" s="51"/>
      <c r="AI381" s="53">
        <v>3</v>
      </c>
      <c r="AJ381" s="45">
        <v>445.97999999999979</v>
      </c>
      <c r="AK381" s="45"/>
      <c r="AL381" s="45"/>
      <c r="AM381" s="44"/>
      <c r="AN381" s="44"/>
      <c r="AO381" s="44"/>
      <c r="AP381" s="51"/>
    </row>
    <row r="382" spans="1:42" ht="21" customHeight="1" thickTop="1" thickBot="1" x14ac:dyDescent="0.35">
      <c r="A382" s="63"/>
      <c r="B382" s="66"/>
      <c r="C382" s="53">
        <v>4</v>
      </c>
      <c r="D382" s="45">
        <v>447.15999999999991</v>
      </c>
      <c r="E382" s="45"/>
      <c r="F382" s="45"/>
      <c r="G382" s="45"/>
      <c r="H382" s="45"/>
      <c r="I382" s="45"/>
      <c r="J382" s="51"/>
      <c r="K382" s="53">
        <v>4</v>
      </c>
      <c r="L382" s="45">
        <v>446.87999999999988</v>
      </c>
      <c r="M382" s="45"/>
      <c r="N382" s="45"/>
      <c r="O382" s="45"/>
      <c r="P382" s="45"/>
      <c r="Q382" s="45"/>
      <c r="R382" s="51"/>
      <c r="S382" s="53">
        <v>4</v>
      </c>
      <c r="T382" s="45">
        <v>446.85999999999979</v>
      </c>
      <c r="U382" s="45"/>
      <c r="V382" s="45"/>
      <c r="W382" s="45"/>
      <c r="X382" s="45"/>
      <c r="Y382" s="45"/>
      <c r="Z382" s="51"/>
      <c r="AA382" s="53">
        <v>4</v>
      </c>
      <c r="AB382" s="45">
        <v>446.62999999999988</v>
      </c>
      <c r="AC382" s="45"/>
      <c r="AD382" s="45"/>
      <c r="AE382" s="45"/>
      <c r="AF382" s="45"/>
      <c r="AG382" s="45"/>
      <c r="AH382" s="51"/>
      <c r="AI382" s="53">
        <v>4</v>
      </c>
      <c r="AJ382" s="45">
        <v>445.50999999999982</v>
      </c>
      <c r="AK382" s="45"/>
      <c r="AL382" s="45"/>
      <c r="AM382" s="45"/>
      <c r="AN382" s="45"/>
      <c r="AO382" s="45"/>
      <c r="AP382" s="51"/>
    </row>
    <row r="383" spans="1:42" ht="21" customHeight="1" thickTop="1" thickBot="1" x14ac:dyDescent="0.35">
      <c r="A383" s="63"/>
      <c r="B383" s="66"/>
      <c r="C383" s="53">
        <v>5</v>
      </c>
      <c r="D383" s="45">
        <v>447.09999999999991</v>
      </c>
      <c r="E383" s="45"/>
      <c r="F383" s="45"/>
      <c r="G383" s="45"/>
      <c r="H383" s="45"/>
      <c r="I383" s="45"/>
      <c r="J383" s="51"/>
      <c r="K383" s="53">
        <v>5</v>
      </c>
      <c r="L383" s="45">
        <v>447.02999999999992</v>
      </c>
      <c r="M383" s="45"/>
      <c r="N383" s="45"/>
      <c r="O383" s="45"/>
      <c r="P383" s="45"/>
      <c r="Q383" s="45"/>
      <c r="R383" s="51"/>
      <c r="S383" s="53">
        <v>5</v>
      </c>
      <c r="T383" s="45">
        <v>447.81999999999982</v>
      </c>
      <c r="U383" s="45"/>
      <c r="V383" s="45"/>
      <c r="W383" s="45"/>
      <c r="X383" s="45"/>
      <c r="Y383" s="45"/>
      <c r="Z383" s="51"/>
      <c r="AA383" s="53">
        <v>5</v>
      </c>
      <c r="AB383" s="45">
        <v>447.5299999999998</v>
      </c>
      <c r="AC383" s="45"/>
      <c r="AD383" s="45"/>
      <c r="AE383" s="45"/>
      <c r="AF383" s="45"/>
      <c r="AG383" s="45"/>
      <c r="AH383" s="51"/>
      <c r="AI383" s="53">
        <v>5</v>
      </c>
      <c r="AJ383" s="45">
        <v>446.00999999999988</v>
      </c>
      <c r="AK383" s="45"/>
      <c r="AL383" s="45"/>
      <c r="AM383" s="45"/>
      <c r="AN383" s="45"/>
      <c r="AO383" s="45"/>
      <c r="AP383" s="51"/>
    </row>
    <row r="384" spans="1:42" ht="21" customHeight="1" thickTop="1" thickBot="1" x14ac:dyDescent="0.35">
      <c r="A384" s="63"/>
      <c r="B384" s="66"/>
      <c r="C384" s="53">
        <v>6</v>
      </c>
      <c r="D384" s="45">
        <v>446.89999999999992</v>
      </c>
      <c r="E384" s="45"/>
      <c r="F384" s="45"/>
      <c r="G384" s="45"/>
      <c r="H384" s="45"/>
      <c r="I384" s="45"/>
      <c r="J384" s="51"/>
      <c r="K384" s="53">
        <v>6</v>
      </c>
      <c r="L384" s="45">
        <v>447.25999999999988</v>
      </c>
      <c r="M384" s="45"/>
      <c r="N384" s="45"/>
      <c r="O384" s="45"/>
      <c r="P384" s="45"/>
      <c r="Q384" s="45"/>
      <c r="R384" s="51"/>
      <c r="S384" s="53">
        <v>6</v>
      </c>
      <c r="T384" s="45">
        <v>445.50999999999988</v>
      </c>
      <c r="U384" s="45"/>
      <c r="V384" s="45"/>
      <c r="W384" s="45"/>
      <c r="X384" s="45"/>
      <c r="Y384" s="45"/>
      <c r="Z384" s="51"/>
      <c r="AA384" s="53">
        <v>6</v>
      </c>
      <c r="AB384" s="45">
        <v>446.12999999999982</v>
      </c>
      <c r="AC384" s="45"/>
      <c r="AD384" s="45"/>
      <c r="AE384" s="45"/>
      <c r="AF384" s="45"/>
      <c r="AG384" s="45"/>
      <c r="AH384" s="51"/>
      <c r="AI384" s="53">
        <v>6</v>
      </c>
      <c r="AJ384" s="45">
        <v>445.60999999999979</v>
      </c>
      <c r="AK384" s="45"/>
      <c r="AL384" s="45"/>
      <c r="AM384" s="45"/>
      <c r="AN384" s="45"/>
      <c r="AO384" s="45"/>
      <c r="AP384" s="51"/>
    </row>
    <row r="385" spans="1:42" ht="21" customHeight="1" thickTop="1" thickBot="1" x14ac:dyDescent="0.35">
      <c r="A385" s="63"/>
      <c r="B385" s="66"/>
      <c r="C385" s="53">
        <v>7</v>
      </c>
      <c r="D385" s="45">
        <v>446.66999999999979</v>
      </c>
      <c r="E385" s="45"/>
      <c r="F385" s="45"/>
      <c r="G385" s="45"/>
      <c r="H385" s="45"/>
      <c r="I385" s="45"/>
      <c r="J385" s="51"/>
      <c r="K385" s="53">
        <v>7</v>
      </c>
      <c r="L385" s="45">
        <v>447.42999999999989</v>
      </c>
      <c r="M385" s="45"/>
      <c r="N385" s="45"/>
      <c r="O385" s="45"/>
      <c r="P385" s="45"/>
      <c r="Q385" s="45"/>
      <c r="R385" s="51"/>
      <c r="S385" s="53">
        <v>7</v>
      </c>
      <c r="T385" s="45">
        <v>448.48999999999978</v>
      </c>
      <c r="U385" s="45"/>
      <c r="V385" s="45"/>
      <c r="W385" s="45"/>
      <c r="X385" s="45"/>
      <c r="Y385" s="45"/>
      <c r="Z385" s="51"/>
      <c r="AA385" s="53">
        <v>7</v>
      </c>
      <c r="AB385" s="45">
        <v>445.92999999999978</v>
      </c>
      <c r="AC385" s="45"/>
      <c r="AD385" s="45"/>
      <c r="AE385" s="45"/>
      <c r="AF385" s="45"/>
      <c r="AG385" s="45"/>
      <c r="AH385" s="51"/>
      <c r="AI385" s="53">
        <v>7</v>
      </c>
      <c r="AJ385" s="45">
        <v>446.18999999999983</v>
      </c>
      <c r="AK385" s="45"/>
      <c r="AL385" s="45"/>
      <c r="AM385" s="45"/>
      <c r="AN385" s="45"/>
      <c r="AO385" s="45"/>
      <c r="AP385" s="51"/>
    </row>
    <row r="386" spans="1:42" ht="21" customHeight="1" thickTop="1" thickBot="1" x14ac:dyDescent="0.35">
      <c r="A386" s="63"/>
      <c r="B386" s="66"/>
      <c r="C386" s="53">
        <v>8</v>
      </c>
      <c r="D386" s="45">
        <v>446.45999999999992</v>
      </c>
      <c r="E386" s="45"/>
      <c r="F386" s="45"/>
      <c r="G386" s="45"/>
      <c r="H386" s="45"/>
      <c r="I386" s="45"/>
      <c r="J386" s="51"/>
      <c r="K386" s="53">
        <v>8</v>
      </c>
      <c r="L386" s="45">
        <v>446.12999999999982</v>
      </c>
      <c r="M386" s="45"/>
      <c r="N386" s="45"/>
      <c r="O386" s="45"/>
      <c r="P386" s="45"/>
      <c r="Q386" s="45"/>
      <c r="R386" s="51"/>
      <c r="S386" s="53">
        <v>8</v>
      </c>
      <c r="T386" s="45">
        <v>446.6599999999998</v>
      </c>
      <c r="U386" s="45"/>
      <c r="V386" s="45"/>
      <c r="W386" s="45"/>
      <c r="X386" s="45"/>
      <c r="Y386" s="45"/>
      <c r="Z386" s="51"/>
      <c r="AA386" s="53">
        <v>8</v>
      </c>
      <c r="AB386" s="45">
        <v>446.06999999999982</v>
      </c>
      <c r="AC386" s="45"/>
      <c r="AD386" s="45"/>
      <c r="AE386" s="45"/>
      <c r="AF386" s="45"/>
      <c r="AG386" s="45"/>
      <c r="AH386" s="51"/>
      <c r="AI386" s="53">
        <v>8</v>
      </c>
      <c r="AJ386" s="45">
        <v>445.51999999999992</v>
      </c>
      <c r="AK386" s="45"/>
      <c r="AL386" s="45"/>
      <c r="AM386" s="45"/>
      <c r="AN386" s="45"/>
      <c r="AO386" s="45"/>
      <c r="AP386" s="51"/>
    </row>
    <row r="387" spans="1:42" ht="21" customHeight="1" thickTop="1" thickBot="1" x14ac:dyDescent="0.35">
      <c r="A387" s="63"/>
      <c r="B387" s="66"/>
      <c r="C387" s="53">
        <v>9</v>
      </c>
      <c r="D387" s="45">
        <v>445.69999999999987</v>
      </c>
      <c r="E387" s="45"/>
      <c r="F387" s="45"/>
      <c r="G387" s="45"/>
      <c r="H387" s="45"/>
      <c r="I387" s="45"/>
      <c r="J387" s="51"/>
      <c r="K387" s="53">
        <v>9</v>
      </c>
      <c r="L387" s="45">
        <v>446.81999999999988</v>
      </c>
      <c r="M387" s="45"/>
      <c r="N387" s="45"/>
      <c r="O387" s="45"/>
      <c r="P387" s="45"/>
      <c r="Q387" s="45"/>
      <c r="R387" s="51"/>
      <c r="S387" s="53">
        <v>9</v>
      </c>
      <c r="T387" s="45">
        <v>445.68999999999983</v>
      </c>
      <c r="U387" s="45"/>
      <c r="V387" s="45"/>
      <c r="W387" s="45"/>
      <c r="X387" s="45"/>
      <c r="Y387" s="45"/>
      <c r="Z387" s="51"/>
      <c r="AA387" s="53">
        <v>9</v>
      </c>
      <c r="AB387" s="45">
        <v>446.86999999999978</v>
      </c>
      <c r="AC387" s="45"/>
      <c r="AD387" s="45"/>
      <c r="AE387" s="45"/>
      <c r="AF387" s="45"/>
      <c r="AG387" s="45"/>
      <c r="AH387" s="51"/>
      <c r="AI387" s="53">
        <v>9</v>
      </c>
      <c r="AJ387" s="45">
        <v>446.19999999999987</v>
      </c>
      <c r="AK387" s="45"/>
      <c r="AL387" s="45"/>
      <c r="AM387" s="45"/>
      <c r="AN387" s="45"/>
      <c r="AO387" s="45"/>
      <c r="AP387" s="51"/>
    </row>
    <row r="388" spans="1:42" ht="21" customHeight="1" thickTop="1" thickBot="1" x14ac:dyDescent="0.35">
      <c r="A388" s="63"/>
      <c r="B388" s="66"/>
      <c r="C388" s="53">
        <v>10</v>
      </c>
      <c r="D388" s="45">
        <v>447.51999999999992</v>
      </c>
      <c r="E388" s="45"/>
      <c r="F388" s="45"/>
      <c r="G388" s="45"/>
      <c r="H388" s="45"/>
      <c r="I388" s="45"/>
      <c r="J388" s="51"/>
      <c r="K388" s="53">
        <v>10</v>
      </c>
      <c r="L388" s="45">
        <v>448.24999999999989</v>
      </c>
      <c r="M388" s="45"/>
      <c r="N388" s="45"/>
      <c r="O388" s="45"/>
      <c r="P388" s="45"/>
      <c r="Q388" s="45"/>
      <c r="R388" s="51"/>
      <c r="S388" s="53">
        <v>10</v>
      </c>
      <c r="T388" s="45">
        <v>446.12999999999982</v>
      </c>
      <c r="U388" s="45"/>
      <c r="V388" s="45"/>
      <c r="W388" s="45"/>
      <c r="X388" s="45"/>
      <c r="Y388" s="45"/>
      <c r="Z388" s="51"/>
      <c r="AA388" s="53">
        <v>10</v>
      </c>
      <c r="AB388" s="45">
        <v>445.80999999999989</v>
      </c>
      <c r="AC388" s="45"/>
      <c r="AD388" s="45"/>
      <c r="AE388" s="45"/>
      <c r="AF388" s="45"/>
      <c r="AG388" s="45"/>
      <c r="AH388" s="51"/>
      <c r="AI388" s="53">
        <v>10</v>
      </c>
      <c r="AJ388" s="45">
        <v>445.3599999999999</v>
      </c>
      <c r="AK388" s="45"/>
      <c r="AL388" s="45"/>
      <c r="AM388" s="45"/>
      <c r="AN388" s="45"/>
      <c r="AO388" s="45"/>
      <c r="AP388" s="51"/>
    </row>
    <row r="389" spans="1:42" ht="21" customHeight="1" thickTop="1" thickBot="1" x14ac:dyDescent="0.35">
      <c r="A389" s="63"/>
      <c r="B389" s="66"/>
      <c r="C389" s="53"/>
      <c r="D389" s="45"/>
      <c r="E389" s="45"/>
      <c r="F389" s="45"/>
      <c r="G389" s="45"/>
      <c r="H389" s="45"/>
      <c r="I389" s="45"/>
      <c r="J389" s="51"/>
      <c r="K389" s="53"/>
      <c r="L389" s="45"/>
      <c r="M389" s="45"/>
      <c r="N389" s="45"/>
      <c r="O389" s="45"/>
      <c r="P389" s="45"/>
      <c r="Q389" s="45"/>
      <c r="R389" s="51"/>
      <c r="S389" s="53"/>
      <c r="T389" s="45"/>
      <c r="U389" s="45"/>
      <c r="V389" s="45"/>
      <c r="W389" s="45"/>
      <c r="X389" s="45"/>
      <c r="Y389" s="45"/>
      <c r="Z389" s="51"/>
      <c r="AA389" s="53"/>
      <c r="AB389" s="45"/>
      <c r="AC389" s="45"/>
      <c r="AD389" s="45"/>
      <c r="AE389" s="45"/>
      <c r="AF389" s="45"/>
      <c r="AG389" s="45"/>
      <c r="AH389" s="51"/>
      <c r="AI389" s="53"/>
      <c r="AJ389" s="45"/>
      <c r="AK389" s="45"/>
      <c r="AL389" s="45"/>
      <c r="AM389" s="45"/>
      <c r="AN389" s="45"/>
      <c r="AO389" s="45"/>
      <c r="AP389" s="51"/>
    </row>
    <row r="390" spans="1:42" ht="21" customHeight="1" thickTop="1" thickBot="1" x14ac:dyDescent="0.35">
      <c r="A390" s="63"/>
      <c r="B390" s="66"/>
      <c r="C390" s="54" t="s">
        <v>16</v>
      </c>
      <c r="D390" s="49">
        <f>MIN(D379:D388)</f>
        <v>445.69999999999987</v>
      </c>
      <c r="E390" s="45"/>
      <c r="F390" s="55" t="s">
        <v>17</v>
      </c>
      <c r="G390" s="49" t="s">
        <v>18</v>
      </c>
      <c r="H390" s="49" t="s">
        <v>19</v>
      </c>
      <c r="I390" s="45"/>
      <c r="J390" s="51"/>
      <c r="K390" s="54" t="s">
        <v>16</v>
      </c>
      <c r="L390" s="49">
        <f>MIN(L379:L388)</f>
        <v>446.12999999999982</v>
      </c>
      <c r="M390" s="45"/>
      <c r="N390" s="55" t="s">
        <v>17</v>
      </c>
      <c r="O390" s="49" t="s">
        <v>18</v>
      </c>
      <c r="P390" s="49" t="s">
        <v>19</v>
      </c>
      <c r="Q390" s="45"/>
      <c r="R390" s="51"/>
      <c r="S390" s="54" t="s">
        <v>16</v>
      </c>
      <c r="T390" s="49">
        <f>MIN(T379:T388)</f>
        <v>445.50999999999988</v>
      </c>
      <c r="U390" s="45"/>
      <c r="V390" s="55" t="s">
        <v>17</v>
      </c>
      <c r="W390" s="49" t="s">
        <v>18</v>
      </c>
      <c r="X390" s="49" t="s">
        <v>19</v>
      </c>
      <c r="Y390" s="45"/>
      <c r="Z390" s="51"/>
      <c r="AA390" s="54" t="s">
        <v>16</v>
      </c>
      <c r="AB390" s="49">
        <f>MIN(AB379:AB388)</f>
        <v>445.80999999999989</v>
      </c>
      <c r="AC390" s="45"/>
      <c r="AD390" s="55" t="s">
        <v>17</v>
      </c>
      <c r="AE390" s="49" t="s">
        <v>18</v>
      </c>
      <c r="AF390" s="49" t="s">
        <v>19</v>
      </c>
      <c r="AG390" s="45"/>
      <c r="AH390" s="51"/>
      <c r="AI390" s="54" t="s">
        <v>16</v>
      </c>
      <c r="AJ390" s="49">
        <f>MIN(AJ379:AJ388)</f>
        <v>445.3599999999999</v>
      </c>
      <c r="AK390" s="45"/>
      <c r="AL390" s="55" t="s">
        <v>17</v>
      </c>
      <c r="AM390" s="49" t="s">
        <v>18</v>
      </c>
      <c r="AN390" s="49" t="s">
        <v>19</v>
      </c>
      <c r="AO390" s="45"/>
      <c r="AP390" s="51"/>
    </row>
    <row r="391" spans="1:42" ht="21" customHeight="1" thickTop="1" thickBot="1" x14ac:dyDescent="0.35">
      <c r="A391" s="63"/>
      <c r="B391" s="66"/>
      <c r="C391" s="54" t="s">
        <v>20</v>
      </c>
      <c r="D391" s="48">
        <f>AVERAGE(D379:D388)</f>
        <v>446.67999999999984</v>
      </c>
      <c r="E391" s="47"/>
      <c r="F391" s="48">
        <f>_xlfn.STDEV.S(D379:D388) / AVERAGE(D379:D388) * 100%</f>
        <v>1.1470853122320223E-3</v>
      </c>
      <c r="G391" s="48">
        <f t="array" ref="G391">MIN((D379:D388 - MIN(D379:D388,L379:L388,T379:T388,AB379:AB388,AJ379:AJ388))/MIN(D379:D388,L379:L388,T379:T388,AB379:AB388,AJ379:AJ388)*100%)</f>
        <v>7.634273396802027E-4</v>
      </c>
      <c r="H391" s="48">
        <f t="array" ref="H391">AVERAGE((D379:D388 - MIN(D379:D388,L379:L388,T379:T388,AB379:AB388,AJ379:AJ388))/MIN(D379:D388,L379:L388,T379:T388,AB379:AB388,AJ379:AJ388)*100%)</f>
        <v>2.9638943775821399E-3</v>
      </c>
      <c r="I391" s="45"/>
      <c r="J391" s="51"/>
      <c r="K391" s="54" t="s">
        <v>20</v>
      </c>
      <c r="L391" s="48">
        <f>AVERAGE(L379:L388)</f>
        <v>447.12599999999986</v>
      </c>
      <c r="M391" s="47"/>
      <c r="N391" s="48">
        <f>_xlfn.STDEV.S(L379:L388) / AVERAGE(L379:L388) * 100%</f>
        <v>1.3081043230794749E-3</v>
      </c>
      <c r="O391" s="48">
        <f t="array" ref="O391">MIN((L379:L388 - MIN(D379:D388,L379:L388,T379:T388,AB379:AB388,AJ379:AJ388))/MIN(D379:D388,L379:L388,T379:T388,AB379:AB388,AJ379:AJ388)*100%)</f>
        <v>1.7289383869227707E-3</v>
      </c>
      <c r="P391" s="48">
        <f t="array" ref="P391">AVERAGE((L379:L388 - MIN(D379:D388,L379:L388,T379:T388,AB379:AB388,AJ379:AJ388))/MIN(D379:D388,L379:L388,T379:T388,AB379:AB388,AJ379:AJ388)*100%)</f>
        <v>3.9653314172803707E-3</v>
      </c>
      <c r="Q391" s="44"/>
      <c r="R391" s="51"/>
      <c r="S391" s="54" t="s">
        <v>20</v>
      </c>
      <c r="T391" s="48">
        <f>AVERAGE(T379:T388)</f>
        <v>447.15299999999979</v>
      </c>
      <c r="U391" s="47"/>
      <c r="V391" s="48">
        <f>_xlfn.STDEV.S(T379:T388) / AVERAGE(T379:T388) * 100%</f>
        <v>2.9141181270760349E-3</v>
      </c>
      <c r="W391" s="48">
        <f t="array" ref="W391">MIN((T379:T388 - MIN(D379:D388,L379:L388,T379:T388,AB379:AB388,AJ379:AJ388))/MIN(D379:D388,L379:L388,T379:T388,AB379:AB388,AJ379:AJ388)*100%)</f>
        <v>3.3680617927065137E-4</v>
      </c>
      <c r="X391" s="48">
        <f t="array" ref="X391">AVERAGE((T379:T388 - MIN(D379:D388,L379:L388,T379:T388,AB379:AB388,AJ379:AJ388))/MIN(D379:D388,L379:L388,T379:T388,AB379:AB388,AJ379:AJ388)*100%)</f>
        <v>4.0259565295489531E-3</v>
      </c>
      <c r="Y391" s="44"/>
      <c r="Z391" s="51"/>
      <c r="AA391" s="54" t="s">
        <v>20</v>
      </c>
      <c r="AB391" s="48">
        <f>AVERAGE(AB379:AB388)</f>
        <v>446.43399999999986</v>
      </c>
      <c r="AC391" s="47"/>
      <c r="AD391" s="48">
        <f>_xlfn.STDEV.S(AB379:AB388) / AVERAGE(AB379:AB388) * 100%</f>
        <v>1.3548574618324801E-3</v>
      </c>
      <c r="AE391" s="48">
        <f t="array" ref="AE391">MIN((AB379:AB388 - MIN(D379:D388,L379:L388,T379:T388,AB379:AB388,AJ379:AJ388))/MIN(D379:D388,L379:L388,T379:T388,AB379:AB388,AJ379:AJ388)*100%)</f>
        <v>1.0104185378120817E-3</v>
      </c>
      <c r="AF391" s="48">
        <f t="array" ref="AF391">AVERAGE((AB379:AB388 - MIN(D379:D388,L379:L388,T379:T388,AB379:AB388,AJ379:AJ388))/MIN(D379:D388,L379:L388,T379:T388,AB379:AB388,AJ379:AJ388)*100%)</f>
        <v>2.4115322435780779E-3</v>
      </c>
      <c r="AG391" s="44"/>
      <c r="AH391" s="51"/>
      <c r="AI391" s="54" t="s">
        <v>20</v>
      </c>
      <c r="AJ391" s="48">
        <f>AVERAGE(AJ379:AJ388)</f>
        <v>445.83199999999988</v>
      </c>
      <c r="AK391" s="47"/>
      <c r="AL391" s="48">
        <f>_xlfn.STDEV.S(AJ379:AJ388) / AVERAGE(AJ379:AJ388) * 100%</f>
        <v>7.420973712267447E-4</v>
      </c>
      <c r="AM391" s="48">
        <f t="array" ref="AM391">MIN((AJ379:AJ388 - MIN(D379:D388,L379:L388,T379:T388,AB379:AB388,AJ379:AJ388))/MIN(D379:D388,L379:L388,T379:T388,AB379:AB388,AJ379:AJ388)*100%)</f>
        <v>0</v>
      </c>
      <c r="AN391" s="48">
        <f t="array" ref="AN391">AVERAGE((AJ379:AJ388 - MIN(D379:D388,L379:L388,T379:T388,AB379:AB388,AJ379:AJ388))/MIN(D379:D388,L379:L388,T379:T388,AB379:AB388,AJ379:AJ388)*100%)</f>
        <v>1.0598167774383555E-3</v>
      </c>
      <c r="AO391" s="44"/>
      <c r="AP391" s="51"/>
    </row>
    <row r="392" spans="1:42" ht="21" customHeight="1" thickTop="1" thickBot="1" x14ac:dyDescent="0.35">
      <c r="A392" s="63"/>
      <c r="B392" s="67"/>
      <c r="C392" s="53"/>
      <c r="D392" s="44"/>
      <c r="E392" s="44"/>
      <c r="F392" s="44"/>
      <c r="G392" s="44"/>
      <c r="H392" s="44"/>
      <c r="I392" s="44"/>
      <c r="J392" s="51"/>
      <c r="K392" s="53"/>
      <c r="L392" s="44"/>
      <c r="M392" s="44"/>
      <c r="N392" s="44"/>
      <c r="O392" s="44"/>
      <c r="P392" s="44"/>
      <c r="Q392" s="44"/>
      <c r="R392" s="51"/>
      <c r="S392" s="53"/>
      <c r="T392" s="44"/>
      <c r="U392" s="44"/>
      <c r="V392" s="44"/>
      <c r="W392" s="44"/>
      <c r="X392" s="44"/>
      <c r="Y392" s="44"/>
      <c r="Z392" s="51"/>
      <c r="AA392" s="53"/>
      <c r="AB392" s="44"/>
      <c r="AC392" s="44"/>
      <c r="AD392" s="44"/>
      <c r="AE392" s="44"/>
      <c r="AF392" s="44"/>
      <c r="AG392" s="44"/>
      <c r="AH392" s="51"/>
      <c r="AI392" s="53"/>
      <c r="AJ392" s="44"/>
      <c r="AK392" s="44"/>
      <c r="AL392" s="44"/>
      <c r="AM392" s="44"/>
      <c r="AN392" s="44"/>
      <c r="AO392" s="44"/>
      <c r="AP392" s="51"/>
    </row>
    <row r="393" spans="1:42" ht="21" customHeight="1" thickTop="1" thickBot="1" x14ac:dyDescent="0.35">
      <c r="A393" s="63"/>
      <c r="B393" s="65" t="s">
        <v>132</v>
      </c>
      <c r="C393" s="59" t="s">
        <v>8</v>
      </c>
      <c r="D393" s="46" t="s">
        <v>9</v>
      </c>
      <c r="E393" s="46" t="s">
        <v>10</v>
      </c>
      <c r="F393" s="46" t="s">
        <v>11</v>
      </c>
      <c r="G393" s="46" t="s">
        <v>12</v>
      </c>
      <c r="H393" s="46" t="s">
        <v>13</v>
      </c>
      <c r="I393" s="46" t="s">
        <v>14</v>
      </c>
      <c r="J393" s="60" t="s">
        <v>15</v>
      </c>
      <c r="K393" s="59" t="s">
        <v>8</v>
      </c>
      <c r="L393" s="46" t="s">
        <v>9</v>
      </c>
      <c r="M393" s="46" t="s">
        <v>10</v>
      </c>
      <c r="N393" s="46" t="s">
        <v>11</v>
      </c>
      <c r="O393" s="46" t="s">
        <v>12</v>
      </c>
      <c r="P393" s="46" t="s">
        <v>13</v>
      </c>
      <c r="Q393" s="46" t="s">
        <v>14</v>
      </c>
      <c r="R393" s="60" t="s">
        <v>15</v>
      </c>
      <c r="S393" s="59" t="s">
        <v>8</v>
      </c>
      <c r="T393" s="46" t="s">
        <v>9</v>
      </c>
      <c r="U393" s="46" t="s">
        <v>10</v>
      </c>
      <c r="V393" s="46" t="s">
        <v>11</v>
      </c>
      <c r="W393" s="46" t="s">
        <v>12</v>
      </c>
      <c r="X393" s="46" t="s">
        <v>13</v>
      </c>
      <c r="Y393" s="46" t="s">
        <v>14</v>
      </c>
      <c r="Z393" s="60" t="s">
        <v>15</v>
      </c>
      <c r="AA393" s="59" t="s">
        <v>8</v>
      </c>
      <c r="AB393" s="46" t="s">
        <v>9</v>
      </c>
      <c r="AC393" s="46" t="s">
        <v>10</v>
      </c>
      <c r="AD393" s="46" t="s">
        <v>11</v>
      </c>
      <c r="AE393" s="46" t="s">
        <v>12</v>
      </c>
      <c r="AF393" s="46" t="s">
        <v>13</v>
      </c>
      <c r="AG393" s="46" t="s">
        <v>14</v>
      </c>
      <c r="AH393" s="60" t="s">
        <v>15</v>
      </c>
      <c r="AI393" s="59" t="s">
        <v>8</v>
      </c>
      <c r="AJ393" s="46" t="s">
        <v>9</v>
      </c>
      <c r="AK393" s="46" t="s">
        <v>10</v>
      </c>
      <c r="AL393" s="46" t="s">
        <v>11</v>
      </c>
      <c r="AM393" s="46" t="s">
        <v>12</v>
      </c>
      <c r="AN393" s="46" t="s">
        <v>13</v>
      </c>
      <c r="AO393" s="46" t="s">
        <v>14</v>
      </c>
      <c r="AP393" s="60" t="s">
        <v>15</v>
      </c>
    </row>
    <row r="394" spans="1:42" ht="21" customHeight="1" thickTop="1" thickBot="1" x14ac:dyDescent="0.35">
      <c r="A394" s="63"/>
      <c r="B394" s="66"/>
      <c r="C394" s="52">
        <v>1</v>
      </c>
      <c r="D394" s="44">
        <v>457.30999999999977</v>
      </c>
      <c r="E394" s="44"/>
      <c r="F394" s="44"/>
      <c r="G394" s="44"/>
      <c r="H394" s="44"/>
      <c r="I394" s="44"/>
      <c r="J394" s="51"/>
      <c r="K394" s="52">
        <v>1</v>
      </c>
      <c r="L394" s="44">
        <v>459.31999999999982</v>
      </c>
      <c r="M394" s="44"/>
      <c r="N394" s="44"/>
      <c r="O394" s="44"/>
      <c r="P394" s="44"/>
      <c r="Q394" s="44"/>
      <c r="R394" s="51"/>
      <c r="S394" s="52">
        <v>1</v>
      </c>
      <c r="T394" s="44">
        <v>459.69999999999987</v>
      </c>
      <c r="U394" s="44"/>
      <c r="V394" s="44"/>
      <c r="W394" s="44"/>
      <c r="X394" s="44"/>
      <c r="Y394" s="44"/>
      <c r="Z394" s="51"/>
      <c r="AA394" s="52">
        <v>1</v>
      </c>
      <c r="AB394" s="44">
        <v>458.01999999999981</v>
      </c>
      <c r="AC394" s="44"/>
      <c r="AD394" s="44"/>
      <c r="AE394" s="44"/>
      <c r="AF394" s="44"/>
      <c r="AG394" s="44"/>
      <c r="AH394" s="51"/>
      <c r="AI394" s="52">
        <v>1</v>
      </c>
      <c r="AJ394" s="44">
        <v>459.88999999999987</v>
      </c>
      <c r="AK394" s="44"/>
      <c r="AL394" s="44"/>
      <c r="AM394" s="44"/>
      <c r="AN394" s="44"/>
      <c r="AO394" s="44"/>
      <c r="AP394" s="51"/>
    </row>
    <row r="395" spans="1:42" ht="21" customHeight="1" thickTop="1" thickBot="1" x14ac:dyDescent="0.35">
      <c r="A395" s="63"/>
      <c r="B395" s="66"/>
      <c r="C395" s="53">
        <v>2</v>
      </c>
      <c r="D395" s="45">
        <v>459.03999999999979</v>
      </c>
      <c r="E395" s="45"/>
      <c r="F395" s="45"/>
      <c r="G395" s="45"/>
      <c r="H395" s="45"/>
      <c r="I395" s="45"/>
      <c r="J395" s="51"/>
      <c r="K395" s="53">
        <v>2</v>
      </c>
      <c r="L395" s="45">
        <v>458.89999999999981</v>
      </c>
      <c r="M395" s="45"/>
      <c r="N395" s="45"/>
      <c r="O395" s="45"/>
      <c r="P395" s="45"/>
      <c r="Q395" s="45"/>
      <c r="R395" s="51"/>
      <c r="S395" s="53">
        <v>2</v>
      </c>
      <c r="T395" s="45">
        <v>461.31999999999982</v>
      </c>
      <c r="U395" s="45"/>
      <c r="V395" s="45"/>
      <c r="W395" s="45"/>
      <c r="X395" s="45"/>
      <c r="Y395" s="45"/>
      <c r="Z395" s="51"/>
      <c r="AA395" s="53">
        <v>2</v>
      </c>
      <c r="AB395" s="45">
        <v>458.50999999999982</v>
      </c>
      <c r="AC395" s="45"/>
      <c r="AD395" s="45"/>
      <c r="AE395" s="45"/>
      <c r="AF395" s="45"/>
      <c r="AG395" s="45"/>
      <c r="AH395" s="51"/>
      <c r="AI395" s="53">
        <v>2</v>
      </c>
      <c r="AJ395" s="45">
        <v>459.91999999999979</v>
      </c>
      <c r="AK395" s="45"/>
      <c r="AL395" s="45"/>
      <c r="AM395" s="45"/>
      <c r="AN395" s="45"/>
      <c r="AO395" s="45"/>
      <c r="AP395" s="51"/>
    </row>
    <row r="396" spans="1:42" ht="21" customHeight="1" thickTop="1" thickBot="1" x14ac:dyDescent="0.35">
      <c r="A396" s="63"/>
      <c r="B396" s="66"/>
      <c r="C396" s="53">
        <v>3</v>
      </c>
      <c r="D396" s="45">
        <v>458.72999999999979</v>
      </c>
      <c r="E396" s="45"/>
      <c r="F396" s="45"/>
      <c r="G396" s="44"/>
      <c r="H396" s="44"/>
      <c r="I396" s="44"/>
      <c r="J396" s="51"/>
      <c r="K396" s="53">
        <v>3</v>
      </c>
      <c r="L396" s="45">
        <v>459.4699999999998</v>
      </c>
      <c r="M396" s="45"/>
      <c r="N396" s="45"/>
      <c r="O396" s="44"/>
      <c r="P396" s="44"/>
      <c r="Q396" s="44"/>
      <c r="R396" s="51"/>
      <c r="S396" s="53">
        <v>3</v>
      </c>
      <c r="T396" s="45">
        <v>458.92999999999978</v>
      </c>
      <c r="U396" s="45"/>
      <c r="V396" s="45"/>
      <c r="W396" s="44"/>
      <c r="X396" s="44"/>
      <c r="Y396" s="44"/>
      <c r="Z396" s="51"/>
      <c r="AA396" s="53">
        <v>3</v>
      </c>
      <c r="AB396" s="45">
        <v>458.92999999999978</v>
      </c>
      <c r="AC396" s="45"/>
      <c r="AD396" s="45"/>
      <c r="AE396" s="44"/>
      <c r="AF396" s="44"/>
      <c r="AG396" s="44"/>
      <c r="AH396" s="51"/>
      <c r="AI396" s="53">
        <v>3</v>
      </c>
      <c r="AJ396" s="45">
        <v>458.99999999999977</v>
      </c>
      <c r="AK396" s="45"/>
      <c r="AL396" s="45"/>
      <c r="AM396" s="44"/>
      <c r="AN396" s="44"/>
      <c r="AO396" s="44"/>
      <c r="AP396" s="51"/>
    </row>
    <row r="397" spans="1:42" ht="21" customHeight="1" thickTop="1" thickBot="1" x14ac:dyDescent="0.35">
      <c r="A397" s="63"/>
      <c r="B397" s="66"/>
      <c r="C397" s="53">
        <v>4</v>
      </c>
      <c r="D397" s="45">
        <v>459.16999999999979</v>
      </c>
      <c r="E397" s="45"/>
      <c r="F397" s="45"/>
      <c r="G397" s="45"/>
      <c r="H397" s="45"/>
      <c r="I397" s="45"/>
      <c r="J397" s="51"/>
      <c r="K397" s="53">
        <v>4</v>
      </c>
      <c r="L397" s="45">
        <v>459.12999999999971</v>
      </c>
      <c r="M397" s="45"/>
      <c r="N397" s="45"/>
      <c r="O397" s="45"/>
      <c r="P397" s="45"/>
      <c r="Q397" s="45"/>
      <c r="R397" s="51"/>
      <c r="S397" s="53">
        <v>4</v>
      </c>
      <c r="T397" s="45">
        <v>458.18999999999988</v>
      </c>
      <c r="U397" s="45"/>
      <c r="V397" s="45"/>
      <c r="W397" s="45"/>
      <c r="X397" s="45"/>
      <c r="Y397" s="45"/>
      <c r="Z397" s="51"/>
      <c r="AA397" s="53">
        <v>4</v>
      </c>
      <c r="AB397" s="45">
        <v>457.72999999999979</v>
      </c>
      <c r="AC397" s="45"/>
      <c r="AD397" s="45"/>
      <c r="AE397" s="45"/>
      <c r="AF397" s="45"/>
      <c r="AG397" s="45"/>
      <c r="AH397" s="51"/>
      <c r="AI397" s="53">
        <v>4</v>
      </c>
      <c r="AJ397" s="45">
        <v>459.27999999999992</v>
      </c>
      <c r="AK397" s="45"/>
      <c r="AL397" s="45"/>
      <c r="AM397" s="45"/>
      <c r="AN397" s="45"/>
      <c r="AO397" s="45"/>
      <c r="AP397" s="51"/>
    </row>
    <row r="398" spans="1:42" ht="21" customHeight="1" thickTop="1" thickBot="1" x14ac:dyDescent="0.35">
      <c r="A398" s="63"/>
      <c r="B398" s="66"/>
      <c r="C398" s="53">
        <v>5</v>
      </c>
      <c r="D398" s="45">
        <v>458.47999999999979</v>
      </c>
      <c r="E398" s="45"/>
      <c r="F398" s="45"/>
      <c r="G398" s="45"/>
      <c r="H398" s="45"/>
      <c r="I398" s="45"/>
      <c r="J398" s="51"/>
      <c r="K398" s="53">
        <v>5</v>
      </c>
      <c r="L398" s="45">
        <v>458.56999999999982</v>
      </c>
      <c r="M398" s="45"/>
      <c r="N398" s="45"/>
      <c r="O398" s="45"/>
      <c r="P398" s="45"/>
      <c r="Q398" s="45"/>
      <c r="R398" s="51"/>
      <c r="S398" s="53">
        <v>5</v>
      </c>
      <c r="T398" s="45">
        <v>459.48999999999978</v>
      </c>
      <c r="U398" s="45"/>
      <c r="V398" s="45"/>
      <c r="W398" s="45"/>
      <c r="X398" s="45"/>
      <c r="Y398" s="45"/>
      <c r="Z398" s="51"/>
      <c r="AA398" s="53">
        <v>5</v>
      </c>
      <c r="AB398" s="45">
        <v>460.9099999999998</v>
      </c>
      <c r="AC398" s="45"/>
      <c r="AD398" s="45"/>
      <c r="AE398" s="45"/>
      <c r="AF398" s="45"/>
      <c r="AG398" s="45"/>
      <c r="AH398" s="51"/>
      <c r="AI398" s="53">
        <v>5</v>
      </c>
      <c r="AJ398" s="45">
        <v>459.91999999999979</v>
      </c>
      <c r="AK398" s="45"/>
      <c r="AL398" s="45"/>
      <c r="AM398" s="45"/>
      <c r="AN398" s="45"/>
      <c r="AO398" s="45"/>
      <c r="AP398" s="51"/>
    </row>
    <row r="399" spans="1:42" ht="21" customHeight="1" thickTop="1" thickBot="1" x14ac:dyDescent="0.35">
      <c r="A399" s="63"/>
      <c r="B399" s="66"/>
      <c r="C399" s="53">
        <v>6</v>
      </c>
      <c r="D399" s="45">
        <v>458.29999999999978</v>
      </c>
      <c r="E399" s="45"/>
      <c r="F399" s="45"/>
      <c r="G399" s="45"/>
      <c r="H399" s="45"/>
      <c r="I399" s="45"/>
      <c r="J399" s="51"/>
      <c r="K399" s="53">
        <v>6</v>
      </c>
      <c r="L399" s="45">
        <v>458.60999999999979</v>
      </c>
      <c r="M399" s="45"/>
      <c r="N399" s="45"/>
      <c r="O399" s="45"/>
      <c r="P399" s="45"/>
      <c r="Q399" s="45"/>
      <c r="R399" s="51"/>
      <c r="S399" s="53">
        <v>6</v>
      </c>
      <c r="T399" s="45">
        <v>459.07999999999981</v>
      </c>
      <c r="U399" s="45"/>
      <c r="V399" s="45"/>
      <c r="W399" s="45"/>
      <c r="X399" s="45"/>
      <c r="Y399" s="45"/>
      <c r="Z399" s="51"/>
      <c r="AA399" s="53">
        <v>6</v>
      </c>
      <c r="AB399" s="45">
        <v>459.37999999999982</v>
      </c>
      <c r="AC399" s="45"/>
      <c r="AD399" s="45"/>
      <c r="AE399" s="45"/>
      <c r="AF399" s="45"/>
      <c r="AG399" s="45"/>
      <c r="AH399" s="51"/>
      <c r="AI399" s="53">
        <v>6</v>
      </c>
      <c r="AJ399" s="45">
        <v>459.56999999999988</v>
      </c>
      <c r="AK399" s="45"/>
      <c r="AL399" s="45"/>
      <c r="AM399" s="45"/>
      <c r="AN399" s="45"/>
      <c r="AO399" s="45"/>
      <c r="AP399" s="51"/>
    </row>
    <row r="400" spans="1:42" ht="21" customHeight="1" thickTop="1" thickBot="1" x14ac:dyDescent="0.35">
      <c r="A400" s="63"/>
      <c r="B400" s="66"/>
      <c r="C400" s="53">
        <v>7</v>
      </c>
      <c r="D400" s="45">
        <v>458.66999999999979</v>
      </c>
      <c r="E400" s="45"/>
      <c r="F400" s="45"/>
      <c r="G400" s="45"/>
      <c r="H400" s="45"/>
      <c r="I400" s="45"/>
      <c r="J400" s="51"/>
      <c r="K400" s="53">
        <v>7</v>
      </c>
      <c r="L400" s="45">
        <v>458.53999999999979</v>
      </c>
      <c r="M400" s="45"/>
      <c r="N400" s="45"/>
      <c r="O400" s="45"/>
      <c r="P400" s="45"/>
      <c r="Q400" s="45"/>
      <c r="R400" s="51"/>
      <c r="S400" s="53">
        <v>7</v>
      </c>
      <c r="T400" s="45">
        <v>458.12999999999982</v>
      </c>
      <c r="U400" s="45"/>
      <c r="V400" s="45"/>
      <c r="W400" s="45"/>
      <c r="X400" s="45"/>
      <c r="Y400" s="45"/>
      <c r="Z400" s="51"/>
      <c r="AA400" s="53">
        <v>7</v>
      </c>
      <c r="AB400" s="45">
        <v>458.47999999999979</v>
      </c>
      <c r="AC400" s="45"/>
      <c r="AD400" s="45"/>
      <c r="AE400" s="45"/>
      <c r="AF400" s="45"/>
      <c r="AG400" s="45"/>
      <c r="AH400" s="51"/>
      <c r="AI400" s="53">
        <v>7</v>
      </c>
      <c r="AJ400" s="45">
        <v>459.87999999999982</v>
      </c>
      <c r="AK400" s="45"/>
      <c r="AL400" s="45"/>
      <c r="AM400" s="45"/>
      <c r="AN400" s="45"/>
      <c r="AO400" s="45"/>
      <c r="AP400" s="51"/>
    </row>
    <row r="401" spans="1:42" ht="21" customHeight="1" thickTop="1" thickBot="1" x14ac:dyDescent="0.35">
      <c r="A401" s="63"/>
      <c r="B401" s="66"/>
      <c r="C401" s="53">
        <v>8</v>
      </c>
      <c r="D401" s="45">
        <v>458.16999999999979</v>
      </c>
      <c r="E401" s="45"/>
      <c r="F401" s="45"/>
      <c r="G401" s="45"/>
      <c r="H401" s="45"/>
      <c r="I401" s="45"/>
      <c r="J401" s="51"/>
      <c r="K401" s="53">
        <v>8</v>
      </c>
      <c r="L401" s="45">
        <v>459.04999999999978</v>
      </c>
      <c r="M401" s="45"/>
      <c r="N401" s="45"/>
      <c r="O401" s="45"/>
      <c r="P401" s="45"/>
      <c r="Q401" s="45"/>
      <c r="R401" s="51"/>
      <c r="S401" s="53">
        <v>8</v>
      </c>
      <c r="T401" s="45">
        <v>458.92999999999978</v>
      </c>
      <c r="U401" s="45"/>
      <c r="V401" s="45"/>
      <c r="W401" s="45"/>
      <c r="X401" s="45"/>
      <c r="Y401" s="45"/>
      <c r="Z401" s="51"/>
      <c r="AA401" s="53">
        <v>8</v>
      </c>
      <c r="AB401" s="45">
        <v>458.62999999999982</v>
      </c>
      <c r="AC401" s="45"/>
      <c r="AD401" s="45"/>
      <c r="AE401" s="45"/>
      <c r="AF401" s="45"/>
      <c r="AG401" s="45"/>
      <c r="AH401" s="51"/>
      <c r="AI401" s="53">
        <v>8</v>
      </c>
      <c r="AJ401" s="45">
        <v>459.02999999999992</v>
      </c>
      <c r="AK401" s="45"/>
      <c r="AL401" s="45"/>
      <c r="AM401" s="45"/>
      <c r="AN401" s="45"/>
      <c r="AO401" s="45"/>
      <c r="AP401" s="51"/>
    </row>
    <row r="402" spans="1:42" ht="21" customHeight="1" thickTop="1" thickBot="1" x14ac:dyDescent="0.35">
      <c r="A402" s="63"/>
      <c r="B402" s="66"/>
      <c r="C402" s="53">
        <v>9</v>
      </c>
      <c r="D402" s="45">
        <v>458.47999999999979</v>
      </c>
      <c r="E402" s="45"/>
      <c r="F402" s="45"/>
      <c r="G402" s="45"/>
      <c r="H402" s="45"/>
      <c r="I402" s="45"/>
      <c r="J402" s="51"/>
      <c r="K402" s="53">
        <v>9</v>
      </c>
      <c r="L402" s="45">
        <v>459.8499999999998</v>
      </c>
      <c r="M402" s="45"/>
      <c r="N402" s="45"/>
      <c r="O402" s="45"/>
      <c r="P402" s="45"/>
      <c r="Q402" s="45"/>
      <c r="R402" s="51"/>
      <c r="S402" s="53">
        <v>9</v>
      </c>
      <c r="T402" s="45">
        <v>461.70999999999981</v>
      </c>
      <c r="U402" s="45"/>
      <c r="V402" s="45"/>
      <c r="W402" s="45"/>
      <c r="X402" s="45"/>
      <c r="Y402" s="45"/>
      <c r="Z402" s="51"/>
      <c r="AA402" s="53">
        <v>9</v>
      </c>
      <c r="AB402" s="45">
        <v>458.65999999999991</v>
      </c>
      <c r="AC402" s="45"/>
      <c r="AD402" s="45"/>
      <c r="AE402" s="45"/>
      <c r="AF402" s="45"/>
      <c r="AG402" s="45"/>
      <c r="AH402" s="51"/>
      <c r="AI402" s="53">
        <v>9</v>
      </c>
      <c r="AJ402" s="45">
        <v>459.82999999999981</v>
      </c>
      <c r="AK402" s="45"/>
      <c r="AL402" s="45"/>
      <c r="AM402" s="45"/>
      <c r="AN402" s="45"/>
      <c r="AO402" s="45"/>
      <c r="AP402" s="51"/>
    </row>
    <row r="403" spans="1:42" ht="21" customHeight="1" thickTop="1" thickBot="1" x14ac:dyDescent="0.35">
      <c r="A403" s="63"/>
      <c r="B403" s="66"/>
      <c r="C403" s="53">
        <v>10</v>
      </c>
      <c r="D403" s="45">
        <v>458.05999999999977</v>
      </c>
      <c r="E403" s="45"/>
      <c r="F403" s="45"/>
      <c r="G403" s="45"/>
      <c r="H403" s="45"/>
      <c r="I403" s="45"/>
      <c r="J403" s="51"/>
      <c r="K403" s="53">
        <v>10</v>
      </c>
      <c r="L403" s="45">
        <v>458.93999999999988</v>
      </c>
      <c r="M403" s="45"/>
      <c r="N403" s="45"/>
      <c r="O403" s="45"/>
      <c r="P403" s="45"/>
      <c r="Q403" s="45"/>
      <c r="R403" s="51"/>
      <c r="S403" s="53">
        <v>10</v>
      </c>
      <c r="T403" s="45">
        <v>458.05999999999977</v>
      </c>
      <c r="U403" s="45"/>
      <c r="V403" s="45"/>
      <c r="W403" s="45"/>
      <c r="X403" s="45"/>
      <c r="Y403" s="45"/>
      <c r="Z403" s="51"/>
      <c r="AA403" s="53">
        <v>10</v>
      </c>
      <c r="AB403" s="45">
        <v>459.3399999999998</v>
      </c>
      <c r="AC403" s="45"/>
      <c r="AD403" s="45"/>
      <c r="AE403" s="45"/>
      <c r="AF403" s="45"/>
      <c r="AG403" s="45"/>
      <c r="AH403" s="51"/>
      <c r="AI403" s="53">
        <v>10</v>
      </c>
      <c r="AJ403" s="45">
        <v>459.83999999999992</v>
      </c>
      <c r="AK403" s="45"/>
      <c r="AL403" s="45"/>
      <c r="AM403" s="45"/>
      <c r="AN403" s="45"/>
      <c r="AO403" s="45"/>
      <c r="AP403" s="51"/>
    </row>
    <row r="404" spans="1:42" ht="21" customHeight="1" thickTop="1" thickBot="1" x14ac:dyDescent="0.35">
      <c r="A404" s="63"/>
      <c r="B404" s="66"/>
      <c r="C404" s="53"/>
      <c r="D404" s="45"/>
      <c r="E404" s="45"/>
      <c r="F404" s="45"/>
      <c r="G404" s="45"/>
      <c r="H404" s="45"/>
      <c r="I404" s="45"/>
      <c r="J404" s="51"/>
      <c r="K404" s="53"/>
      <c r="L404" s="45"/>
      <c r="M404" s="45"/>
      <c r="N404" s="45"/>
      <c r="O404" s="45"/>
      <c r="P404" s="45"/>
      <c r="Q404" s="45"/>
      <c r="R404" s="51"/>
      <c r="S404" s="53"/>
      <c r="T404" s="45"/>
      <c r="U404" s="45"/>
      <c r="V404" s="45"/>
      <c r="W404" s="45"/>
      <c r="X404" s="45"/>
      <c r="Y404" s="45"/>
      <c r="Z404" s="51"/>
      <c r="AA404" s="53"/>
      <c r="AB404" s="45"/>
      <c r="AC404" s="45"/>
      <c r="AD404" s="45"/>
      <c r="AE404" s="45"/>
      <c r="AF404" s="45"/>
      <c r="AG404" s="45"/>
      <c r="AH404" s="51"/>
      <c r="AI404" s="53"/>
      <c r="AJ404" s="45"/>
      <c r="AK404" s="45"/>
      <c r="AL404" s="45"/>
      <c r="AM404" s="45"/>
      <c r="AN404" s="45"/>
      <c r="AO404" s="45"/>
      <c r="AP404" s="51"/>
    </row>
    <row r="405" spans="1:42" ht="21" customHeight="1" thickTop="1" thickBot="1" x14ac:dyDescent="0.35">
      <c r="A405" s="63"/>
      <c r="B405" s="66"/>
      <c r="C405" s="54" t="s">
        <v>16</v>
      </c>
      <c r="D405" s="49">
        <f>MIN(D394:D403)</f>
        <v>457.30999999999977</v>
      </c>
      <c r="E405" s="45"/>
      <c r="F405" s="55" t="s">
        <v>17</v>
      </c>
      <c r="G405" s="49" t="s">
        <v>18</v>
      </c>
      <c r="H405" s="49" t="s">
        <v>19</v>
      </c>
      <c r="I405" s="45"/>
      <c r="J405" s="51"/>
      <c r="K405" s="54" t="s">
        <v>16</v>
      </c>
      <c r="L405" s="49">
        <f>MIN(L394:L403)</f>
        <v>458.53999999999979</v>
      </c>
      <c r="M405" s="45"/>
      <c r="N405" s="55" t="s">
        <v>17</v>
      </c>
      <c r="O405" s="49" t="s">
        <v>18</v>
      </c>
      <c r="P405" s="49" t="s">
        <v>19</v>
      </c>
      <c r="Q405" s="45"/>
      <c r="R405" s="51"/>
      <c r="S405" s="54" t="s">
        <v>16</v>
      </c>
      <c r="T405" s="49">
        <f>MIN(T394:T403)</f>
        <v>458.05999999999977</v>
      </c>
      <c r="U405" s="45"/>
      <c r="V405" s="55" t="s">
        <v>17</v>
      </c>
      <c r="W405" s="49" t="s">
        <v>18</v>
      </c>
      <c r="X405" s="49" t="s">
        <v>19</v>
      </c>
      <c r="Y405" s="45"/>
      <c r="Z405" s="51"/>
      <c r="AA405" s="54" t="s">
        <v>16</v>
      </c>
      <c r="AB405" s="49">
        <f>MIN(AB394:AB403)</f>
        <v>457.72999999999979</v>
      </c>
      <c r="AC405" s="45"/>
      <c r="AD405" s="55" t="s">
        <v>17</v>
      </c>
      <c r="AE405" s="49" t="s">
        <v>18</v>
      </c>
      <c r="AF405" s="49" t="s">
        <v>19</v>
      </c>
      <c r="AG405" s="45"/>
      <c r="AH405" s="51"/>
      <c r="AI405" s="54" t="s">
        <v>16</v>
      </c>
      <c r="AJ405" s="49">
        <f>MIN(AJ394:AJ403)</f>
        <v>458.99999999999977</v>
      </c>
      <c r="AK405" s="45"/>
      <c r="AL405" s="55" t="s">
        <v>17</v>
      </c>
      <c r="AM405" s="49" t="s">
        <v>18</v>
      </c>
      <c r="AN405" s="49" t="s">
        <v>19</v>
      </c>
      <c r="AO405" s="45"/>
      <c r="AP405" s="51"/>
    </row>
    <row r="406" spans="1:42" ht="21" customHeight="1" thickTop="1" thickBot="1" x14ac:dyDescent="0.35">
      <c r="A406" s="63"/>
      <c r="B406" s="66"/>
      <c r="C406" s="54" t="s">
        <v>20</v>
      </c>
      <c r="D406" s="48">
        <f>AVERAGE(D394:D403)</f>
        <v>458.44099999999969</v>
      </c>
      <c r="E406" s="47"/>
      <c r="F406" s="48">
        <f>_xlfn.STDEV.S(D394:D403) / AVERAGE(D394:D403) * 100%</f>
        <v>1.1603804098428226E-3</v>
      </c>
      <c r="G406" s="48">
        <f t="array" ref="G406">MIN((D394:D403 - MIN(D394:D403,L394:L403,T394:T403,AB394:AB403,AJ394:AJ403))/MIN(D394:D403,L394:L403,T394:T403,AB394:AB403,AJ394:AJ403)*100%)</f>
        <v>0</v>
      </c>
      <c r="H406" s="48">
        <f t="array" ref="H406">AVERAGE((D394:D403 - MIN(D394:D403,L394:L403,T394:T403,AB394:AB403,AJ394:AJ403))/MIN(D394:D403,L394:L403,T394:T403,AB394:AB403,AJ394:AJ403)*100%)</f>
        <v>2.4731582515143168E-3</v>
      </c>
      <c r="I406" s="45"/>
      <c r="J406" s="51"/>
      <c r="K406" s="54" t="s">
        <v>20</v>
      </c>
      <c r="L406" s="48">
        <f>AVERAGE(L394:L403)</f>
        <v>459.03799999999973</v>
      </c>
      <c r="M406" s="47"/>
      <c r="N406" s="48">
        <f>_xlfn.STDEV.S(L394:L403) / AVERAGE(L394:L403) * 100%</f>
        <v>9.2223564775868272E-4</v>
      </c>
      <c r="O406" s="48">
        <f t="array" ref="O406">MIN((L394:L403 - MIN(D394:D403,L394:L403,T394:T403,AB394:AB403,AJ394:AJ403))/MIN(D394:D403,L394:L403,T394:T403,AB394:AB403,AJ394:AJ403)*100%)</f>
        <v>2.6896415997901177E-3</v>
      </c>
      <c r="P406" s="48">
        <f t="array" ref="P406">AVERAGE((L394:L403 - MIN(D394:D403,L394:L403,T394:T403,AB394:AB403,AJ394:AJ403))/MIN(D394:D403,L394:L403,T394:T403,AB394:AB403,AJ394:AJ403)*100%)</f>
        <v>3.7786184426319702E-3</v>
      </c>
      <c r="Q406" s="44"/>
      <c r="R406" s="51"/>
      <c r="S406" s="54" t="s">
        <v>20</v>
      </c>
      <c r="T406" s="48">
        <f>AVERAGE(T394:T403)</f>
        <v>459.35399999999981</v>
      </c>
      <c r="U406" s="47"/>
      <c r="V406" s="48">
        <f>_xlfn.STDEV.S(T394:T403) / AVERAGE(T394:T403) * 100%</f>
        <v>2.7647655712581269E-3</v>
      </c>
      <c r="W406" s="48">
        <f t="array" ref="W406">MIN((T394:T403 - MIN(D394:D403,L394:L403,T394:T403,AB394:AB403,AJ394:AJ403))/MIN(D394:D403,L394:L403,T394:T403,AB394:AB403,AJ394:AJ403)*100%)</f>
        <v>1.6400253657256573E-3</v>
      </c>
      <c r="X406" s="48">
        <f t="array" ref="X406">AVERAGE((T394:T403 - MIN(D394:D403,L394:L403,T394:T403,AB394:AB403,AJ394:AJ403))/MIN(D394:D403,L394:L403,T394:T403,AB394:AB403,AJ394:AJ403)*100%)</f>
        <v>4.469615796724411E-3</v>
      </c>
      <c r="Y406" s="44"/>
      <c r="Z406" s="51"/>
      <c r="AA406" s="54" t="s">
        <v>20</v>
      </c>
      <c r="AB406" s="48">
        <f>AVERAGE(AB394:AB403)</f>
        <v>458.85899999999981</v>
      </c>
      <c r="AC406" s="47"/>
      <c r="AD406" s="48">
        <f>_xlfn.STDEV.S(AB394:AB403) / AVERAGE(AB394:AB403) * 100%</f>
        <v>1.9288974610249096E-3</v>
      </c>
      <c r="AE406" s="48">
        <f t="array" ref="AE406">MIN((AB394:AB403 - MIN(D394:D403,L394:L403,T394:T403,AB394:AB403,AJ394:AJ403))/MIN(D394:D403,L394:L403,T394:T403,AB394:AB403,AJ394:AJ403)*100%)</f>
        <v>9.1841420480640295E-4</v>
      </c>
      <c r="AF406" s="48">
        <f t="array" ref="AF406">AVERAGE((AB394:AB403 - MIN(D394:D403,L394:L403,T394:T403,AB394:AB403,AJ394:AJ403))/MIN(D394:D403,L394:L403,T394:T403,AB394:AB403,AJ394:AJ403)*100%)</f>
        <v>3.38719905534548E-3</v>
      </c>
      <c r="AG406" s="44"/>
      <c r="AH406" s="51"/>
      <c r="AI406" s="54" t="s">
        <v>20</v>
      </c>
      <c r="AJ406" s="48">
        <f>AVERAGE(AJ394:AJ403)</f>
        <v>459.61599999999981</v>
      </c>
      <c r="AK406" s="47"/>
      <c r="AL406" s="48">
        <f>_xlfn.STDEV.S(AJ394:AJ403) / AVERAGE(AJ394:AJ403) * 100%</f>
        <v>8.1519389330100562E-4</v>
      </c>
      <c r="AM406" s="48">
        <f t="array" ref="AM406">MIN((AJ394:AJ403 - MIN(D394:D403,L394:L403,T394:T403,AB394:AB403,AJ394:AJ403))/MIN(D394:D403,L394:L403,T394:T403,AB394:AB403,AJ394:AJ403)*100%)</f>
        <v>3.6955238241018098E-3</v>
      </c>
      <c r="AN406" s="48">
        <f t="array" ref="AN406">AVERAGE((AJ394:AJ403 - MIN(D394:D403,L394:L403,T394:T403,AB394:AB403,AJ394:AJ403))/MIN(D394:D403,L394:L403,T394:T403,AB394:AB403,AJ394:AJ403)*100%)</f>
        <v>5.0425313244846495E-3</v>
      </c>
      <c r="AO406" s="44"/>
      <c r="AP406" s="51"/>
    </row>
    <row r="407" spans="1:42" ht="21" customHeight="1" thickTop="1" thickBot="1" x14ac:dyDescent="0.35">
      <c r="A407" s="63"/>
      <c r="B407" s="67"/>
      <c r="C407" s="53"/>
      <c r="D407" s="44"/>
      <c r="E407" s="44"/>
      <c r="F407" s="44"/>
      <c r="G407" s="44"/>
      <c r="H407" s="44"/>
      <c r="I407" s="44"/>
      <c r="J407" s="51"/>
      <c r="K407" s="53"/>
      <c r="L407" s="44"/>
      <c r="M407" s="44"/>
      <c r="N407" s="44"/>
      <c r="O407" s="44"/>
      <c r="P407" s="44"/>
      <c r="Q407" s="44"/>
      <c r="R407" s="51"/>
      <c r="S407" s="53"/>
      <c r="T407" s="44"/>
      <c r="U407" s="44"/>
      <c r="V407" s="44"/>
      <c r="W407" s="44"/>
      <c r="X407" s="44"/>
      <c r="Y407" s="44"/>
      <c r="Z407" s="51"/>
      <c r="AA407" s="53"/>
      <c r="AB407" s="44"/>
      <c r="AC407" s="44"/>
      <c r="AD407" s="44"/>
      <c r="AE407" s="44"/>
      <c r="AF407" s="44"/>
      <c r="AG407" s="44"/>
      <c r="AH407" s="51"/>
      <c r="AI407" s="53"/>
      <c r="AJ407" s="44"/>
      <c r="AK407" s="44"/>
      <c r="AL407" s="44"/>
      <c r="AM407" s="44"/>
      <c r="AN407" s="44"/>
      <c r="AO407" s="44"/>
      <c r="AP407" s="51"/>
    </row>
    <row r="408" spans="1:42" ht="21" customHeight="1" thickTop="1" thickBot="1" x14ac:dyDescent="0.35">
      <c r="A408" s="63"/>
      <c r="B408" s="65" t="s">
        <v>133</v>
      </c>
      <c r="C408" s="59" t="s">
        <v>8</v>
      </c>
      <c r="D408" s="46" t="s">
        <v>9</v>
      </c>
      <c r="E408" s="46" t="s">
        <v>10</v>
      </c>
      <c r="F408" s="46" t="s">
        <v>11</v>
      </c>
      <c r="G408" s="46" t="s">
        <v>12</v>
      </c>
      <c r="H408" s="46" t="s">
        <v>13</v>
      </c>
      <c r="I408" s="46" t="s">
        <v>14</v>
      </c>
      <c r="J408" s="60" t="s">
        <v>15</v>
      </c>
      <c r="K408" s="59" t="s">
        <v>8</v>
      </c>
      <c r="L408" s="46" t="s">
        <v>9</v>
      </c>
      <c r="M408" s="46" t="s">
        <v>10</v>
      </c>
      <c r="N408" s="46" t="s">
        <v>11</v>
      </c>
      <c r="O408" s="46" t="s">
        <v>12</v>
      </c>
      <c r="P408" s="46" t="s">
        <v>13</v>
      </c>
      <c r="Q408" s="46" t="s">
        <v>14</v>
      </c>
      <c r="R408" s="60" t="s">
        <v>15</v>
      </c>
      <c r="S408" s="59" t="s">
        <v>8</v>
      </c>
      <c r="T408" s="46" t="s">
        <v>9</v>
      </c>
      <c r="U408" s="46" t="s">
        <v>10</v>
      </c>
      <c r="V408" s="46" t="s">
        <v>11</v>
      </c>
      <c r="W408" s="46" t="s">
        <v>12</v>
      </c>
      <c r="X408" s="46" t="s">
        <v>13</v>
      </c>
      <c r="Y408" s="46" t="s">
        <v>14</v>
      </c>
      <c r="Z408" s="60" t="s">
        <v>15</v>
      </c>
      <c r="AA408" s="59" t="s">
        <v>8</v>
      </c>
      <c r="AB408" s="46" t="s">
        <v>9</v>
      </c>
      <c r="AC408" s="46" t="s">
        <v>10</v>
      </c>
      <c r="AD408" s="46" t="s">
        <v>11</v>
      </c>
      <c r="AE408" s="46" t="s">
        <v>12</v>
      </c>
      <c r="AF408" s="46" t="s">
        <v>13</v>
      </c>
      <c r="AG408" s="46" t="s">
        <v>14</v>
      </c>
      <c r="AH408" s="60" t="s">
        <v>15</v>
      </c>
      <c r="AI408" s="59" t="s">
        <v>8</v>
      </c>
      <c r="AJ408" s="46" t="s">
        <v>9</v>
      </c>
      <c r="AK408" s="46" t="s">
        <v>10</v>
      </c>
      <c r="AL408" s="46" t="s">
        <v>11</v>
      </c>
      <c r="AM408" s="46" t="s">
        <v>12</v>
      </c>
      <c r="AN408" s="46" t="s">
        <v>13</v>
      </c>
      <c r="AO408" s="46" t="s">
        <v>14</v>
      </c>
      <c r="AP408" s="60" t="s">
        <v>15</v>
      </c>
    </row>
    <row r="409" spans="1:42" ht="21" customHeight="1" thickTop="1" thickBot="1" x14ac:dyDescent="0.35">
      <c r="A409" s="63"/>
      <c r="B409" s="66"/>
      <c r="C409" s="52">
        <v>1</v>
      </c>
      <c r="D409" s="44">
        <v>477.1599999999998</v>
      </c>
      <c r="E409" s="44"/>
      <c r="F409" s="44"/>
      <c r="G409" s="44"/>
      <c r="H409" s="44"/>
      <c r="I409" s="44"/>
      <c r="J409" s="51"/>
      <c r="K409" s="52">
        <v>1</v>
      </c>
      <c r="L409" s="44">
        <v>477.53999999999979</v>
      </c>
      <c r="M409" s="44"/>
      <c r="N409" s="44"/>
      <c r="O409" s="44"/>
      <c r="P409" s="44"/>
      <c r="Q409" s="44"/>
      <c r="R409" s="51"/>
      <c r="S409" s="52">
        <v>1</v>
      </c>
      <c r="T409" s="44">
        <v>478.63999999999982</v>
      </c>
      <c r="U409" s="44"/>
      <c r="V409" s="44"/>
      <c r="W409" s="44"/>
      <c r="X409" s="44"/>
      <c r="Y409" s="44"/>
      <c r="Z409" s="51"/>
      <c r="AA409" s="52">
        <v>1</v>
      </c>
      <c r="AB409" s="44">
        <v>479.42999999999978</v>
      </c>
      <c r="AC409" s="44"/>
      <c r="AD409" s="44"/>
      <c r="AE409" s="44"/>
      <c r="AF409" s="44"/>
      <c r="AG409" s="44"/>
      <c r="AH409" s="51"/>
      <c r="AI409" s="52">
        <v>1</v>
      </c>
      <c r="AJ409" s="44">
        <v>482.42999999999978</v>
      </c>
      <c r="AK409" s="44"/>
      <c r="AL409" s="44"/>
      <c r="AM409" s="44"/>
      <c r="AN409" s="44"/>
      <c r="AO409" s="44"/>
      <c r="AP409" s="51"/>
    </row>
    <row r="410" spans="1:42" ht="21" customHeight="1" thickTop="1" thickBot="1" x14ac:dyDescent="0.35">
      <c r="A410" s="63"/>
      <c r="B410" s="66"/>
      <c r="C410" s="53">
        <v>2</v>
      </c>
      <c r="D410" s="45">
        <v>477.99999999999977</v>
      </c>
      <c r="E410" s="45"/>
      <c r="F410" s="45"/>
      <c r="G410" s="45"/>
      <c r="H410" s="45"/>
      <c r="I410" s="45"/>
      <c r="J410" s="51"/>
      <c r="K410" s="53">
        <v>2</v>
      </c>
      <c r="L410" s="45">
        <v>478.30999999999972</v>
      </c>
      <c r="M410" s="45"/>
      <c r="N410" s="45"/>
      <c r="O410" s="45"/>
      <c r="P410" s="45"/>
      <c r="Q410" s="45"/>
      <c r="R410" s="51"/>
      <c r="S410" s="53">
        <v>2</v>
      </c>
      <c r="T410" s="45">
        <v>480.85999999999979</v>
      </c>
      <c r="U410" s="45"/>
      <c r="V410" s="45"/>
      <c r="W410" s="45"/>
      <c r="X410" s="45"/>
      <c r="Y410" s="45"/>
      <c r="Z410" s="51"/>
      <c r="AA410" s="53">
        <v>2</v>
      </c>
      <c r="AB410" s="45">
        <v>478.41999999999979</v>
      </c>
      <c r="AC410" s="45"/>
      <c r="AD410" s="45"/>
      <c r="AE410" s="45"/>
      <c r="AF410" s="45"/>
      <c r="AG410" s="45"/>
      <c r="AH410" s="51"/>
      <c r="AI410" s="53">
        <v>2</v>
      </c>
      <c r="AJ410" s="45">
        <v>481.39999999999992</v>
      </c>
      <c r="AK410" s="45"/>
      <c r="AL410" s="45"/>
      <c r="AM410" s="45"/>
      <c r="AN410" s="45"/>
      <c r="AO410" s="45"/>
      <c r="AP410" s="51"/>
    </row>
    <row r="411" spans="1:42" ht="21" customHeight="1" thickTop="1" thickBot="1" x14ac:dyDescent="0.35">
      <c r="A411" s="63"/>
      <c r="B411" s="66"/>
      <c r="C411" s="53">
        <v>3</v>
      </c>
      <c r="D411" s="45">
        <v>478.15999999999968</v>
      </c>
      <c r="E411" s="45"/>
      <c r="F411" s="45"/>
      <c r="G411" s="44"/>
      <c r="H411" s="44"/>
      <c r="I411" s="44"/>
      <c r="J411" s="51"/>
      <c r="K411" s="53">
        <v>3</v>
      </c>
      <c r="L411" s="45">
        <v>477.84999999999991</v>
      </c>
      <c r="M411" s="45"/>
      <c r="N411" s="45"/>
      <c r="O411" s="44"/>
      <c r="P411" s="44"/>
      <c r="Q411" s="44"/>
      <c r="R411" s="51"/>
      <c r="S411" s="53">
        <v>3</v>
      </c>
      <c r="T411" s="45">
        <v>481.0299999999998</v>
      </c>
      <c r="U411" s="45"/>
      <c r="V411" s="45"/>
      <c r="W411" s="44"/>
      <c r="X411" s="44"/>
      <c r="Y411" s="44"/>
      <c r="Z411" s="51"/>
      <c r="AA411" s="53">
        <v>3</v>
      </c>
      <c r="AB411" s="45">
        <v>479.79999999999978</v>
      </c>
      <c r="AC411" s="45"/>
      <c r="AD411" s="45"/>
      <c r="AE411" s="44"/>
      <c r="AF411" s="44"/>
      <c r="AG411" s="44"/>
      <c r="AH411" s="51"/>
      <c r="AI411" s="53">
        <v>3</v>
      </c>
      <c r="AJ411" s="45">
        <v>482.40999999999991</v>
      </c>
      <c r="AK411" s="45"/>
      <c r="AL411" s="45"/>
      <c r="AM411" s="44"/>
      <c r="AN411" s="44"/>
      <c r="AO411" s="44"/>
      <c r="AP411" s="51"/>
    </row>
    <row r="412" spans="1:42" ht="21" customHeight="1" thickTop="1" thickBot="1" x14ac:dyDescent="0.35">
      <c r="A412" s="63"/>
      <c r="B412" s="66"/>
      <c r="C412" s="53">
        <v>4</v>
      </c>
      <c r="D412" s="45">
        <v>478.63999999999982</v>
      </c>
      <c r="E412" s="45"/>
      <c r="F412" s="45"/>
      <c r="G412" s="45"/>
      <c r="H412" s="45"/>
      <c r="I412" s="45"/>
      <c r="J412" s="51"/>
      <c r="K412" s="53">
        <v>4</v>
      </c>
      <c r="L412" s="45">
        <v>478.95999999999981</v>
      </c>
      <c r="M412" s="45"/>
      <c r="N412" s="45"/>
      <c r="O412" s="45"/>
      <c r="P412" s="45"/>
      <c r="Q412" s="45"/>
      <c r="R412" s="51"/>
      <c r="S412" s="53">
        <v>4</v>
      </c>
      <c r="T412" s="45">
        <v>481.62999999999982</v>
      </c>
      <c r="U412" s="45"/>
      <c r="V412" s="45"/>
      <c r="W412" s="45"/>
      <c r="X412" s="45"/>
      <c r="Y412" s="45"/>
      <c r="Z412" s="51"/>
      <c r="AA412" s="53">
        <v>4</v>
      </c>
      <c r="AB412" s="45">
        <v>480.07999999999981</v>
      </c>
      <c r="AC412" s="45"/>
      <c r="AD412" s="45"/>
      <c r="AE412" s="45"/>
      <c r="AF412" s="45"/>
      <c r="AG412" s="45"/>
      <c r="AH412" s="51"/>
      <c r="AI412" s="53">
        <v>4</v>
      </c>
      <c r="AJ412" s="45">
        <v>481.58999999999992</v>
      </c>
      <c r="AK412" s="45"/>
      <c r="AL412" s="45"/>
      <c r="AM412" s="45"/>
      <c r="AN412" s="45"/>
      <c r="AO412" s="45"/>
      <c r="AP412" s="51"/>
    </row>
    <row r="413" spans="1:42" ht="21" customHeight="1" thickTop="1" thickBot="1" x14ac:dyDescent="0.35">
      <c r="A413" s="63"/>
      <c r="B413" s="66"/>
      <c r="C413" s="53">
        <v>5</v>
      </c>
      <c r="D413" s="45">
        <v>476.70999999999981</v>
      </c>
      <c r="E413" s="45"/>
      <c r="F413" s="45"/>
      <c r="G413" s="45"/>
      <c r="H413" s="45"/>
      <c r="I413" s="45"/>
      <c r="J413" s="51"/>
      <c r="K413" s="53">
        <v>5</v>
      </c>
      <c r="L413" s="45">
        <v>480.22999999999979</v>
      </c>
      <c r="M413" s="45"/>
      <c r="N413" s="45"/>
      <c r="O413" s="45"/>
      <c r="P413" s="45"/>
      <c r="Q413" s="45"/>
      <c r="R413" s="51"/>
      <c r="S413" s="53">
        <v>5</v>
      </c>
      <c r="T413" s="45">
        <v>479.42999999999978</v>
      </c>
      <c r="U413" s="45"/>
      <c r="V413" s="45"/>
      <c r="W413" s="45"/>
      <c r="X413" s="45"/>
      <c r="Y413" s="45"/>
      <c r="Z413" s="51"/>
      <c r="AA413" s="53">
        <v>5</v>
      </c>
      <c r="AB413" s="45">
        <v>479.09999999999991</v>
      </c>
      <c r="AC413" s="45"/>
      <c r="AD413" s="45"/>
      <c r="AE413" s="45"/>
      <c r="AF413" s="45"/>
      <c r="AG413" s="45"/>
      <c r="AH413" s="51"/>
      <c r="AI413" s="53">
        <v>5</v>
      </c>
      <c r="AJ413" s="45">
        <v>482.46999999999991</v>
      </c>
      <c r="AK413" s="45"/>
      <c r="AL413" s="45"/>
      <c r="AM413" s="45"/>
      <c r="AN413" s="45"/>
      <c r="AO413" s="45"/>
      <c r="AP413" s="51"/>
    </row>
    <row r="414" spans="1:42" ht="21" customHeight="1" thickTop="1" thickBot="1" x14ac:dyDescent="0.35">
      <c r="A414" s="63"/>
      <c r="B414" s="66"/>
      <c r="C414" s="53">
        <v>6</v>
      </c>
      <c r="D414" s="45">
        <v>477.28999999999979</v>
      </c>
      <c r="E414" s="45"/>
      <c r="F414" s="45"/>
      <c r="G414" s="45"/>
      <c r="H414" s="45"/>
      <c r="I414" s="45"/>
      <c r="J414" s="51"/>
      <c r="K414" s="53">
        <v>6</v>
      </c>
      <c r="L414" s="45">
        <v>478.33999999999992</v>
      </c>
      <c r="M414" s="45"/>
      <c r="N414" s="45"/>
      <c r="O414" s="45"/>
      <c r="P414" s="45"/>
      <c r="Q414" s="45"/>
      <c r="R414" s="51"/>
      <c r="S414" s="53">
        <v>6</v>
      </c>
      <c r="T414" s="45">
        <v>478.22999999999979</v>
      </c>
      <c r="U414" s="45"/>
      <c r="V414" s="45"/>
      <c r="W414" s="45"/>
      <c r="X414" s="45"/>
      <c r="Y414" s="45"/>
      <c r="Z414" s="51"/>
      <c r="AA414" s="53">
        <v>6</v>
      </c>
      <c r="AB414" s="45">
        <v>478.97999999999979</v>
      </c>
      <c r="AC414" s="45"/>
      <c r="AD414" s="45"/>
      <c r="AE414" s="45"/>
      <c r="AF414" s="45"/>
      <c r="AG414" s="45"/>
      <c r="AH414" s="51"/>
      <c r="AI414" s="53">
        <v>6</v>
      </c>
      <c r="AJ414" s="45">
        <v>481.45999999999992</v>
      </c>
      <c r="AK414" s="45"/>
      <c r="AL414" s="45"/>
      <c r="AM414" s="45"/>
      <c r="AN414" s="45"/>
      <c r="AO414" s="45"/>
      <c r="AP414" s="51"/>
    </row>
    <row r="415" spans="1:42" ht="21" customHeight="1" thickTop="1" thickBot="1" x14ac:dyDescent="0.35">
      <c r="A415" s="63"/>
      <c r="B415" s="66"/>
      <c r="C415" s="53">
        <v>7</v>
      </c>
      <c r="D415" s="45">
        <v>477.85999999999979</v>
      </c>
      <c r="E415" s="45"/>
      <c r="F415" s="45"/>
      <c r="G415" s="45"/>
      <c r="H415" s="45"/>
      <c r="I415" s="45"/>
      <c r="J415" s="51"/>
      <c r="K415" s="53">
        <v>7</v>
      </c>
      <c r="L415" s="45">
        <v>478.78999999999979</v>
      </c>
      <c r="M415" s="45"/>
      <c r="N415" s="45"/>
      <c r="O415" s="45"/>
      <c r="P415" s="45"/>
      <c r="Q415" s="45"/>
      <c r="R415" s="51"/>
      <c r="S415" s="53">
        <v>7</v>
      </c>
      <c r="T415" s="45">
        <v>477.64999999999981</v>
      </c>
      <c r="U415" s="45"/>
      <c r="V415" s="45"/>
      <c r="W415" s="45"/>
      <c r="X415" s="45"/>
      <c r="Y415" s="45"/>
      <c r="Z415" s="51"/>
      <c r="AA415" s="53">
        <v>7</v>
      </c>
      <c r="AB415" s="45">
        <v>479.52999999999992</v>
      </c>
      <c r="AC415" s="45"/>
      <c r="AD415" s="45"/>
      <c r="AE415" s="45"/>
      <c r="AF415" s="45"/>
      <c r="AG415" s="45"/>
      <c r="AH415" s="51"/>
      <c r="AI415" s="53">
        <v>7</v>
      </c>
      <c r="AJ415" s="45">
        <v>481.53999999999979</v>
      </c>
      <c r="AK415" s="45"/>
      <c r="AL415" s="45"/>
      <c r="AM415" s="45"/>
      <c r="AN415" s="45"/>
      <c r="AO415" s="45"/>
      <c r="AP415" s="51"/>
    </row>
    <row r="416" spans="1:42" ht="21" customHeight="1" thickTop="1" thickBot="1" x14ac:dyDescent="0.35">
      <c r="A416" s="63"/>
      <c r="B416" s="66"/>
      <c r="C416" s="53">
        <v>8</v>
      </c>
      <c r="D416" s="45">
        <v>477.71999999999991</v>
      </c>
      <c r="E416" s="45"/>
      <c r="F416" s="45"/>
      <c r="G416" s="45"/>
      <c r="H416" s="45"/>
      <c r="I416" s="45"/>
      <c r="J416" s="51"/>
      <c r="K416" s="53">
        <v>8</v>
      </c>
      <c r="L416" s="45">
        <v>478.78999999999979</v>
      </c>
      <c r="M416" s="45"/>
      <c r="N416" s="45"/>
      <c r="O416" s="45"/>
      <c r="P416" s="45"/>
      <c r="Q416" s="45"/>
      <c r="R416" s="51"/>
      <c r="S416" s="53">
        <v>8</v>
      </c>
      <c r="T416" s="45">
        <v>478.00999999999982</v>
      </c>
      <c r="U416" s="45"/>
      <c r="V416" s="45"/>
      <c r="W416" s="45"/>
      <c r="X416" s="45"/>
      <c r="Y416" s="45"/>
      <c r="Z416" s="51"/>
      <c r="AA416" s="53">
        <v>8</v>
      </c>
      <c r="AB416" s="45">
        <v>477.07999999999981</v>
      </c>
      <c r="AC416" s="45"/>
      <c r="AD416" s="45"/>
      <c r="AE416" s="45"/>
      <c r="AF416" s="45"/>
      <c r="AG416" s="45"/>
      <c r="AH416" s="51"/>
      <c r="AI416" s="53">
        <v>8</v>
      </c>
      <c r="AJ416" s="45">
        <v>480.98999999999978</v>
      </c>
      <c r="AK416" s="45"/>
      <c r="AL416" s="45"/>
      <c r="AM416" s="45"/>
      <c r="AN416" s="45"/>
      <c r="AO416" s="45"/>
      <c r="AP416" s="51"/>
    </row>
    <row r="417" spans="1:42" ht="21" customHeight="1" thickTop="1" thickBot="1" x14ac:dyDescent="0.35">
      <c r="A417" s="63"/>
      <c r="B417" s="66"/>
      <c r="C417" s="53">
        <v>9</v>
      </c>
      <c r="D417" s="45">
        <v>477.53999999999979</v>
      </c>
      <c r="E417" s="45"/>
      <c r="F417" s="45"/>
      <c r="G417" s="45"/>
      <c r="H417" s="45"/>
      <c r="I417" s="45"/>
      <c r="J417" s="51"/>
      <c r="K417" s="53">
        <v>9</v>
      </c>
      <c r="L417" s="45">
        <v>477.63999999999982</v>
      </c>
      <c r="M417" s="45"/>
      <c r="N417" s="45"/>
      <c r="O417" s="45"/>
      <c r="P417" s="45"/>
      <c r="Q417" s="45"/>
      <c r="R417" s="51"/>
      <c r="S417" s="53">
        <v>9</v>
      </c>
      <c r="T417" s="45">
        <v>481.4099999999998</v>
      </c>
      <c r="U417" s="45"/>
      <c r="V417" s="45"/>
      <c r="W417" s="45"/>
      <c r="X417" s="45"/>
      <c r="Y417" s="45"/>
      <c r="Z417" s="51"/>
      <c r="AA417" s="53">
        <v>9</v>
      </c>
      <c r="AB417" s="45">
        <v>477.14999999999981</v>
      </c>
      <c r="AC417" s="45"/>
      <c r="AD417" s="45"/>
      <c r="AE417" s="45"/>
      <c r="AF417" s="45"/>
      <c r="AG417" s="45"/>
      <c r="AH417" s="51"/>
      <c r="AI417" s="53">
        <v>9</v>
      </c>
      <c r="AJ417" s="45">
        <v>482.83999999999992</v>
      </c>
      <c r="AK417" s="45"/>
      <c r="AL417" s="45"/>
      <c r="AM417" s="45"/>
      <c r="AN417" s="45"/>
      <c r="AO417" s="45"/>
      <c r="AP417" s="51"/>
    </row>
    <row r="418" spans="1:42" ht="21" customHeight="1" thickTop="1" thickBot="1" x14ac:dyDescent="0.35">
      <c r="A418" s="63"/>
      <c r="B418" s="66"/>
      <c r="C418" s="53">
        <v>10</v>
      </c>
      <c r="D418" s="45">
        <v>476.92999999999978</v>
      </c>
      <c r="E418" s="45"/>
      <c r="F418" s="45"/>
      <c r="G418" s="45"/>
      <c r="H418" s="45"/>
      <c r="I418" s="45"/>
      <c r="J418" s="51"/>
      <c r="K418" s="53">
        <v>10</v>
      </c>
      <c r="L418" s="45">
        <v>478.94999999999987</v>
      </c>
      <c r="M418" s="45"/>
      <c r="N418" s="45"/>
      <c r="O418" s="45"/>
      <c r="P418" s="45"/>
      <c r="Q418" s="45"/>
      <c r="R418" s="51"/>
      <c r="S418" s="53">
        <v>10</v>
      </c>
      <c r="T418" s="45">
        <v>482.31999999999982</v>
      </c>
      <c r="U418" s="45"/>
      <c r="V418" s="45"/>
      <c r="W418" s="45"/>
      <c r="X418" s="45"/>
      <c r="Y418" s="45"/>
      <c r="Z418" s="51"/>
      <c r="AA418" s="53">
        <v>10</v>
      </c>
      <c r="AB418" s="45">
        <v>479.47999999999979</v>
      </c>
      <c r="AC418" s="45"/>
      <c r="AD418" s="45"/>
      <c r="AE418" s="45"/>
      <c r="AF418" s="45"/>
      <c r="AG418" s="45"/>
      <c r="AH418" s="51"/>
      <c r="AI418" s="53">
        <v>10</v>
      </c>
      <c r="AJ418" s="45">
        <v>482.31999999999988</v>
      </c>
      <c r="AK418" s="45"/>
      <c r="AL418" s="45"/>
      <c r="AM418" s="45"/>
      <c r="AN418" s="45"/>
      <c r="AO418" s="45"/>
      <c r="AP418" s="51"/>
    </row>
    <row r="419" spans="1:42" ht="21" customHeight="1" thickTop="1" thickBot="1" x14ac:dyDescent="0.35">
      <c r="A419" s="63"/>
      <c r="B419" s="66"/>
      <c r="C419" s="53"/>
      <c r="D419" s="45"/>
      <c r="E419" s="45"/>
      <c r="F419" s="45"/>
      <c r="G419" s="45"/>
      <c r="H419" s="45"/>
      <c r="I419" s="45"/>
      <c r="J419" s="51"/>
      <c r="K419" s="53"/>
      <c r="L419" s="45"/>
      <c r="M419" s="45"/>
      <c r="N419" s="45"/>
      <c r="O419" s="45"/>
      <c r="P419" s="45"/>
      <c r="Q419" s="45"/>
      <c r="R419" s="51"/>
      <c r="S419" s="53"/>
      <c r="T419" s="45"/>
      <c r="U419" s="45"/>
      <c r="V419" s="45"/>
      <c r="W419" s="45"/>
      <c r="X419" s="45"/>
      <c r="Y419" s="45"/>
      <c r="Z419" s="51"/>
      <c r="AA419" s="53"/>
      <c r="AB419" s="45"/>
      <c r="AC419" s="45"/>
      <c r="AD419" s="45"/>
      <c r="AE419" s="45"/>
      <c r="AF419" s="45"/>
      <c r="AG419" s="45"/>
      <c r="AH419" s="51"/>
      <c r="AI419" s="53"/>
      <c r="AJ419" s="45"/>
      <c r="AK419" s="45"/>
      <c r="AL419" s="45"/>
      <c r="AM419" s="45"/>
      <c r="AN419" s="45"/>
      <c r="AO419" s="45"/>
      <c r="AP419" s="51"/>
    </row>
    <row r="420" spans="1:42" ht="21" customHeight="1" thickTop="1" thickBot="1" x14ac:dyDescent="0.35">
      <c r="A420" s="63"/>
      <c r="B420" s="66"/>
      <c r="C420" s="54" t="s">
        <v>16</v>
      </c>
      <c r="D420" s="49">
        <f>MIN(D409:D418)</f>
        <v>476.70999999999981</v>
      </c>
      <c r="E420" s="45"/>
      <c r="F420" s="55" t="s">
        <v>17</v>
      </c>
      <c r="G420" s="49" t="s">
        <v>18</v>
      </c>
      <c r="H420" s="49" t="s">
        <v>19</v>
      </c>
      <c r="I420" s="45"/>
      <c r="J420" s="51"/>
      <c r="K420" s="54" t="s">
        <v>16</v>
      </c>
      <c r="L420" s="49">
        <f>MIN(L409:L418)</f>
        <v>477.53999999999979</v>
      </c>
      <c r="M420" s="45"/>
      <c r="N420" s="55" t="s">
        <v>17</v>
      </c>
      <c r="O420" s="49" t="s">
        <v>18</v>
      </c>
      <c r="P420" s="49" t="s">
        <v>19</v>
      </c>
      <c r="Q420" s="45"/>
      <c r="R420" s="51"/>
      <c r="S420" s="54" t="s">
        <v>16</v>
      </c>
      <c r="T420" s="49">
        <f>MIN(T409:T418)</f>
        <v>477.64999999999981</v>
      </c>
      <c r="U420" s="45"/>
      <c r="V420" s="55" t="s">
        <v>17</v>
      </c>
      <c r="W420" s="49" t="s">
        <v>18</v>
      </c>
      <c r="X420" s="49" t="s">
        <v>19</v>
      </c>
      <c r="Y420" s="45"/>
      <c r="Z420" s="51"/>
      <c r="AA420" s="54" t="s">
        <v>16</v>
      </c>
      <c r="AB420" s="49">
        <f>MIN(AB409:AB418)</f>
        <v>477.07999999999981</v>
      </c>
      <c r="AC420" s="45"/>
      <c r="AD420" s="55" t="s">
        <v>17</v>
      </c>
      <c r="AE420" s="49" t="s">
        <v>18</v>
      </c>
      <c r="AF420" s="49" t="s">
        <v>19</v>
      </c>
      <c r="AG420" s="45"/>
      <c r="AH420" s="51"/>
      <c r="AI420" s="54" t="s">
        <v>16</v>
      </c>
      <c r="AJ420" s="49">
        <f>MIN(AJ409:AJ418)</f>
        <v>480.98999999999978</v>
      </c>
      <c r="AK420" s="45"/>
      <c r="AL420" s="55" t="s">
        <v>17</v>
      </c>
      <c r="AM420" s="49" t="s">
        <v>18</v>
      </c>
      <c r="AN420" s="49" t="s">
        <v>19</v>
      </c>
      <c r="AO420" s="45"/>
      <c r="AP420" s="51"/>
    </row>
    <row r="421" spans="1:42" ht="21" customHeight="1" thickTop="1" thickBot="1" x14ac:dyDescent="0.35">
      <c r="A421" s="63"/>
      <c r="B421" s="66"/>
      <c r="C421" s="54" t="s">
        <v>20</v>
      </c>
      <c r="D421" s="48">
        <f>AVERAGE(D409:D418)</f>
        <v>477.60099999999977</v>
      </c>
      <c r="E421" s="47"/>
      <c r="F421" s="48">
        <f>_xlfn.STDEV.S(D409:D418) / AVERAGE(D409:D418) * 100%</f>
        <v>1.242925765793485E-3</v>
      </c>
      <c r="G421" s="48">
        <f t="array" ref="G421">MIN((D409:D418 - MIN(D409:D418,L409:L418,T409:T418,AB409:AB418,AJ409:AJ418))/MIN(D409:D418,L409:L418,T409:T418,AB409:AB418,AJ409:AJ418)*100%)</f>
        <v>0</v>
      </c>
      <c r="H421" s="48">
        <f t="array" ref="H421">AVERAGE((D409:D418 - MIN(D409:D418,L409:L418,T409:T418,AB409:AB418,AJ409:AJ418))/MIN(D409:D418,L409:L418,T409:T418,AB409:AB418,AJ409:AJ418)*100%)</f>
        <v>1.8690608546075935E-3</v>
      </c>
      <c r="I421" s="45"/>
      <c r="J421" s="51"/>
      <c r="K421" s="54" t="s">
        <v>20</v>
      </c>
      <c r="L421" s="48">
        <f>AVERAGE(L409:L418)</f>
        <v>478.53999999999979</v>
      </c>
      <c r="M421" s="47"/>
      <c r="N421" s="48">
        <f>_xlfn.STDEV.S(L409:L418) / AVERAGE(L409:L418) * 100%</f>
        <v>1.6636926533255207E-3</v>
      </c>
      <c r="O421" s="48">
        <f t="array" ref="O421">MIN((L409:L418 - MIN(D409:D418,L409:L418,T409:T418,AB409:AB418,AJ409:AJ418))/MIN(D409:D418,L409:L418,T409:T418,AB409:AB418,AJ409:AJ418)*100%)</f>
        <v>1.7411004593987632E-3</v>
      </c>
      <c r="P421" s="48">
        <f t="array" ref="P421">AVERAGE((L409:L418 - MIN(D409:D418,L409:L418,T409:T418,AB409:AB418,AJ409:AJ418))/MIN(D409:D418,L409:L418,T409:T418,AB409:AB418,AJ409:AJ418)*100%)</f>
        <v>3.8388118562648435E-3</v>
      </c>
      <c r="Q421" s="44"/>
      <c r="R421" s="51"/>
      <c r="S421" s="54" t="s">
        <v>20</v>
      </c>
      <c r="T421" s="48">
        <f>AVERAGE(T409:T418)</f>
        <v>479.92099999999971</v>
      </c>
      <c r="U421" s="47"/>
      <c r="V421" s="48">
        <f>_xlfn.STDEV.S(T409:T418) / AVERAGE(T409:T418) * 100%</f>
        <v>3.5792015194549037E-3</v>
      </c>
      <c r="W421" s="48">
        <f t="array" ref="W421">MIN((T409:T418 - MIN(D409:D418,L409:L418,T409:T418,AB409:AB418,AJ409:AJ418))/MIN(D409:D418,L409:L418,T409:T418,AB409:AB418,AJ409:AJ418)*100%)</f>
        <v>1.9718487130540542E-3</v>
      </c>
      <c r="X421" s="48">
        <f t="array" ref="X421">AVERAGE((T409:T418 - MIN(D409:D418,L409:L418,T409:T418,AB409:AB418,AJ409:AJ418))/MIN(D409:D418,L409:L418,T409:T418,AB409:AB418,AJ409:AJ418)*100%)</f>
        <v>6.735751295336781E-3</v>
      </c>
      <c r="Y421" s="44"/>
      <c r="Z421" s="51"/>
      <c r="AA421" s="54" t="s">
        <v>20</v>
      </c>
      <c r="AB421" s="48">
        <f>AVERAGE(AB409:AB418)</f>
        <v>478.90499999999975</v>
      </c>
      <c r="AC421" s="47"/>
      <c r="AD421" s="48">
        <f>_xlfn.STDEV.S(AB409:AB418) / AVERAGE(AB409:AB418) * 100%</f>
        <v>2.1864776613535076E-3</v>
      </c>
      <c r="AE421" s="48">
        <f t="array" ref="AE421">MIN((AB409:AB418 - MIN(D409:D418,L409:L418,T409:T418,AB409:AB418,AJ409:AJ418))/MIN(D409:D418,L409:L418,T409:T418,AB409:AB418,AJ409:AJ418)*100%)</f>
        <v>7.761532168404369E-4</v>
      </c>
      <c r="AF421" s="48">
        <f t="array" ref="AF421">AVERAGE((AB409:AB418 - MIN(D409:D418,L409:L418,T409:T418,AB409:AB418,AJ409:AJ418))/MIN(D409:D418,L409:L418,T409:T418,AB409:AB418,AJ409:AJ418)*100%)</f>
        <v>4.6044765161209356E-3</v>
      </c>
      <c r="AG421" s="44"/>
      <c r="AH421" s="51"/>
      <c r="AI421" s="54" t="s">
        <v>20</v>
      </c>
      <c r="AJ421" s="48">
        <f>AVERAGE(AJ409:AJ418)</f>
        <v>481.94499999999988</v>
      </c>
      <c r="AK421" s="47"/>
      <c r="AL421" s="48">
        <f>_xlfn.STDEV.S(AJ409:AJ418) / AVERAGE(AJ409:AJ418) * 100%</f>
        <v>1.2758964566735975E-3</v>
      </c>
      <c r="AM421" s="48">
        <f t="array" ref="AM421">MIN((AJ409:AJ418 - MIN(D409:D418,L409:L418,T409:T418,AB409:AB418,AJ409:AJ418))/MIN(D409:D418,L409:L418,T409:T418,AB409:AB418,AJ409:AJ418)*100%)</f>
        <v>8.9782047785865078E-3</v>
      </c>
      <c r="AN421" s="48">
        <f t="array" ref="AN421">AVERAGE((AJ409:AJ418 - MIN(D409:D418,L409:L418,T409:T418,AB409:AB418,AJ409:AJ418))/MIN(D409:D418,L409:L418,T409:T418,AB409:AB418,AJ409:AJ418)*100%)</f>
        <v>1.0981519162593753E-2</v>
      </c>
      <c r="AO421" s="44"/>
      <c r="AP421" s="51"/>
    </row>
    <row r="422" spans="1:42" ht="21" customHeight="1" thickTop="1" thickBot="1" x14ac:dyDescent="0.35">
      <c r="A422" s="63"/>
      <c r="B422" s="67"/>
      <c r="C422" s="53"/>
      <c r="D422" s="44"/>
      <c r="E422" s="44"/>
      <c r="F422" s="44"/>
      <c r="G422" s="44"/>
      <c r="H422" s="44"/>
      <c r="I422" s="44"/>
      <c r="J422" s="51"/>
      <c r="K422" s="53"/>
      <c r="L422" s="44"/>
      <c r="M422" s="44"/>
      <c r="N422" s="44"/>
      <c r="O422" s="44"/>
      <c r="P422" s="44"/>
      <c r="Q422" s="44"/>
      <c r="R422" s="51"/>
      <c r="S422" s="53"/>
      <c r="T422" s="44"/>
      <c r="U422" s="44"/>
      <c r="V422" s="44"/>
      <c r="W422" s="44"/>
      <c r="X422" s="44"/>
      <c r="Y422" s="44"/>
      <c r="Z422" s="51"/>
      <c r="AA422" s="53"/>
      <c r="AB422" s="44"/>
      <c r="AC422" s="44"/>
      <c r="AD422" s="44"/>
      <c r="AE422" s="44"/>
      <c r="AF422" s="44"/>
      <c r="AG422" s="44"/>
      <c r="AH422" s="51"/>
      <c r="AI422" s="53"/>
      <c r="AJ422" s="44"/>
      <c r="AK422" s="44"/>
      <c r="AL422" s="44"/>
      <c r="AM422" s="44"/>
      <c r="AN422" s="44"/>
      <c r="AO422" s="44"/>
      <c r="AP422" s="51"/>
    </row>
    <row r="423" spans="1:42" ht="21" customHeight="1" thickTop="1" thickBot="1" x14ac:dyDescent="0.35">
      <c r="A423" s="63"/>
      <c r="B423" s="65" t="s">
        <v>134</v>
      </c>
      <c r="C423" s="59" t="s">
        <v>8</v>
      </c>
      <c r="D423" s="46" t="s">
        <v>9</v>
      </c>
      <c r="E423" s="46" t="s">
        <v>10</v>
      </c>
      <c r="F423" s="46" t="s">
        <v>11</v>
      </c>
      <c r="G423" s="46" t="s">
        <v>12</v>
      </c>
      <c r="H423" s="46" t="s">
        <v>13</v>
      </c>
      <c r="I423" s="46" t="s">
        <v>14</v>
      </c>
      <c r="J423" s="60" t="s">
        <v>15</v>
      </c>
      <c r="K423" s="59" t="s">
        <v>8</v>
      </c>
      <c r="L423" s="46" t="s">
        <v>9</v>
      </c>
      <c r="M423" s="46" t="s">
        <v>10</v>
      </c>
      <c r="N423" s="46" t="s">
        <v>11</v>
      </c>
      <c r="O423" s="46" t="s">
        <v>12</v>
      </c>
      <c r="P423" s="46" t="s">
        <v>13</v>
      </c>
      <c r="Q423" s="46" t="s">
        <v>14</v>
      </c>
      <c r="R423" s="60" t="s">
        <v>15</v>
      </c>
      <c r="S423" s="59" t="s">
        <v>8</v>
      </c>
      <c r="T423" s="46" t="s">
        <v>9</v>
      </c>
      <c r="U423" s="46" t="s">
        <v>10</v>
      </c>
      <c r="V423" s="46" t="s">
        <v>11</v>
      </c>
      <c r="W423" s="46" t="s">
        <v>12</v>
      </c>
      <c r="X423" s="46" t="s">
        <v>13</v>
      </c>
      <c r="Y423" s="46" t="s">
        <v>14</v>
      </c>
      <c r="Z423" s="60" t="s">
        <v>15</v>
      </c>
      <c r="AA423" s="59" t="s">
        <v>8</v>
      </c>
      <c r="AB423" s="46" t="s">
        <v>9</v>
      </c>
      <c r="AC423" s="46" t="s">
        <v>10</v>
      </c>
      <c r="AD423" s="46" t="s">
        <v>11</v>
      </c>
      <c r="AE423" s="46" t="s">
        <v>12</v>
      </c>
      <c r="AF423" s="46" t="s">
        <v>13</v>
      </c>
      <c r="AG423" s="46" t="s">
        <v>14</v>
      </c>
      <c r="AH423" s="60" t="s">
        <v>15</v>
      </c>
      <c r="AI423" s="59" t="s">
        <v>8</v>
      </c>
      <c r="AJ423" s="46" t="s">
        <v>9</v>
      </c>
      <c r="AK423" s="46" t="s">
        <v>10</v>
      </c>
      <c r="AL423" s="46" t="s">
        <v>11</v>
      </c>
      <c r="AM423" s="46" t="s">
        <v>12</v>
      </c>
      <c r="AN423" s="46" t="s">
        <v>13</v>
      </c>
      <c r="AO423" s="46" t="s">
        <v>14</v>
      </c>
      <c r="AP423" s="60" t="s">
        <v>15</v>
      </c>
    </row>
    <row r="424" spans="1:42" ht="21" customHeight="1" thickTop="1" thickBot="1" x14ac:dyDescent="0.35">
      <c r="A424" s="63"/>
      <c r="B424" s="66"/>
      <c r="C424" s="52">
        <v>1</v>
      </c>
      <c r="D424" s="44">
        <v>478.55999999999977</v>
      </c>
      <c r="E424" s="44"/>
      <c r="F424" s="44"/>
      <c r="G424" s="44"/>
      <c r="H424" s="44"/>
      <c r="I424" s="44"/>
      <c r="J424" s="51"/>
      <c r="K424" s="52">
        <v>1</v>
      </c>
      <c r="L424" s="44">
        <v>480.2799999999998</v>
      </c>
      <c r="M424" s="44"/>
      <c r="N424" s="44"/>
      <c r="O424" s="44"/>
      <c r="P424" s="44"/>
      <c r="Q424" s="44"/>
      <c r="R424" s="51"/>
      <c r="S424" s="52">
        <v>1</v>
      </c>
      <c r="T424" s="44">
        <v>481.31999999999982</v>
      </c>
      <c r="U424" s="44"/>
      <c r="V424" s="44"/>
      <c r="W424" s="44"/>
      <c r="X424" s="44"/>
      <c r="Y424" s="44"/>
      <c r="Z424" s="51"/>
      <c r="AA424" s="52">
        <v>1</v>
      </c>
      <c r="AB424" s="44">
        <v>481.38999999999982</v>
      </c>
      <c r="AC424" s="44"/>
      <c r="AD424" s="44"/>
      <c r="AE424" s="44"/>
      <c r="AF424" s="44"/>
      <c r="AG424" s="44"/>
      <c r="AH424" s="51"/>
      <c r="AI424" s="52">
        <v>1</v>
      </c>
      <c r="AJ424" s="44">
        <v>480.50999999999988</v>
      </c>
      <c r="AK424" s="44"/>
      <c r="AL424" s="44"/>
      <c r="AM424" s="44"/>
      <c r="AN424" s="44"/>
      <c r="AO424" s="44"/>
      <c r="AP424" s="51"/>
    </row>
    <row r="425" spans="1:42" ht="21" customHeight="1" thickTop="1" thickBot="1" x14ac:dyDescent="0.35">
      <c r="A425" s="63"/>
      <c r="B425" s="66"/>
      <c r="C425" s="53">
        <v>2</v>
      </c>
      <c r="D425" s="45">
        <v>478.72999999999979</v>
      </c>
      <c r="E425" s="45"/>
      <c r="F425" s="45"/>
      <c r="G425" s="45"/>
      <c r="H425" s="45"/>
      <c r="I425" s="45"/>
      <c r="J425" s="51"/>
      <c r="K425" s="53">
        <v>2</v>
      </c>
      <c r="L425" s="45">
        <v>478.46999999999991</v>
      </c>
      <c r="M425" s="45"/>
      <c r="N425" s="45"/>
      <c r="O425" s="45"/>
      <c r="P425" s="45"/>
      <c r="Q425" s="45"/>
      <c r="R425" s="51"/>
      <c r="S425" s="53">
        <v>2</v>
      </c>
      <c r="T425" s="45">
        <v>479.24999999999977</v>
      </c>
      <c r="U425" s="45"/>
      <c r="V425" s="45"/>
      <c r="W425" s="45"/>
      <c r="X425" s="45"/>
      <c r="Y425" s="45"/>
      <c r="Z425" s="51"/>
      <c r="AA425" s="53">
        <v>2</v>
      </c>
      <c r="AB425" s="45">
        <v>480.20999999999981</v>
      </c>
      <c r="AC425" s="45"/>
      <c r="AD425" s="45"/>
      <c r="AE425" s="45"/>
      <c r="AF425" s="45"/>
      <c r="AG425" s="45"/>
      <c r="AH425" s="51"/>
      <c r="AI425" s="53">
        <v>2</v>
      </c>
      <c r="AJ425" s="45">
        <v>481.15999999999991</v>
      </c>
      <c r="AK425" s="45"/>
      <c r="AL425" s="45"/>
      <c r="AM425" s="45"/>
      <c r="AN425" s="45"/>
      <c r="AO425" s="45"/>
      <c r="AP425" s="51"/>
    </row>
    <row r="426" spans="1:42" ht="21" customHeight="1" thickTop="1" thickBot="1" x14ac:dyDescent="0.35">
      <c r="A426" s="63"/>
      <c r="B426" s="66"/>
      <c r="C426" s="53">
        <v>3</v>
      </c>
      <c r="D426" s="45">
        <v>478.4099999999998</v>
      </c>
      <c r="E426" s="45"/>
      <c r="F426" s="45"/>
      <c r="G426" s="44"/>
      <c r="H426" s="44"/>
      <c r="I426" s="44"/>
      <c r="J426" s="51"/>
      <c r="K426" s="53">
        <v>3</v>
      </c>
      <c r="L426" s="45">
        <v>479.81999999999988</v>
      </c>
      <c r="M426" s="45"/>
      <c r="N426" s="45"/>
      <c r="O426" s="44"/>
      <c r="P426" s="44"/>
      <c r="Q426" s="44"/>
      <c r="R426" s="51"/>
      <c r="S426" s="53">
        <v>3</v>
      </c>
      <c r="T426" s="45">
        <v>482.37999999999988</v>
      </c>
      <c r="U426" s="45"/>
      <c r="V426" s="45"/>
      <c r="W426" s="44"/>
      <c r="X426" s="44"/>
      <c r="Y426" s="44"/>
      <c r="Z426" s="51"/>
      <c r="AA426" s="53">
        <v>3</v>
      </c>
      <c r="AB426" s="45">
        <v>479.05999999999977</v>
      </c>
      <c r="AC426" s="45"/>
      <c r="AD426" s="45"/>
      <c r="AE426" s="44"/>
      <c r="AF426" s="44"/>
      <c r="AG426" s="44"/>
      <c r="AH426" s="51"/>
      <c r="AI426" s="53">
        <v>3</v>
      </c>
      <c r="AJ426" s="45">
        <v>480.99999999999989</v>
      </c>
      <c r="AK426" s="45"/>
      <c r="AL426" s="45"/>
      <c r="AM426" s="44"/>
      <c r="AN426" s="44"/>
      <c r="AO426" s="44"/>
      <c r="AP426" s="51"/>
    </row>
    <row r="427" spans="1:42" ht="21" customHeight="1" thickTop="1" thickBot="1" x14ac:dyDescent="0.35">
      <c r="A427" s="63"/>
      <c r="B427" s="66"/>
      <c r="C427" s="53">
        <v>4</v>
      </c>
      <c r="D427" s="45">
        <v>478.47999999999979</v>
      </c>
      <c r="E427" s="45"/>
      <c r="F427" s="45"/>
      <c r="G427" s="45"/>
      <c r="H427" s="45"/>
      <c r="I427" s="45"/>
      <c r="J427" s="51"/>
      <c r="K427" s="53">
        <v>4</v>
      </c>
      <c r="L427" s="45">
        <v>479.36999999999978</v>
      </c>
      <c r="M427" s="45"/>
      <c r="N427" s="45"/>
      <c r="O427" s="45"/>
      <c r="P427" s="45"/>
      <c r="Q427" s="45"/>
      <c r="R427" s="51"/>
      <c r="S427" s="53">
        <v>4</v>
      </c>
      <c r="T427" s="45">
        <v>480.00999999999988</v>
      </c>
      <c r="U427" s="45"/>
      <c r="V427" s="45"/>
      <c r="W427" s="45"/>
      <c r="X427" s="45"/>
      <c r="Y427" s="45"/>
      <c r="Z427" s="51"/>
      <c r="AA427" s="53">
        <v>4</v>
      </c>
      <c r="AB427" s="45">
        <v>480.85999999999967</v>
      </c>
      <c r="AC427" s="45"/>
      <c r="AD427" s="45"/>
      <c r="AE427" s="45"/>
      <c r="AF427" s="45"/>
      <c r="AG427" s="45"/>
      <c r="AH427" s="51"/>
      <c r="AI427" s="53">
        <v>4</v>
      </c>
      <c r="AJ427" s="45">
        <v>480.82999999999993</v>
      </c>
      <c r="AK427" s="45"/>
      <c r="AL427" s="45"/>
      <c r="AM427" s="45"/>
      <c r="AN427" s="45"/>
      <c r="AO427" s="45"/>
      <c r="AP427" s="51"/>
    </row>
    <row r="428" spans="1:42" ht="21" customHeight="1" thickTop="1" thickBot="1" x14ac:dyDescent="0.35">
      <c r="A428" s="63"/>
      <c r="B428" s="66"/>
      <c r="C428" s="53">
        <v>5</v>
      </c>
      <c r="D428" s="45">
        <v>479.44999999999982</v>
      </c>
      <c r="E428" s="45"/>
      <c r="F428" s="45"/>
      <c r="G428" s="45"/>
      <c r="H428" s="45"/>
      <c r="I428" s="45"/>
      <c r="J428" s="51"/>
      <c r="K428" s="53">
        <v>5</v>
      </c>
      <c r="L428" s="45">
        <v>478.48999999999972</v>
      </c>
      <c r="M428" s="45"/>
      <c r="N428" s="45"/>
      <c r="O428" s="45"/>
      <c r="P428" s="45"/>
      <c r="Q428" s="45"/>
      <c r="R428" s="51"/>
      <c r="S428" s="53">
        <v>5</v>
      </c>
      <c r="T428" s="45">
        <v>481.6599999999998</v>
      </c>
      <c r="U428" s="45"/>
      <c r="V428" s="45"/>
      <c r="W428" s="45"/>
      <c r="X428" s="45"/>
      <c r="Y428" s="45"/>
      <c r="Z428" s="51"/>
      <c r="AA428" s="53">
        <v>5</v>
      </c>
      <c r="AB428" s="45">
        <v>480.11999999999978</v>
      </c>
      <c r="AC428" s="45"/>
      <c r="AD428" s="45"/>
      <c r="AE428" s="45"/>
      <c r="AF428" s="45"/>
      <c r="AG428" s="45"/>
      <c r="AH428" s="51"/>
      <c r="AI428" s="53">
        <v>5</v>
      </c>
      <c r="AJ428" s="45">
        <v>479.91999999999979</v>
      </c>
      <c r="AK428" s="45"/>
      <c r="AL428" s="45"/>
      <c r="AM428" s="45"/>
      <c r="AN428" s="45"/>
      <c r="AO428" s="45"/>
      <c r="AP428" s="51"/>
    </row>
    <row r="429" spans="1:42" ht="21" customHeight="1" thickTop="1" thickBot="1" x14ac:dyDescent="0.35">
      <c r="A429" s="63"/>
      <c r="B429" s="66"/>
      <c r="C429" s="53">
        <v>6</v>
      </c>
      <c r="D429" s="45">
        <v>478.60999999999979</v>
      </c>
      <c r="E429" s="45"/>
      <c r="F429" s="45"/>
      <c r="G429" s="45"/>
      <c r="H429" s="45"/>
      <c r="I429" s="45"/>
      <c r="J429" s="51"/>
      <c r="K429" s="53">
        <v>6</v>
      </c>
      <c r="L429" s="45">
        <v>480.2799999999998</v>
      </c>
      <c r="M429" s="45"/>
      <c r="N429" s="45"/>
      <c r="O429" s="45"/>
      <c r="P429" s="45"/>
      <c r="Q429" s="45"/>
      <c r="R429" s="51"/>
      <c r="S429" s="53">
        <v>6</v>
      </c>
      <c r="T429" s="45">
        <v>480.90999999999991</v>
      </c>
      <c r="U429" s="45"/>
      <c r="V429" s="45"/>
      <c r="W429" s="45"/>
      <c r="X429" s="45"/>
      <c r="Y429" s="45"/>
      <c r="Z429" s="51"/>
      <c r="AA429" s="53">
        <v>6</v>
      </c>
      <c r="AB429" s="45">
        <v>480.51999999999981</v>
      </c>
      <c r="AC429" s="45"/>
      <c r="AD429" s="45"/>
      <c r="AE429" s="45"/>
      <c r="AF429" s="45"/>
      <c r="AG429" s="45"/>
      <c r="AH429" s="51"/>
      <c r="AI429" s="53">
        <v>6</v>
      </c>
      <c r="AJ429" s="45">
        <v>480.32999999999993</v>
      </c>
      <c r="AK429" s="45"/>
      <c r="AL429" s="45"/>
      <c r="AM429" s="45"/>
      <c r="AN429" s="45"/>
      <c r="AO429" s="45"/>
      <c r="AP429" s="51"/>
    </row>
    <row r="430" spans="1:42" ht="21" customHeight="1" thickTop="1" thickBot="1" x14ac:dyDescent="0.35">
      <c r="A430" s="63"/>
      <c r="B430" s="66"/>
      <c r="C430" s="53">
        <v>7</v>
      </c>
      <c r="D430" s="45">
        <v>478.72999999999979</v>
      </c>
      <c r="E430" s="45"/>
      <c r="F430" s="45"/>
      <c r="G430" s="45"/>
      <c r="H430" s="45"/>
      <c r="I430" s="45"/>
      <c r="J430" s="51"/>
      <c r="K430" s="53">
        <v>7</v>
      </c>
      <c r="L430" s="45">
        <v>480.2799999999998</v>
      </c>
      <c r="M430" s="45"/>
      <c r="N430" s="45"/>
      <c r="O430" s="45"/>
      <c r="P430" s="45"/>
      <c r="Q430" s="45"/>
      <c r="R430" s="51"/>
      <c r="S430" s="53">
        <v>7</v>
      </c>
      <c r="T430" s="45">
        <v>484.46999999999969</v>
      </c>
      <c r="U430" s="45"/>
      <c r="V430" s="45"/>
      <c r="W430" s="45"/>
      <c r="X430" s="45"/>
      <c r="Y430" s="45"/>
      <c r="Z430" s="51"/>
      <c r="AA430" s="53">
        <v>7</v>
      </c>
      <c r="AB430" s="45">
        <v>477.70999999999981</v>
      </c>
      <c r="AC430" s="45"/>
      <c r="AD430" s="45"/>
      <c r="AE430" s="45"/>
      <c r="AF430" s="45"/>
      <c r="AG430" s="45"/>
      <c r="AH430" s="51"/>
      <c r="AI430" s="53">
        <v>7</v>
      </c>
      <c r="AJ430" s="45">
        <v>480.38999999999982</v>
      </c>
      <c r="AK430" s="45"/>
      <c r="AL430" s="45"/>
      <c r="AM430" s="45"/>
      <c r="AN430" s="45"/>
      <c r="AO430" s="45"/>
      <c r="AP430" s="51"/>
    </row>
    <row r="431" spans="1:42" ht="21" customHeight="1" thickTop="1" thickBot="1" x14ac:dyDescent="0.35">
      <c r="A431" s="63"/>
      <c r="B431" s="66"/>
      <c r="C431" s="53">
        <v>8</v>
      </c>
      <c r="D431" s="45">
        <v>478.78999999999968</v>
      </c>
      <c r="E431" s="45"/>
      <c r="F431" s="45"/>
      <c r="G431" s="45"/>
      <c r="H431" s="45"/>
      <c r="I431" s="45"/>
      <c r="J431" s="51"/>
      <c r="K431" s="53">
        <v>8</v>
      </c>
      <c r="L431" s="45">
        <v>478.74999999999977</v>
      </c>
      <c r="M431" s="45"/>
      <c r="N431" s="45"/>
      <c r="O431" s="45"/>
      <c r="P431" s="45"/>
      <c r="Q431" s="45"/>
      <c r="R431" s="51"/>
      <c r="S431" s="53">
        <v>8</v>
      </c>
      <c r="T431" s="45">
        <v>480.50999999999982</v>
      </c>
      <c r="U431" s="45"/>
      <c r="V431" s="45"/>
      <c r="W431" s="45"/>
      <c r="X431" s="45"/>
      <c r="Y431" s="45"/>
      <c r="Z431" s="51"/>
      <c r="AA431" s="53">
        <v>8</v>
      </c>
      <c r="AB431" s="45">
        <v>478.40999999999968</v>
      </c>
      <c r="AC431" s="45"/>
      <c r="AD431" s="45"/>
      <c r="AE431" s="45"/>
      <c r="AF431" s="45"/>
      <c r="AG431" s="45"/>
      <c r="AH431" s="51"/>
      <c r="AI431" s="53">
        <v>8</v>
      </c>
      <c r="AJ431" s="45">
        <v>479.87999999999988</v>
      </c>
      <c r="AK431" s="45"/>
      <c r="AL431" s="45"/>
      <c r="AM431" s="45"/>
      <c r="AN431" s="45"/>
      <c r="AO431" s="45"/>
      <c r="AP431" s="51"/>
    </row>
    <row r="432" spans="1:42" ht="21" customHeight="1" thickTop="1" thickBot="1" x14ac:dyDescent="0.35">
      <c r="A432" s="63"/>
      <c r="B432" s="66"/>
      <c r="C432" s="53">
        <v>9</v>
      </c>
      <c r="D432" s="45">
        <v>476.8499999999998</v>
      </c>
      <c r="E432" s="45"/>
      <c r="F432" s="45"/>
      <c r="G432" s="45"/>
      <c r="H432" s="45"/>
      <c r="I432" s="45"/>
      <c r="J432" s="51"/>
      <c r="K432" s="53">
        <v>9</v>
      </c>
      <c r="L432" s="45">
        <v>480.25999999999982</v>
      </c>
      <c r="M432" s="45"/>
      <c r="N432" s="45"/>
      <c r="O432" s="45"/>
      <c r="P432" s="45"/>
      <c r="Q432" s="45"/>
      <c r="R432" s="51"/>
      <c r="S432" s="53">
        <v>9</v>
      </c>
      <c r="T432" s="45">
        <v>478.89999999999969</v>
      </c>
      <c r="U432" s="45"/>
      <c r="V432" s="45"/>
      <c r="W432" s="45"/>
      <c r="X432" s="45"/>
      <c r="Y432" s="45"/>
      <c r="Z432" s="51"/>
      <c r="AA432" s="53">
        <v>9</v>
      </c>
      <c r="AB432" s="45">
        <v>480.59999999999968</v>
      </c>
      <c r="AC432" s="45"/>
      <c r="AD432" s="45"/>
      <c r="AE432" s="45"/>
      <c r="AF432" s="45"/>
      <c r="AG432" s="45"/>
      <c r="AH432" s="51"/>
      <c r="AI432" s="53">
        <v>9</v>
      </c>
      <c r="AJ432" s="45">
        <v>479.87999999999988</v>
      </c>
      <c r="AK432" s="45"/>
      <c r="AL432" s="45"/>
      <c r="AM432" s="45"/>
      <c r="AN432" s="45"/>
      <c r="AO432" s="45"/>
      <c r="AP432" s="51"/>
    </row>
    <row r="433" spans="1:42" ht="21" customHeight="1" thickTop="1" thickBot="1" x14ac:dyDescent="0.35">
      <c r="A433" s="63"/>
      <c r="B433" s="66"/>
      <c r="C433" s="53">
        <v>10</v>
      </c>
      <c r="D433" s="45">
        <v>479.73999999999978</v>
      </c>
      <c r="E433" s="45"/>
      <c r="F433" s="45"/>
      <c r="G433" s="45"/>
      <c r="H433" s="45"/>
      <c r="I433" s="45"/>
      <c r="J433" s="51"/>
      <c r="K433" s="53">
        <v>10</v>
      </c>
      <c r="L433" s="45">
        <v>482.12999999999982</v>
      </c>
      <c r="M433" s="45"/>
      <c r="N433" s="45"/>
      <c r="O433" s="45"/>
      <c r="P433" s="45"/>
      <c r="Q433" s="45"/>
      <c r="R433" s="51"/>
      <c r="S433" s="53">
        <v>10</v>
      </c>
      <c r="T433" s="45">
        <v>477.72999999999979</v>
      </c>
      <c r="U433" s="45"/>
      <c r="V433" s="45"/>
      <c r="W433" s="45"/>
      <c r="X433" s="45"/>
      <c r="Y433" s="45"/>
      <c r="Z433" s="51"/>
      <c r="AA433" s="53">
        <v>10</v>
      </c>
      <c r="AB433" s="45">
        <v>483.02999999999969</v>
      </c>
      <c r="AC433" s="45"/>
      <c r="AD433" s="45"/>
      <c r="AE433" s="45"/>
      <c r="AF433" s="45"/>
      <c r="AG433" s="45"/>
      <c r="AH433" s="51"/>
      <c r="AI433" s="53">
        <v>10</v>
      </c>
      <c r="AJ433" s="45">
        <v>479.87999999999982</v>
      </c>
      <c r="AK433" s="45"/>
      <c r="AL433" s="45"/>
      <c r="AM433" s="45"/>
      <c r="AN433" s="45"/>
      <c r="AO433" s="45"/>
      <c r="AP433" s="51"/>
    </row>
    <row r="434" spans="1:42" ht="21" customHeight="1" thickTop="1" thickBot="1" x14ac:dyDescent="0.35">
      <c r="A434" s="63"/>
      <c r="B434" s="66"/>
      <c r="C434" s="53"/>
      <c r="D434" s="45"/>
      <c r="E434" s="45"/>
      <c r="F434" s="45"/>
      <c r="G434" s="45"/>
      <c r="H434" s="45"/>
      <c r="I434" s="45"/>
      <c r="J434" s="51"/>
      <c r="K434" s="53"/>
      <c r="L434" s="45"/>
      <c r="M434" s="45"/>
      <c r="N434" s="45"/>
      <c r="O434" s="45"/>
      <c r="P434" s="45"/>
      <c r="Q434" s="45"/>
      <c r="R434" s="51"/>
      <c r="S434" s="53"/>
      <c r="T434" s="45"/>
      <c r="U434" s="45"/>
      <c r="V434" s="45"/>
      <c r="W434" s="45"/>
      <c r="X434" s="45"/>
      <c r="Y434" s="45"/>
      <c r="Z434" s="51"/>
      <c r="AA434" s="53"/>
      <c r="AB434" s="45"/>
      <c r="AC434" s="45"/>
      <c r="AD434" s="45"/>
      <c r="AE434" s="45"/>
      <c r="AF434" s="45"/>
      <c r="AG434" s="45"/>
      <c r="AH434" s="51"/>
      <c r="AI434" s="53"/>
      <c r="AJ434" s="45"/>
      <c r="AK434" s="45"/>
      <c r="AL434" s="45"/>
      <c r="AM434" s="45"/>
      <c r="AN434" s="45"/>
      <c r="AO434" s="45"/>
      <c r="AP434" s="51"/>
    </row>
    <row r="435" spans="1:42" ht="21" customHeight="1" thickTop="1" thickBot="1" x14ac:dyDescent="0.35">
      <c r="A435" s="63"/>
      <c r="B435" s="66"/>
      <c r="C435" s="54" t="s">
        <v>16</v>
      </c>
      <c r="D435" s="49">
        <f>MIN(D424:D433)</f>
        <v>476.8499999999998</v>
      </c>
      <c r="E435" s="45"/>
      <c r="F435" s="55" t="s">
        <v>17</v>
      </c>
      <c r="G435" s="49" t="s">
        <v>18</v>
      </c>
      <c r="H435" s="49" t="s">
        <v>19</v>
      </c>
      <c r="I435" s="45"/>
      <c r="J435" s="51"/>
      <c r="K435" s="54" t="s">
        <v>16</v>
      </c>
      <c r="L435" s="49">
        <f>MIN(L424:L433)</f>
        <v>478.46999999999991</v>
      </c>
      <c r="M435" s="45"/>
      <c r="N435" s="55" t="s">
        <v>17</v>
      </c>
      <c r="O435" s="49" t="s">
        <v>18</v>
      </c>
      <c r="P435" s="49" t="s">
        <v>19</v>
      </c>
      <c r="Q435" s="45"/>
      <c r="R435" s="51"/>
      <c r="S435" s="54" t="s">
        <v>16</v>
      </c>
      <c r="T435" s="49">
        <f>MIN(T424:T433)</f>
        <v>477.72999999999979</v>
      </c>
      <c r="U435" s="45"/>
      <c r="V435" s="55" t="s">
        <v>17</v>
      </c>
      <c r="W435" s="49" t="s">
        <v>18</v>
      </c>
      <c r="X435" s="49" t="s">
        <v>19</v>
      </c>
      <c r="Y435" s="45"/>
      <c r="Z435" s="51"/>
      <c r="AA435" s="54" t="s">
        <v>16</v>
      </c>
      <c r="AB435" s="49">
        <f>MIN(AB424:AB433)</f>
        <v>477.70999999999981</v>
      </c>
      <c r="AC435" s="45"/>
      <c r="AD435" s="55" t="s">
        <v>17</v>
      </c>
      <c r="AE435" s="49" t="s">
        <v>18</v>
      </c>
      <c r="AF435" s="49" t="s">
        <v>19</v>
      </c>
      <c r="AG435" s="45"/>
      <c r="AH435" s="51"/>
      <c r="AI435" s="54" t="s">
        <v>16</v>
      </c>
      <c r="AJ435" s="49">
        <f>MIN(AJ424:AJ433)</f>
        <v>479.87999999999982</v>
      </c>
      <c r="AK435" s="45"/>
      <c r="AL435" s="55" t="s">
        <v>17</v>
      </c>
      <c r="AM435" s="49" t="s">
        <v>18</v>
      </c>
      <c r="AN435" s="49" t="s">
        <v>19</v>
      </c>
      <c r="AO435" s="45"/>
      <c r="AP435" s="51"/>
    </row>
    <row r="436" spans="1:42" ht="21" customHeight="1" thickTop="1" thickBot="1" x14ac:dyDescent="0.35">
      <c r="A436" s="63"/>
      <c r="B436" s="66"/>
      <c r="C436" s="54" t="s">
        <v>20</v>
      </c>
      <c r="D436" s="48">
        <f>AVERAGE(D424:D433)</f>
        <v>478.63499999999976</v>
      </c>
      <c r="E436" s="47"/>
      <c r="F436" s="48">
        <f>_xlfn.STDEV.S(D424:D433) / AVERAGE(D424:D433) * 100%</f>
        <v>1.5872454008563242E-3</v>
      </c>
      <c r="G436" s="48">
        <f t="array" ref="G436">MIN((D424:D433 - MIN(D424:D433,L424:L433,T424:T433,AB424:AB433,AJ424:AJ433))/MIN(D424:D433,L424:L433,T424:T433,AB424:AB433,AJ424:AJ433)*100%)</f>
        <v>0</v>
      </c>
      <c r="H436" s="48">
        <f t="array" ref="H436">AVERAGE((D424:D433 - MIN(D424:D433,L424:L433,T424:T433,AB424:AB433,AJ424:AJ433))/MIN(D424:D433,L424:L433,T424:T433,AB424:AB433,AJ424:AJ433)*100%)</f>
        <v>3.7433155080213616E-3</v>
      </c>
      <c r="I436" s="45"/>
      <c r="J436" s="51"/>
      <c r="K436" s="54" t="s">
        <v>20</v>
      </c>
      <c r="L436" s="48">
        <f>AVERAGE(L424:L433)</f>
        <v>479.81299999999993</v>
      </c>
      <c r="M436" s="47"/>
      <c r="N436" s="48">
        <f>_xlfn.STDEV.S(L424:L433) / AVERAGE(L424:L433) * 100%</f>
        <v>2.3148517818495705E-3</v>
      </c>
      <c r="O436" s="48">
        <f t="array" ref="O436">MIN((L424:L433 - MIN(D424:D433,L424:L433,T424:T433,AB424:AB433,AJ424:AJ433))/MIN(D424:D433,L424:L433,T424:T433,AB424:AB433,AJ424:AJ433)*100%)</f>
        <v>3.3972947467759652E-3</v>
      </c>
      <c r="P436" s="48">
        <f t="array" ref="P436">AVERAGE((L424:L433 - MIN(D424:D433,L424:L433,T424:T433,AB424:AB433,AJ424:AJ433))/MIN(D424:D433,L424:L433,T424:T433,AB424:AB433,AJ424:AJ433)*100%)</f>
        <v>6.2136940337632748E-3</v>
      </c>
      <c r="Q436" s="44"/>
      <c r="R436" s="51"/>
      <c r="S436" s="54" t="s">
        <v>20</v>
      </c>
      <c r="T436" s="48">
        <f>AVERAGE(T424:T433)</f>
        <v>480.71399999999977</v>
      </c>
      <c r="U436" s="47"/>
      <c r="V436" s="48">
        <f>_xlfn.STDEV.S(T424:T433) / AVERAGE(T424:T433) * 100%</f>
        <v>3.9869160752289603E-3</v>
      </c>
      <c r="W436" s="48">
        <f t="array" ref="W436">MIN((T424:T433 - MIN(D424:D433,L424:L433,T424:T433,AB424:AB433,AJ424:AJ433))/MIN(D424:D433,L424:L433,T424:T433,AB424:AB433,AJ424:AJ433)*100%)</f>
        <v>1.8454440599769233E-3</v>
      </c>
      <c r="X436" s="48">
        <f t="array" ref="X436">AVERAGE((T424:T433 - MIN(D424:D433,L424:L433,T424:T433,AB424:AB433,AJ424:AJ433))/MIN(D424:D433,L424:L433,T424:T433,AB424:AB433,AJ424:AJ433)*100%)</f>
        <v>8.1031770997169184E-3</v>
      </c>
      <c r="Y436" s="44"/>
      <c r="Z436" s="51"/>
      <c r="AA436" s="54" t="s">
        <v>20</v>
      </c>
      <c r="AB436" s="48">
        <f>AVERAGE(AB424:AB433)</f>
        <v>480.1909999999998</v>
      </c>
      <c r="AC436" s="47"/>
      <c r="AD436" s="48">
        <f>_xlfn.STDEV.S(AB424:AB433) / AVERAGE(AB424:AB433) * 100%</f>
        <v>3.1683658255453749E-3</v>
      </c>
      <c r="AE436" s="48">
        <f t="array" ref="AE436">MIN((AB424:AB433 - MIN(D424:D433,L424:L433,T424:T433,AB424:AB433,AJ424:AJ433))/MIN(D424:D433,L424:L433,T424:T433,AB424:AB433,AJ424:AJ433)*100%)</f>
        <v>1.80350214952294E-3</v>
      </c>
      <c r="AF436" s="48">
        <f t="array" ref="AF436">AVERAGE((AB424:AB433 - MIN(D424:D433,L424:L433,T424:T433,AB424:AB433,AJ424:AJ433))/MIN(D424:D433,L424:L433,T424:T433,AB424:AB433,AJ424:AJ433)*100%)</f>
        <v>7.0063961413441515E-3</v>
      </c>
      <c r="AG436" s="44"/>
      <c r="AH436" s="51"/>
      <c r="AI436" s="54" t="s">
        <v>20</v>
      </c>
      <c r="AJ436" s="48">
        <f>AVERAGE(AJ424:AJ433)</f>
        <v>480.37799999999987</v>
      </c>
      <c r="AK436" s="47"/>
      <c r="AL436" s="48">
        <f>_xlfn.STDEV.S(AJ424:AJ433) / AVERAGE(AJ424:AJ433) * 100%</f>
        <v>1.0236724215117797E-3</v>
      </c>
      <c r="AM436" s="48">
        <f t="array" ref="AM436">MIN((AJ424:AJ433 - MIN(D424:D433,L424:L433,T424:T433,AB424:AB433,AJ424:AJ433))/MIN(D424:D433,L424:L433,T424:T433,AB424:AB433,AJ424:AJ433)*100%)</f>
        <v>6.3541994337842737E-3</v>
      </c>
      <c r="AN436" s="48">
        <f t="array" ref="AN436">AVERAGE((AJ424:AJ433 - MIN(D424:D433,L424:L433,T424:T433,AB424:AB433,AJ424:AJ433))/MIN(D424:D433,L424:L433,T424:T433,AB424:AB433,AJ424:AJ433)*100%)</f>
        <v>7.3985530040895017E-3</v>
      </c>
      <c r="AO436" s="44"/>
      <c r="AP436" s="51"/>
    </row>
    <row r="437" spans="1:42" ht="21" customHeight="1" thickTop="1" thickBot="1" x14ac:dyDescent="0.35">
      <c r="A437" s="63"/>
      <c r="B437" s="67"/>
      <c r="C437" s="53"/>
      <c r="D437" s="44"/>
      <c r="E437" s="44"/>
      <c r="F437" s="44"/>
      <c r="G437" s="44"/>
      <c r="H437" s="44"/>
      <c r="I437" s="44"/>
      <c r="J437" s="51"/>
      <c r="K437" s="53"/>
      <c r="L437" s="44"/>
      <c r="M437" s="44"/>
      <c r="N437" s="44"/>
      <c r="O437" s="44"/>
      <c r="P437" s="44"/>
      <c r="Q437" s="44"/>
      <c r="R437" s="51"/>
      <c r="S437" s="53"/>
      <c r="T437" s="44"/>
      <c r="U437" s="44"/>
      <c r="V437" s="44"/>
      <c r="W437" s="44"/>
      <c r="X437" s="44"/>
      <c r="Y437" s="44"/>
      <c r="Z437" s="51"/>
      <c r="AA437" s="53"/>
      <c r="AB437" s="44"/>
      <c r="AC437" s="44"/>
      <c r="AD437" s="44"/>
      <c r="AE437" s="44"/>
      <c r="AF437" s="44"/>
      <c r="AG437" s="44"/>
      <c r="AH437" s="51"/>
      <c r="AI437" s="53"/>
      <c r="AJ437" s="44"/>
      <c r="AK437" s="44"/>
      <c r="AL437" s="44"/>
      <c r="AM437" s="44"/>
      <c r="AN437" s="44"/>
      <c r="AO437" s="44"/>
      <c r="AP437" s="51"/>
    </row>
    <row r="438" spans="1:42" ht="21" customHeight="1" thickTop="1" thickBot="1" x14ac:dyDescent="0.35">
      <c r="A438" s="63"/>
      <c r="B438" s="65" t="s">
        <v>135</v>
      </c>
      <c r="C438" s="59" t="s">
        <v>8</v>
      </c>
      <c r="D438" s="46" t="s">
        <v>9</v>
      </c>
      <c r="E438" s="46" t="s">
        <v>10</v>
      </c>
      <c r="F438" s="46" t="s">
        <v>11</v>
      </c>
      <c r="G438" s="46" t="s">
        <v>12</v>
      </c>
      <c r="H438" s="46" t="s">
        <v>13</v>
      </c>
      <c r="I438" s="46" t="s">
        <v>14</v>
      </c>
      <c r="J438" s="60" t="s">
        <v>15</v>
      </c>
      <c r="K438" s="59" t="s">
        <v>8</v>
      </c>
      <c r="L438" s="46" t="s">
        <v>9</v>
      </c>
      <c r="M438" s="46" t="s">
        <v>10</v>
      </c>
      <c r="N438" s="46" t="s">
        <v>11</v>
      </c>
      <c r="O438" s="46" t="s">
        <v>12</v>
      </c>
      <c r="P438" s="46" t="s">
        <v>13</v>
      </c>
      <c r="Q438" s="46" t="s">
        <v>14</v>
      </c>
      <c r="R438" s="60" t="s">
        <v>15</v>
      </c>
      <c r="S438" s="59" t="s">
        <v>8</v>
      </c>
      <c r="T438" s="46" t="s">
        <v>9</v>
      </c>
      <c r="U438" s="46" t="s">
        <v>10</v>
      </c>
      <c r="V438" s="46" t="s">
        <v>11</v>
      </c>
      <c r="W438" s="46" t="s">
        <v>12</v>
      </c>
      <c r="X438" s="46" t="s">
        <v>13</v>
      </c>
      <c r="Y438" s="46" t="s">
        <v>14</v>
      </c>
      <c r="Z438" s="60" t="s">
        <v>15</v>
      </c>
      <c r="AA438" s="59" t="s">
        <v>8</v>
      </c>
      <c r="AB438" s="46" t="s">
        <v>9</v>
      </c>
      <c r="AC438" s="46" t="s">
        <v>10</v>
      </c>
      <c r="AD438" s="46" t="s">
        <v>11</v>
      </c>
      <c r="AE438" s="46" t="s">
        <v>12</v>
      </c>
      <c r="AF438" s="46" t="s">
        <v>13</v>
      </c>
      <c r="AG438" s="46" t="s">
        <v>14</v>
      </c>
      <c r="AH438" s="60" t="s">
        <v>15</v>
      </c>
      <c r="AI438" s="59" t="s">
        <v>8</v>
      </c>
      <c r="AJ438" s="46" t="s">
        <v>9</v>
      </c>
      <c r="AK438" s="46" t="s">
        <v>10</v>
      </c>
      <c r="AL438" s="46" t="s">
        <v>11</v>
      </c>
      <c r="AM438" s="46" t="s">
        <v>12</v>
      </c>
      <c r="AN438" s="46" t="s">
        <v>13</v>
      </c>
      <c r="AO438" s="46" t="s">
        <v>14</v>
      </c>
      <c r="AP438" s="60" t="s">
        <v>15</v>
      </c>
    </row>
    <row r="439" spans="1:42" ht="21" customHeight="1" thickTop="1" thickBot="1" x14ac:dyDescent="0.35">
      <c r="A439" s="63"/>
      <c r="B439" s="66"/>
      <c r="C439" s="52">
        <v>1</v>
      </c>
      <c r="D439" s="44">
        <v>516.57999999999981</v>
      </c>
      <c r="E439" s="44"/>
      <c r="F439" s="44"/>
      <c r="G439" s="44"/>
      <c r="H439" s="44"/>
      <c r="I439" s="44"/>
      <c r="J439" s="51"/>
      <c r="K439" s="52">
        <v>1</v>
      </c>
      <c r="L439" s="44">
        <v>518.02999999999975</v>
      </c>
      <c r="M439" s="44"/>
      <c r="N439" s="44"/>
      <c r="O439" s="44"/>
      <c r="P439" s="44"/>
      <c r="Q439" s="44"/>
      <c r="R439" s="51"/>
      <c r="S439" s="52">
        <v>1</v>
      </c>
      <c r="T439" s="44">
        <v>518.40999999999974</v>
      </c>
      <c r="U439" s="44"/>
      <c r="V439" s="44"/>
      <c r="W439" s="44"/>
      <c r="X439" s="44"/>
      <c r="Y439" s="44"/>
      <c r="Z439" s="51"/>
      <c r="AA439" s="52">
        <v>1</v>
      </c>
      <c r="AB439" s="44">
        <v>517.14999999999986</v>
      </c>
      <c r="AC439" s="44"/>
      <c r="AD439" s="44"/>
      <c r="AE439" s="44"/>
      <c r="AF439" s="44"/>
      <c r="AG439" s="44"/>
      <c r="AH439" s="51"/>
      <c r="AI439" s="52">
        <v>1</v>
      </c>
      <c r="AJ439" s="44">
        <v>517.68999999999983</v>
      </c>
      <c r="AK439" s="44"/>
      <c r="AL439" s="44"/>
      <c r="AM439" s="44"/>
      <c r="AN439" s="44"/>
      <c r="AO439" s="44"/>
      <c r="AP439" s="51"/>
    </row>
    <row r="440" spans="1:42" ht="21" customHeight="1" thickTop="1" thickBot="1" x14ac:dyDescent="0.35">
      <c r="A440" s="63"/>
      <c r="B440" s="66"/>
      <c r="C440" s="53">
        <v>2</v>
      </c>
      <c r="D440" s="45">
        <v>516.67999999999984</v>
      </c>
      <c r="E440" s="45"/>
      <c r="F440" s="45"/>
      <c r="G440" s="45"/>
      <c r="H440" s="45"/>
      <c r="I440" s="45"/>
      <c r="J440" s="51"/>
      <c r="K440" s="53">
        <v>2</v>
      </c>
      <c r="L440" s="45">
        <v>517.0899999999998</v>
      </c>
      <c r="M440" s="45"/>
      <c r="N440" s="45"/>
      <c r="O440" s="45"/>
      <c r="P440" s="45"/>
      <c r="Q440" s="45"/>
      <c r="R440" s="51"/>
      <c r="S440" s="53">
        <v>2</v>
      </c>
      <c r="T440" s="45">
        <v>517.44999999999982</v>
      </c>
      <c r="U440" s="45"/>
      <c r="V440" s="45"/>
      <c r="W440" s="45"/>
      <c r="X440" s="45"/>
      <c r="Y440" s="45"/>
      <c r="Z440" s="51"/>
      <c r="AA440" s="53">
        <v>2</v>
      </c>
      <c r="AB440" s="45">
        <v>517.29999999999984</v>
      </c>
      <c r="AC440" s="45"/>
      <c r="AD440" s="45"/>
      <c r="AE440" s="45"/>
      <c r="AF440" s="45"/>
      <c r="AG440" s="45"/>
      <c r="AH440" s="51"/>
      <c r="AI440" s="53">
        <v>2</v>
      </c>
      <c r="AJ440" s="45">
        <v>517.04999999999984</v>
      </c>
      <c r="AK440" s="45"/>
      <c r="AL440" s="45"/>
      <c r="AM440" s="45"/>
      <c r="AN440" s="45"/>
      <c r="AO440" s="45"/>
      <c r="AP440" s="51"/>
    </row>
    <row r="441" spans="1:42" ht="21" customHeight="1" thickTop="1" thickBot="1" x14ac:dyDescent="0.35">
      <c r="A441" s="63"/>
      <c r="B441" s="66"/>
      <c r="C441" s="53">
        <v>3</v>
      </c>
      <c r="D441" s="45">
        <v>515.44999999999982</v>
      </c>
      <c r="E441" s="45"/>
      <c r="F441" s="45"/>
      <c r="G441" s="44"/>
      <c r="H441" s="44"/>
      <c r="I441" s="44"/>
      <c r="J441" s="51"/>
      <c r="K441" s="53">
        <v>3</v>
      </c>
      <c r="L441" s="45">
        <v>517.51999999999975</v>
      </c>
      <c r="M441" s="45"/>
      <c r="N441" s="45"/>
      <c r="O441" s="44"/>
      <c r="P441" s="44"/>
      <c r="Q441" s="44"/>
      <c r="R441" s="51"/>
      <c r="S441" s="53">
        <v>3</v>
      </c>
      <c r="T441" s="45">
        <v>517.31999999999982</v>
      </c>
      <c r="U441" s="45"/>
      <c r="V441" s="45"/>
      <c r="W441" s="44"/>
      <c r="X441" s="44"/>
      <c r="Y441" s="44"/>
      <c r="Z441" s="51"/>
      <c r="AA441" s="53">
        <v>3</v>
      </c>
      <c r="AB441" s="45">
        <v>518.20999999999981</v>
      </c>
      <c r="AC441" s="45"/>
      <c r="AD441" s="45"/>
      <c r="AE441" s="44"/>
      <c r="AF441" s="44"/>
      <c r="AG441" s="44"/>
      <c r="AH441" s="51"/>
      <c r="AI441" s="53">
        <v>3</v>
      </c>
      <c r="AJ441" s="45">
        <v>517.49999999999977</v>
      </c>
      <c r="AK441" s="45"/>
      <c r="AL441" s="45"/>
      <c r="AM441" s="44"/>
      <c r="AN441" s="44"/>
      <c r="AO441" s="44"/>
      <c r="AP441" s="51"/>
    </row>
    <row r="442" spans="1:42" ht="21" customHeight="1" thickTop="1" thickBot="1" x14ac:dyDescent="0.35">
      <c r="A442" s="63"/>
      <c r="B442" s="66"/>
      <c r="C442" s="53">
        <v>4</v>
      </c>
      <c r="D442" s="45">
        <v>517.47999999999979</v>
      </c>
      <c r="E442" s="45"/>
      <c r="F442" s="45"/>
      <c r="G442" s="45"/>
      <c r="H442" s="45"/>
      <c r="I442" s="45"/>
      <c r="J442" s="51"/>
      <c r="K442" s="53">
        <v>4</v>
      </c>
      <c r="L442" s="45">
        <v>518.64999999999975</v>
      </c>
      <c r="M442" s="45"/>
      <c r="N442" s="45"/>
      <c r="O442" s="45"/>
      <c r="P442" s="45"/>
      <c r="Q442" s="45"/>
      <c r="R442" s="51"/>
      <c r="S442" s="53">
        <v>4</v>
      </c>
      <c r="T442" s="45">
        <v>517.81999999999971</v>
      </c>
      <c r="U442" s="45"/>
      <c r="V442" s="45"/>
      <c r="W442" s="45"/>
      <c r="X442" s="45"/>
      <c r="Y442" s="45"/>
      <c r="Z442" s="51"/>
      <c r="AA442" s="53">
        <v>4</v>
      </c>
      <c r="AB442" s="45">
        <v>518.28999999999974</v>
      </c>
      <c r="AC442" s="45"/>
      <c r="AD442" s="45"/>
      <c r="AE442" s="45"/>
      <c r="AF442" s="45"/>
      <c r="AG442" s="45"/>
      <c r="AH442" s="51"/>
      <c r="AI442" s="53">
        <v>4</v>
      </c>
      <c r="AJ442" s="45">
        <v>516.85999999999979</v>
      </c>
      <c r="AK442" s="45"/>
      <c r="AL442" s="45"/>
      <c r="AM442" s="45"/>
      <c r="AN442" s="45"/>
      <c r="AO442" s="45"/>
      <c r="AP442" s="51"/>
    </row>
    <row r="443" spans="1:42" ht="21" customHeight="1" thickTop="1" thickBot="1" x14ac:dyDescent="0.35">
      <c r="A443" s="63"/>
      <c r="B443" s="66"/>
      <c r="C443" s="53">
        <v>5</v>
      </c>
      <c r="D443" s="45">
        <v>516.97999999999979</v>
      </c>
      <c r="E443" s="45"/>
      <c r="F443" s="45"/>
      <c r="G443" s="45"/>
      <c r="H443" s="45"/>
      <c r="I443" s="45"/>
      <c r="J443" s="51"/>
      <c r="K443" s="53">
        <v>5</v>
      </c>
      <c r="L443" s="45">
        <v>517.76999999999975</v>
      </c>
      <c r="M443" s="45"/>
      <c r="N443" s="45"/>
      <c r="O443" s="45"/>
      <c r="P443" s="45"/>
      <c r="Q443" s="45"/>
      <c r="R443" s="51"/>
      <c r="S443" s="53">
        <v>5</v>
      </c>
      <c r="T443" s="45">
        <v>516.85999999999979</v>
      </c>
      <c r="U443" s="45"/>
      <c r="V443" s="45"/>
      <c r="W443" s="45"/>
      <c r="X443" s="45"/>
      <c r="Y443" s="45"/>
      <c r="Z443" s="51"/>
      <c r="AA443" s="53">
        <v>5</v>
      </c>
      <c r="AB443" s="45">
        <v>518.74999999999977</v>
      </c>
      <c r="AC443" s="45"/>
      <c r="AD443" s="45"/>
      <c r="AE443" s="45"/>
      <c r="AF443" s="45"/>
      <c r="AG443" s="45"/>
      <c r="AH443" s="51"/>
      <c r="AI443" s="53">
        <v>5</v>
      </c>
      <c r="AJ443" s="45">
        <v>516.85999999999979</v>
      </c>
      <c r="AK443" s="45"/>
      <c r="AL443" s="45"/>
      <c r="AM443" s="45"/>
      <c r="AN443" s="45"/>
      <c r="AO443" s="45"/>
      <c r="AP443" s="51"/>
    </row>
    <row r="444" spans="1:42" ht="21" customHeight="1" thickTop="1" thickBot="1" x14ac:dyDescent="0.35">
      <c r="A444" s="63"/>
      <c r="B444" s="66"/>
      <c r="C444" s="53">
        <v>6</v>
      </c>
      <c r="D444" s="45">
        <v>517.31999999999971</v>
      </c>
      <c r="E444" s="45"/>
      <c r="F444" s="45"/>
      <c r="G444" s="45"/>
      <c r="H444" s="45"/>
      <c r="I444" s="45"/>
      <c r="J444" s="51"/>
      <c r="K444" s="53">
        <v>6</v>
      </c>
      <c r="L444" s="45">
        <v>518.87999999999965</v>
      </c>
      <c r="M444" s="45"/>
      <c r="N444" s="45"/>
      <c r="O444" s="45"/>
      <c r="P444" s="45"/>
      <c r="Q444" s="45"/>
      <c r="R444" s="51"/>
      <c r="S444" s="53">
        <v>6</v>
      </c>
      <c r="T444" s="45">
        <v>517.27999999999975</v>
      </c>
      <c r="U444" s="45"/>
      <c r="V444" s="45"/>
      <c r="W444" s="45"/>
      <c r="X444" s="45"/>
      <c r="Y444" s="45"/>
      <c r="Z444" s="51"/>
      <c r="AA444" s="53">
        <v>6</v>
      </c>
      <c r="AB444" s="45">
        <v>517.99999999999977</v>
      </c>
      <c r="AC444" s="45"/>
      <c r="AD444" s="45"/>
      <c r="AE444" s="45"/>
      <c r="AF444" s="45"/>
      <c r="AG444" s="45"/>
      <c r="AH444" s="51"/>
      <c r="AI444" s="53">
        <v>6</v>
      </c>
      <c r="AJ444" s="45">
        <v>517.68999999999983</v>
      </c>
      <c r="AK444" s="45"/>
      <c r="AL444" s="45"/>
      <c r="AM444" s="45"/>
      <c r="AN444" s="45"/>
      <c r="AO444" s="45"/>
      <c r="AP444" s="51"/>
    </row>
    <row r="445" spans="1:42" ht="21" customHeight="1" thickTop="1" thickBot="1" x14ac:dyDescent="0.35">
      <c r="A445" s="63"/>
      <c r="B445" s="66"/>
      <c r="C445" s="53">
        <v>7</v>
      </c>
      <c r="D445" s="45">
        <v>515.5899999999998</v>
      </c>
      <c r="E445" s="45"/>
      <c r="F445" s="45"/>
      <c r="G445" s="45"/>
      <c r="H445" s="45"/>
      <c r="I445" s="45"/>
      <c r="J445" s="51"/>
      <c r="K445" s="53">
        <v>7</v>
      </c>
      <c r="L445" s="45">
        <v>517.31999999999982</v>
      </c>
      <c r="M445" s="45"/>
      <c r="N445" s="45"/>
      <c r="O445" s="45"/>
      <c r="P445" s="45"/>
      <c r="Q445" s="45"/>
      <c r="R445" s="51"/>
      <c r="S445" s="53">
        <v>7</v>
      </c>
      <c r="T445" s="45">
        <v>520.80999999999983</v>
      </c>
      <c r="U445" s="45"/>
      <c r="V445" s="45"/>
      <c r="W445" s="45"/>
      <c r="X445" s="45"/>
      <c r="Y445" s="45"/>
      <c r="Z445" s="51"/>
      <c r="AA445" s="53">
        <v>7</v>
      </c>
      <c r="AB445" s="45">
        <v>518.94999999999982</v>
      </c>
      <c r="AC445" s="45"/>
      <c r="AD445" s="45"/>
      <c r="AE445" s="45"/>
      <c r="AF445" s="45"/>
      <c r="AG445" s="45"/>
      <c r="AH445" s="51"/>
      <c r="AI445" s="53">
        <v>7</v>
      </c>
      <c r="AJ445" s="45">
        <v>517.27999999999986</v>
      </c>
      <c r="AK445" s="45"/>
      <c r="AL445" s="45"/>
      <c r="AM445" s="45"/>
      <c r="AN445" s="45"/>
      <c r="AO445" s="45"/>
      <c r="AP445" s="51"/>
    </row>
    <row r="446" spans="1:42" ht="21" customHeight="1" thickTop="1" thickBot="1" x14ac:dyDescent="0.35">
      <c r="A446" s="63"/>
      <c r="B446" s="66"/>
      <c r="C446" s="53">
        <v>8</v>
      </c>
      <c r="D446" s="45">
        <v>515.8299999999997</v>
      </c>
      <c r="E446" s="45"/>
      <c r="F446" s="45"/>
      <c r="G446" s="45"/>
      <c r="H446" s="45"/>
      <c r="I446" s="45"/>
      <c r="J446" s="51"/>
      <c r="K446" s="53">
        <v>8</v>
      </c>
      <c r="L446" s="45">
        <v>518.54999999999984</v>
      </c>
      <c r="M446" s="45"/>
      <c r="N446" s="45"/>
      <c r="O446" s="45"/>
      <c r="P446" s="45"/>
      <c r="Q446" s="45"/>
      <c r="R446" s="51"/>
      <c r="S446" s="53">
        <v>8</v>
      </c>
      <c r="T446" s="45">
        <v>517.28999999999985</v>
      </c>
      <c r="U446" s="45"/>
      <c r="V446" s="45"/>
      <c r="W446" s="45"/>
      <c r="X446" s="45"/>
      <c r="Y446" s="45"/>
      <c r="Z446" s="51"/>
      <c r="AA446" s="53">
        <v>8</v>
      </c>
      <c r="AB446" s="45">
        <v>518.16999999999985</v>
      </c>
      <c r="AC446" s="45"/>
      <c r="AD446" s="45"/>
      <c r="AE446" s="45"/>
      <c r="AF446" s="45"/>
      <c r="AG446" s="45"/>
      <c r="AH446" s="51"/>
      <c r="AI446" s="53">
        <v>8</v>
      </c>
      <c r="AJ446" s="45">
        <v>517.15999999999985</v>
      </c>
      <c r="AK446" s="45"/>
      <c r="AL446" s="45"/>
      <c r="AM446" s="45"/>
      <c r="AN446" s="45"/>
      <c r="AO446" s="45"/>
      <c r="AP446" s="51"/>
    </row>
    <row r="447" spans="1:42" ht="21" customHeight="1" thickTop="1" thickBot="1" x14ac:dyDescent="0.35">
      <c r="A447" s="63"/>
      <c r="B447" s="66"/>
      <c r="C447" s="53">
        <v>9</v>
      </c>
      <c r="D447" s="45">
        <v>518.25999999999976</v>
      </c>
      <c r="E447" s="45"/>
      <c r="F447" s="45"/>
      <c r="G447" s="45"/>
      <c r="H447" s="45"/>
      <c r="I447" s="45"/>
      <c r="J447" s="51"/>
      <c r="K447" s="53">
        <v>9</v>
      </c>
      <c r="L447" s="45">
        <v>517.6999999999997</v>
      </c>
      <c r="M447" s="45"/>
      <c r="N447" s="45"/>
      <c r="O447" s="45"/>
      <c r="P447" s="45"/>
      <c r="Q447" s="45"/>
      <c r="R447" s="51"/>
      <c r="S447" s="53">
        <v>9</v>
      </c>
      <c r="T447" s="45">
        <v>517.4599999999997</v>
      </c>
      <c r="U447" s="45"/>
      <c r="V447" s="45"/>
      <c r="W447" s="45"/>
      <c r="X447" s="45"/>
      <c r="Y447" s="45"/>
      <c r="Z447" s="51"/>
      <c r="AA447" s="53">
        <v>9</v>
      </c>
      <c r="AB447" s="45">
        <v>517.45999999999981</v>
      </c>
      <c r="AC447" s="45"/>
      <c r="AD447" s="45"/>
      <c r="AE447" s="45"/>
      <c r="AF447" s="45"/>
      <c r="AG447" s="45"/>
      <c r="AH447" s="51"/>
      <c r="AI447" s="53">
        <v>9</v>
      </c>
      <c r="AJ447" s="45">
        <v>516.97999999999979</v>
      </c>
      <c r="AK447" s="45"/>
      <c r="AL447" s="45"/>
      <c r="AM447" s="45"/>
      <c r="AN447" s="45"/>
      <c r="AO447" s="45"/>
      <c r="AP447" s="51"/>
    </row>
    <row r="448" spans="1:42" ht="21" customHeight="1" thickTop="1" thickBot="1" x14ac:dyDescent="0.35">
      <c r="A448" s="63"/>
      <c r="B448" s="66"/>
      <c r="C448" s="53">
        <v>10</v>
      </c>
      <c r="D448" s="45">
        <v>516.90999999999974</v>
      </c>
      <c r="E448" s="45"/>
      <c r="F448" s="45"/>
      <c r="G448" s="45"/>
      <c r="H448" s="45"/>
      <c r="I448" s="45"/>
      <c r="J448" s="51"/>
      <c r="K448" s="53">
        <v>10</v>
      </c>
      <c r="L448" s="45">
        <v>518.03999999999985</v>
      </c>
      <c r="M448" s="45"/>
      <c r="N448" s="45"/>
      <c r="O448" s="45"/>
      <c r="P448" s="45"/>
      <c r="Q448" s="45"/>
      <c r="R448" s="51"/>
      <c r="S448" s="53">
        <v>10</v>
      </c>
      <c r="T448" s="45">
        <v>517.31999999999982</v>
      </c>
      <c r="U448" s="45"/>
      <c r="V448" s="45"/>
      <c r="W448" s="45"/>
      <c r="X448" s="45"/>
      <c r="Y448" s="45"/>
      <c r="Z448" s="51"/>
      <c r="AA448" s="53">
        <v>10</v>
      </c>
      <c r="AB448" s="45">
        <v>517.43999999999971</v>
      </c>
      <c r="AC448" s="45"/>
      <c r="AD448" s="45"/>
      <c r="AE448" s="45"/>
      <c r="AF448" s="45"/>
      <c r="AG448" s="45"/>
      <c r="AH448" s="51"/>
      <c r="AI448" s="53">
        <v>10</v>
      </c>
      <c r="AJ448" s="45">
        <v>517.28</v>
      </c>
      <c r="AK448" s="45"/>
      <c r="AL448" s="45"/>
      <c r="AM448" s="45"/>
      <c r="AN448" s="45"/>
      <c r="AO448" s="45"/>
      <c r="AP448" s="51"/>
    </row>
    <row r="449" spans="1:42" ht="21" customHeight="1" thickTop="1" thickBot="1" x14ac:dyDescent="0.35">
      <c r="A449" s="63"/>
      <c r="B449" s="66"/>
      <c r="C449" s="53"/>
      <c r="D449" s="45"/>
      <c r="E449" s="45"/>
      <c r="F449" s="45"/>
      <c r="G449" s="45"/>
      <c r="H449" s="45"/>
      <c r="I449" s="45"/>
      <c r="J449" s="51"/>
      <c r="K449" s="53"/>
      <c r="L449" s="45"/>
      <c r="M449" s="45"/>
      <c r="N449" s="45"/>
      <c r="O449" s="45"/>
      <c r="P449" s="45"/>
      <c r="Q449" s="45"/>
      <c r="R449" s="51"/>
      <c r="S449" s="53"/>
      <c r="T449" s="45"/>
      <c r="U449" s="45"/>
      <c r="V449" s="45"/>
      <c r="W449" s="45"/>
      <c r="X449" s="45"/>
      <c r="Y449" s="45"/>
      <c r="Z449" s="51"/>
      <c r="AA449" s="53"/>
      <c r="AB449" s="45"/>
      <c r="AC449" s="45"/>
      <c r="AD449" s="45"/>
      <c r="AE449" s="45"/>
      <c r="AF449" s="45"/>
      <c r="AG449" s="45"/>
      <c r="AH449" s="51"/>
      <c r="AI449" s="53"/>
      <c r="AJ449" s="45"/>
      <c r="AK449" s="45"/>
      <c r="AL449" s="45"/>
      <c r="AM449" s="45"/>
      <c r="AN449" s="45"/>
      <c r="AO449" s="45"/>
      <c r="AP449" s="51"/>
    </row>
    <row r="450" spans="1:42" ht="21" customHeight="1" thickTop="1" thickBot="1" x14ac:dyDescent="0.35">
      <c r="A450" s="63"/>
      <c r="B450" s="66"/>
      <c r="C450" s="54" t="s">
        <v>16</v>
      </c>
      <c r="D450" s="49">
        <f>MIN(D439:D448)</f>
        <v>515.44999999999982</v>
      </c>
      <c r="E450" s="45"/>
      <c r="F450" s="55" t="s">
        <v>17</v>
      </c>
      <c r="G450" s="49" t="s">
        <v>18</v>
      </c>
      <c r="H450" s="49" t="s">
        <v>19</v>
      </c>
      <c r="I450" s="45"/>
      <c r="J450" s="51"/>
      <c r="K450" s="54" t="s">
        <v>16</v>
      </c>
      <c r="L450" s="49">
        <f>MIN(L439:L448)</f>
        <v>517.0899999999998</v>
      </c>
      <c r="M450" s="45"/>
      <c r="N450" s="55" t="s">
        <v>17</v>
      </c>
      <c r="O450" s="49" t="s">
        <v>18</v>
      </c>
      <c r="P450" s="49" t="s">
        <v>19</v>
      </c>
      <c r="Q450" s="45"/>
      <c r="R450" s="51"/>
      <c r="S450" s="54" t="s">
        <v>16</v>
      </c>
      <c r="T450" s="49">
        <f>MIN(T439:T448)</f>
        <v>516.85999999999979</v>
      </c>
      <c r="U450" s="45"/>
      <c r="V450" s="55" t="s">
        <v>17</v>
      </c>
      <c r="W450" s="49" t="s">
        <v>18</v>
      </c>
      <c r="X450" s="49" t="s">
        <v>19</v>
      </c>
      <c r="Y450" s="45"/>
      <c r="Z450" s="51"/>
      <c r="AA450" s="54" t="s">
        <v>16</v>
      </c>
      <c r="AB450" s="49">
        <f>MIN(AB439:AB448)</f>
        <v>517.14999999999986</v>
      </c>
      <c r="AC450" s="45"/>
      <c r="AD450" s="55" t="s">
        <v>17</v>
      </c>
      <c r="AE450" s="49" t="s">
        <v>18</v>
      </c>
      <c r="AF450" s="49" t="s">
        <v>19</v>
      </c>
      <c r="AG450" s="45"/>
      <c r="AH450" s="51"/>
      <c r="AI450" s="54" t="s">
        <v>16</v>
      </c>
      <c r="AJ450" s="49">
        <f>MIN(AJ439:AJ448)</f>
        <v>516.85999999999979</v>
      </c>
      <c r="AK450" s="45"/>
      <c r="AL450" s="55" t="s">
        <v>17</v>
      </c>
      <c r="AM450" s="49" t="s">
        <v>18</v>
      </c>
      <c r="AN450" s="49" t="s">
        <v>19</v>
      </c>
      <c r="AO450" s="45"/>
      <c r="AP450" s="51"/>
    </row>
    <row r="451" spans="1:42" ht="21" customHeight="1" thickTop="1" thickBot="1" x14ac:dyDescent="0.35">
      <c r="A451" s="63"/>
      <c r="B451" s="66"/>
      <c r="C451" s="54" t="s">
        <v>20</v>
      </c>
      <c r="D451" s="48">
        <f>AVERAGE(D439:D448)</f>
        <v>516.70799999999986</v>
      </c>
      <c r="E451" s="47"/>
      <c r="F451" s="48">
        <f>_xlfn.STDEV.S(D439:D448) / AVERAGE(D439:D448) * 100%</f>
        <v>1.7207096044858218E-3</v>
      </c>
      <c r="G451" s="48">
        <f t="array" ref="G451">MIN((D439:D448 - MIN(D439:D448,L439:L448,T439:T448,AB439:AB448,AJ439:AJ448))/MIN(D439:D448,L439:L448,T439:T448,AB439:AB448,AJ439:AJ448)*100%)</f>
        <v>0</v>
      </c>
      <c r="H451" s="48">
        <f t="array" ref="H451">AVERAGE((D439:D448 - MIN(D439:D448,L439:L448,T439:T448,AB439:AB448,AJ439:AJ448))/MIN(D439:D448,L439:L448,T439:T448,AB439:AB448,AJ439:AJ448)*100%)</f>
        <v>2.4405858958191076E-3</v>
      </c>
      <c r="I451" s="45"/>
      <c r="J451" s="51"/>
      <c r="K451" s="54" t="s">
        <v>20</v>
      </c>
      <c r="L451" s="48">
        <f>AVERAGE(L439:L448)</f>
        <v>517.9549999999997</v>
      </c>
      <c r="M451" s="47"/>
      <c r="N451" s="48">
        <f>_xlfn.STDEV.S(L439:L448) / AVERAGE(L439:L448) * 100%</f>
        <v>1.1413743500435479E-3</v>
      </c>
      <c r="O451" s="48">
        <f t="array" ref="O451">MIN((L439:L448 - MIN(D439:D448,L439:L448,T439:T448,AB439:AB448,AJ439:AJ448))/MIN(D439:D448,L439:L448,T439:T448,AB439:AB448,AJ439:AJ448)*100%)</f>
        <v>3.1816859055194238E-3</v>
      </c>
      <c r="P451" s="48">
        <f t="array" ref="P451">AVERAGE((L439:L448 - MIN(D439:D448,L439:L448,T439:T448,AB439:AB448,AJ439:AJ448))/MIN(D439:D448,L439:L448,T439:T448,AB439:AB448,AJ439:AJ448)*100%)</f>
        <v>4.8598312154427212E-3</v>
      </c>
      <c r="Q451" s="44"/>
      <c r="R451" s="51"/>
      <c r="S451" s="54" t="s">
        <v>20</v>
      </c>
      <c r="T451" s="48">
        <f>AVERAGE(T439:T448)</f>
        <v>517.80199999999979</v>
      </c>
      <c r="U451" s="47"/>
      <c r="V451" s="48">
        <f>_xlfn.STDEV.S(T439:T448) / AVERAGE(T439:T448) * 100%</f>
        <v>2.187371367839482E-3</v>
      </c>
      <c r="W451" s="48">
        <f t="array" ref="W451">MIN((T439:T448 - MIN(D439:D448,L439:L448,T439:T448,AB439:AB448,AJ439:AJ448))/MIN(D439:D448,L439:L448,T439:T448,AB439:AB448,AJ439:AJ448)*100%)</f>
        <v>2.7354738577940996E-3</v>
      </c>
      <c r="X451" s="48">
        <f t="array" ref="X451">AVERAGE((T439:T448 - MIN(D439:D448,L439:L448,T439:T448,AB439:AB448,AJ439:AJ448))/MIN(D439:D448,L439:L448,T439:T448,AB439:AB448,AJ439:AJ448)*100%)</f>
        <v>4.5630032010863606E-3</v>
      </c>
      <c r="Y451" s="44"/>
      <c r="Z451" s="51"/>
      <c r="AA451" s="54" t="s">
        <v>20</v>
      </c>
      <c r="AB451" s="48">
        <f>AVERAGE(AB439:AB448)</f>
        <v>517.97199999999987</v>
      </c>
      <c r="AC451" s="47"/>
      <c r="AD451" s="48">
        <f>_xlfn.STDEV.S(AB439:AB448) / AVERAGE(AB439:AB448) * 100%</f>
        <v>1.1921847721730742E-3</v>
      </c>
      <c r="AE451" s="48">
        <f t="array" ref="AE451">MIN((AB439:AB448 - MIN(D439:D448,L439:L448,T439:T448,AB439:AB448,AJ439:AJ448))/MIN(D439:D448,L439:L448,T439:T448,AB439:AB448,AJ439:AJ448)*100%)</f>
        <v>3.2980890484043965E-3</v>
      </c>
      <c r="AF451" s="48">
        <f t="array" ref="AF451">AVERAGE((AB439:AB448 - MIN(D439:D448,L439:L448,T439:T448,AB439:AB448,AJ439:AJ448))/MIN(D439:D448,L439:L448,T439:T448,AB439:AB448,AJ439:AJ448)*100%)</f>
        <v>4.8928121059268227E-3</v>
      </c>
      <c r="AG451" s="44"/>
      <c r="AH451" s="51"/>
      <c r="AI451" s="54" t="s">
        <v>20</v>
      </c>
      <c r="AJ451" s="48">
        <f>AVERAGE(AJ439:AJ448)</f>
        <v>517.23499999999979</v>
      </c>
      <c r="AK451" s="47"/>
      <c r="AL451" s="48">
        <f>_xlfn.STDEV.S(AJ439:AJ448) / AVERAGE(AJ439:AJ448) * 100%</f>
        <v>6.0264052324048262E-4</v>
      </c>
      <c r="AM451" s="48">
        <f t="array" ref="AM451">MIN((AJ439:AJ448 - MIN(D439:D448,L439:L448,T439:T448,AB439:AB448,AJ439:AJ448))/MIN(D439:D448,L439:L448,T439:T448,AB439:AB448,AJ439:AJ448)*100%)</f>
        <v>2.7354738577940996E-3</v>
      </c>
      <c r="AN451" s="48">
        <f t="array" ref="AN451">AVERAGE((AJ439:AJ448 - MIN(D439:D448,L439:L448,T439:T448,AB439:AB448,AJ439:AJ448))/MIN(D439:D448,L439:L448,T439:T448,AB439:AB448,AJ439:AJ448)*100%)</f>
        <v>3.4629935008245504E-3</v>
      </c>
      <c r="AO451" s="44"/>
      <c r="AP451" s="51"/>
    </row>
    <row r="452" spans="1:42" ht="21" customHeight="1" thickTop="1" thickBot="1" x14ac:dyDescent="0.35">
      <c r="A452" s="63"/>
      <c r="B452" s="67"/>
      <c r="C452" s="53"/>
      <c r="D452" s="44"/>
      <c r="E452" s="44"/>
      <c r="F452" s="44"/>
      <c r="G452" s="44"/>
      <c r="H452" s="44"/>
      <c r="I452" s="44"/>
      <c r="J452" s="51"/>
      <c r="K452" s="53"/>
      <c r="L452" s="44"/>
      <c r="M452" s="44"/>
      <c r="N452" s="44"/>
      <c r="O452" s="44"/>
      <c r="P452" s="44"/>
      <c r="Q452" s="44"/>
      <c r="R452" s="51"/>
      <c r="S452" s="53"/>
      <c r="T452" s="44"/>
      <c r="U452" s="44"/>
      <c r="V452" s="44"/>
      <c r="W452" s="44"/>
      <c r="X452" s="44"/>
      <c r="Y452" s="44"/>
      <c r="Z452" s="51"/>
      <c r="AA452" s="53"/>
      <c r="AB452" s="44"/>
      <c r="AC452" s="44"/>
      <c r="AD452" s="44"/>
      <c r="AE452" s="44"/>
      <c r="AF452" s="44"/>
      <c r="AG452" s="44"/>
      <c r="AH452" s="51"/>
      <c r="AI452" s="53"/>
      <c r="AJ452" s="44"/>
      <c r="AK452" s="44"/>
      <c r="AL452" s="44"/>
      <c r="AM452" s="44"/>
      <c r="AN452" s="44"/>
      <c r="AO452" s="44"/>
      <c r="AP452" s="51"/>
    </row>
    <row r="453" spans="1:42" ht="21" customHeight="1" thickTop="1" thickBot="1" x14ac:dyDescent="0.35">
      <c r="A453" s="63"/>
      <c r="B453" s="65" t="s">
        <v>136</v>
      </c>
      <c r="C453" s="59" t="s">
        <v>8</v>
      </c>
      <c r="D453" s="46" t="s">
        <v>9</v>
      </c>
      <c r="E453" s="46" t="s">
        <v>10</v>
      </c>
      <c r="F453" s="46" t="s">
        <v>11</v>
      </c>
      <c r="G453" s="46" t="s">
        <v>12</v>
      </c>
      <c r="H453" s="46" t="s">
        <v>13</v>
      </c>
      <c r="I453" s="46" t="s">
        <v>14</v>
      </c>
      <c r="J453" s="60" t="s">
        <v>15</v>
      </c>
      <c r="K453" s="59" t="s">
        <v>8</v>
      </c>
      <c r="L453" s="46" t="s">
        <v>9</v>
      </c>
      <c r="M453" s="46" t="s">
        <v>10</v>
      </c>
      <c r="N453" s="46" t="s">
        <v>11</v>
      </c>
      <c r="O453" s="46" t="s">
        <v>12</v>
      </c>
      <c r="P453" s="46" t="s">
        <v>13</v>
      </c>
      <c r="Q453" s="46" t="s">
        <v>14</v>
      </c>
      <c r="R453" s="60" t="s">
        <v>15</v>
      </c>
      <c r="S453" s="59" t="s">
        <v>8</v>
      </c>
      <c r="T453" s="46" t="s">
        <v>9</v>
      </c>
      <c r="U453" s="46" t="s">
        <v>10</v>
      </c>
      <c r="V453" s="46" t="s">
        <v>11</v>
      </c>
      <c r="W453" s="46" t="s">
        <v>12</v>
      </c>
      <c r="X453" s="46" t="s">
        <v>13</v>
      </c>
      <c r="Y453" s="46" t="s">
        <v>14</v>
      </c>
      <c r="Z453" s="60" t="s">
        <v>15</v>
      </c>
      <c r="AA453" s="59" t="s">
        <v>8</v>
      </c>
      <c r="AB453" s="46" t="s">
        <v>9</v>
      </c>
      <c r="AC453" s="46" t="s">
        <v>10</v>
      </c>
      <c r="AD453" s="46" t="s">
        <v>11</v>
      </c>
      <c r="AE453" s="46" t="s">
        <v>12</v>
      </c>
      <c r="AF453" s="46" t="s">
        <v>13</v>
      </c>
      <c r="AG453" s="46" t="s">
        <v>14</v>
      </c>
      <c r="AH453" s="60" t="s">
        <v>15</v>
      </c>
      <c r="AI453" s="59" t="s">
        <v>8</v>
      </c>
      <c r="AJ453" s="46" t="s">
        <v>9</v>
      </c>
      <c r="AK453" s="46" t="s">
        <v>10</v>
      </c>
      <c r="AL453" s="46" t="s">
        <v>11</v>
      </c>
      <c r="AM453" s="46" t="s">
        <v>12</v>
      </c>
      <c r="AN453" s="46" t="s">
        <v>13</v>
      </c>
      <c r="AO453" s="46" t="s">
        <v>14</v>
      </c>
      <c r="AP453" s="60" t="s">
        <v>15</v>
      </c>
    </row>
    <row r="454" spans="1:42" ht="21" customHeight="1" thickTop="1" thickBot="1" x14ac:dyDescent="0.35">
      <c r="A454" s="63"/>
      <c r="B454" s="66"/>
      <c r="C454" s="52">
        <v>1</v>
      </c>
      <c r="D454" s="44">
        <v>549.65999999999974</v>
      </c>
      <c r="E454" s="44"/>
      <c r="F454" s="44"/>
      <c r="G454" s="44"/>
      <c r="H454" s="44"/>
      <c r="I454" s="44"/>
      <c r="J454" s="51"/>
      <c r="K454" s="52">
        <v>1</v>
      </c>
      <c r="L454" s="44">
        <v>549.65999999999974</v>
      </c>
      <c r="M454" s="44"/>
      <c r="N454" s="44"/>
      <c r="O454" s="44"/>
      <c r="P454" s="44"/>
      <c r="Q454" s="44"/>
      <c r="R454" s="51"/>
      <c r="S454" s="52">
        <v>1</v>
      </c>
      <c r="T454" s="44">
        <v>549.65999999999974</v>
      </c>
      <c r="U454" s="44"/>
      <c r="V454" s="44"/>
      <c r="W454" s="44"/>
      <c r="X454" s="44"/>
      <c r="Y454" s="44"/>
      <c r="Z454" s="51"/>
      <c r="AA454" s="52">
        <v>1</v>
      </c>
      <c r="AB454" s="44">
        <v>549.48999999999978</v>
      </c>
      <c r="AC454" s="44"/>
      <c r="AD454" s="44"/>
      <c r="AE454" s="44"/>
      <c r="AF454" s="44"/>
      <c r="AG454" s="44"/>
      <c r="AH454" s="51"/>
      <c r="AI454" s="52">
        <v>1</v>
      </c>
      <c r="AJ454" s="44">
        <v>548.62999999999988</v>
      </c>
      <c r="AK454" s="44"/>
      <c r="AL454" s="44"/>
      <c r="AM454" s="44"/>
      <c r="AN454" s="44"/>
      <c r="AO454" s="44"/>
      <c r="AP454" s="51"/>
    </row>
    <row r="455" spans="1:42" ht="21" customHeight="1" thickTop="1" thickBot="1" x14ac:dyDescent="0.35">
      <c r="A455" s="63"/>
      <c r="B455" s="66"/>
      <c r="C455" s="53">
        <v>2</v>
      </c>
      <c r="D455" s="45">
        <v>549.72999999999979</v>
      </c>
      <c r="E455" s="45"/>
      <c r="F455" s="45"/>
      <c r="G455" s="45"/>
      <c r="H455" s="45"/>
      <c r="I455" s="45"/>
      <c r="J455" s="51"/>
      <c r="K455" s="53">
        <v>2</v>
      </c>
      <c r="L455" s="45">
        <v>548.97999999999979</v>
      </c>
      <c r="M455" s="45"/>
      <c r="N455" s="45"/>
      <c r="O455" s="45"/>
      <c r="P455" s="45"/>
      <c r="Q455" s="45"/>
      <c r="R455" s="51"/>
      <c r="S455" s="53">
        <v>2</v>
      </c>
      <c r="T455" s="45">
        <v>549.85999999999979</v>
      </c>
      <c r="U455" s="45"/>
      <c r="V455" s="45"/>
      <c r="W455" s="45"/>
      <c r="X455" s="45"/>
      <c r="Y455" s="45"/>
      <c r="Z455" s="51"/>
      <c r="AA455" s="53">
        <v>2</v>
      </c>
      <c r="AB455" s="45">
        <v>549.85999999999979</v>
      </c>
      <c r="AC455" s="45"/>
      <c r="AD455" s="45"/>
      <c r="AE455" s="45"/>
      <c r="AF455" s="45"/>
      <c r="AG455" s="45"/>
      <c r="AH455" s="51"/>
      <c r="AI455" s="53">
        <v>2</v>
      </c>
      <c r="AJ455" s="45">
        <v>548.28</v>
      </c>
      <c r="AK455" s="45"/>
      <c r="AL455" s="45"/>
      <c r="AM455" s="45"/>
      <c r="AN455" s="45"/>
      <c r="AO455" s="45"/>
      <c r="AP455" s="51"/>
    </row>
    <row r="456" spans="1:42" ht="21" customHeight="1" thickTop="1" thickBot="1" x14ac:dyDescent="0.35">
      <c r="A456" s="63"/>
      <c r="B456" s="66"/>
      <c r="C456" s="53">
        <v>3</v>
      </c>
      <c r="D456" s="45">
        <v>548.31999999999982</v>
      </c>
      <c r="E456" s="45"/>
      <c r="F456" s="45"/>
      <c r="G456" s="44"/>
      <c r="H456" s="44"/>
      <c r="I456" s="44"/>
      <c r="J456" s="51"/>
      <c r="K456" s="53">
        <v>3</v>
      </c>
      <c r="L456" s="45">
        <v>549.87999999999988</v>
      </c>
      <c r="M456" s="45"/>
      <c r="N456" s="45"/>
      <c r="O456" s="44"/>
      <c r="P456" s="44"/>
      <c r="Q456" s="44"/>
      <c r="R456" s="51"/>
      <c r="S456" s="53">
        <v>3</v>
      </c>
      <c r="T456" s="45">
        <v>552.13999999999976</v>
      </c>
      <c r="U456" s="45"/>
      <c r="V456" s="45"/>
      <c r="W456" s="44"/>
      <c r="X456" s="44"/>
      <c r="Y456" s="44"/>
      <c r="Z456" s="51"/>
      <c r="AA456" s="53">
        <v>3</v>
      </c>
      <c r="AB456" s="45">
        <v>550.40999999999974</v>
      </c>
      <c r="AC456" s="45"/>
      <c r="AD456" s="45"/>
      <c r="AE456" s="44"/>
      <c r="AF456" s="44"/>
      <c r="AG456" s="44"/>
      <c r="AH456" s="51"/>
      <c r="AI456" s="53">
        <v>3</v>
      </c>
      <c r="AJ456" s="45">
        <v>548.41</v>
      </c>
      <c r="AK456" s="45"/>
      <c r="AL456" s="45"/>
      <c r="AM456" s="44"/>
      <c r="AN456" s="44"/>
      <c r="AO456" s="44"/>
      <c r="AP456" s="51"/>
    </row>
    <row r="457" spans="1:42" ht="21" customHeight="1" thickTop="1" thickBot="1" x14ac:dyDescent="0.35">
      <c r="A457" s="63"/>
      <c r="B457" s="66"/>
      <c r="C457" s="53">
        <v>4</v>
      </c>
      <c r="D457" s="45">
        <v>550.25999999999976</v>
      </c>
      <c r="E457" s="45"/>
      <c r="F457" s="45"/>
      <c r="G457" s="45"/>
      <c r="H457" s="45"/>
      <c r="I457" s="45"/>
      <c r="J457" s="51"/>
      <c r="K457" s="53">
        <v>4</v>
      </c>
      <c r="L457" s="45">
        <v>550.05999999999972</v>
      </c>
      <c r="M457" s="45"/>
      <c r="N457" s="45"/>
      <c r="O457" s="45"/>
      <c r="P457" s="45"/>
      <c r="Q457" s="45"/>
      <c r="R457" s="51"/>
      <c r="S457" s="53">
        <v>4</v>
      </c>
      <c r="T457" s="45">
        <v>550.99999999999977</v>
      </c>
      <c r="U457" s="45"/>
      <c r="V457" s="45"/>
      <c r="W457" s="45"/>
      <c r="X457" s="45"/>
      <c r="Y457" s="45"/>
      <c r="Z457" s="51"/>
      <c r="AA457" s="53">
        <v>4</v>
      </c>
      <c r="AB457" s="45">
        <v>549.60999999999967</v>
      </c>
      <c r="AC457" s="45"/>
      <c r="AD457" s="45"/>
      <c r="AE457" s="45"/>
      <c r="AF457" s="45"/>
      <c r="AG457" s="45"/>
      <c r="AH457" s="51"/>
      <c r="AI457" s="53">
        <v>4</v>
      </c>
      <c r="AJ457" s="45">
        <v>548.87999999999988</v>
      </c>
      <c r="AK457" s="45"/>
      <c r="AL457" s="45"/>
      <c r="AM457" s="45"/>
      <c r="AN457" s="45"/>
      <c r="AO457" s="45"/>
      <c r="AP457" s="51"/>
    </row>
    <row r="458" spans="1:42" ht="21" customHeight="1" thickTop="1" thickBot="1" x14ac:dyDescent="0.35">
      <c r="A458" s="63"/>
      <c r="B458" s="66"/>
      <c r="C458" s="53">
        <v>5</v>
      </c>
      <c r="D458" s="45">
        <v>549.7099999999997</v>
      </c>
      <c r="E458" s="45"/>
      <c r="F458" s="45"/>
      <c r="G458" s="45"/>
      <c r="H458" s="45"/>
      <c r="I458" s="45"/>
      <c r="J458" s="51"/>
      <c r="K458" s="53">
        <v>5</v>
      </c>
      <c r="L458" s="45">
        <v>549.70999999999981</v>
      </c>
      <c r="M458" s="45"/>
      <c r="N458" s="45"/>
      <c r="O458" s="45"/>
      <c r="P458" s="45"/>
      <c r="Q458" s="45"/>
      <c r="R458" s="51"/>
      <c r="S458" s="53">
        <v>5</v>
      </c>
      <c r="T458" s="45">
        <v>550.2199999999998</v>
      </c>
      <c r="U458" s="45"/>
      <c r="V458" s="45"/>
      <c r="W458" s="45"/>
      <c r="X458" s="45"/>
      <c r="Y458" s="45"/>
      <c r="Z458" s="51"/>
      <c r="AA458" s="53">
        <v>5</v>
      </c>
      <c r="AB458" s="45">
        <v>548.35999999999979</v>
      </c>
      <c r="AC458" s="45"/>
      <c r="AD458" s="45"/>
      <c r="AE458" s="45"/>
      <c r="AF458" s="45"/>
      <c r="AG458" s="45"/>
      <c r="AH458" s="51"/>
      <c r="AI458" s="53">
        <v>5</v>
      </c>
      <c r="AJ458" s="45">
        <v>548.88</v>
      </c>
      <c r="AK458" s="45"/>
      <c r="AL458" s="45"/>
      <c r="AM458" s="45"/>
      <c r="AN458" s="45"/>
      <c r="AO458" s="45"/>
      <c r="AP458" s="51"/>
    </row>
    <row r="459" spans="1:42" ht="21" customHeight="1" thickTop="1" thickBot="1" x14ac:dyDescent="0.35">
      <c r="A459" s="63"/>
      <c r="B459" s="66"/>
      <c r="C459" s="53">
        <v>6</v>
      </c>
      <c r="D459" s="45">
        <v>548.97999999999979</v>
      </c>
      <c r="E459" s="45"/>
      <c r="F459" s="45"/>
      <c r="G459" s="45"/>
      <c r="H459" s="45"/>
      <c r="I459" s="45"/>
      <c r="J459" s="51"/>
      <c r="K459" s="53">
        <v>6</v>
      </c>
      <c r="L459" s="45">
        <v>549.27999999999975</v>
      </c>
      <c r="M459" s="45"/>
      <c r="N459" s="45"/>
      <c r="O459" s="45"/>
      <c r="P459" s="45"/>
      <c r="Q459" s="45"/>
      <c r="R459" s="51"/>
      <c r="S459" s="53">
        <v>6</v>
      </c>
      <c r="T459" s="45">
        <v>550.03999999999985</v>
      </c>
      <c r="U459" s="45"/>
      <c r="V459" s="45"/>
      <c r="W459" s="45"/>
      <c r="X459" s="45"/>
      <c r="Y459" s="45"/>
      <c r="Z459" s="51"/>
      <c r="AA459" s="53">
        <v>6</v>
      </c>
      <c r="AB459" s="45">
        <v>549.61999999999978</v>
      </c>
      <c r="AC459" s="45"/>
      <c r="AD459" s="45"/>
      <c r="AE459" s="45"/>
      <c r="AF459" s="45"/>
      <c r="AG459" s="45"/>
      <c r="AH459" s="51"/>
      <c r="AI459" s="53">
        <v>6</v>
      </c>
      <c r="AJ459" s="45">
        <v>548.24999999999989</v>
      </c>
      <c r="AK459" s="45"/>
      <c r="AL459" s="45"/>
      <c r="AM459" s="45"/>
      <c r="AN459" s="45"/>
      <c r="AO459" s="45"/>
      <c r="AP459" s="51"/>
    </row>
    <row r="460" spans="1:42" ht="21" customHeight="1" thickTop="1" thickBot="1" x14ac:dyDescent="0.35">
      <c r="A460" s="63"/>
      <c r="B460" s="66"/>
      <c r="C460" s="53">
        <v>7</v>
      </c>
      <c r="D460" s="45">
        <v>549.99999999999966</v>
      </c>
      <c r="E460" s="45"/>
      <c r="F460" s="45"/>
      <c r="G460" s="45"/>
      <c r="H460" s="45"/>
      <c r="I460" s="45"/>
      <c r="J460" s="51"/>
      <c r="K460" s="53">
        <v>7</v>
      </c>
      <c r="L460" s="45">
        <v>549.85999999999979</v>
      </c>
      <c r="M460" s="45"/>
      <c r="N460" s="45"/>
      <c r="O460" s="45"/>
      <c r="P460" s="45"/>
      <c r="Q460" s="45"/>
      <c r="R460" s="51"/>
      <c r="S460" s="53">
        <v>7</v>
      </c>
      <c r="T460" s="45">
        <v>551.4699999999998</v>
      </c>
      <c r="U460" s="45"/>
      <c r="V460" s="45"/>
      <c r="W460" s="45"/>
      <c r="X460" s="45"/>
      <c r="Y460" s="45"/>
      <c r="Z460" s="51"/>
      <c r="AA460" s="53">
        <v>7</v>
      </c>
      <c r="AB460" s="45">
        <v>549.02999999999975</v>
      </c>
      <c r="AC460" s="45"/>
      <c r="AD460" s="45"/>
      <c r="AE460" s="45"/>
      <c r="AF460" s="45"/>
      <c r="AG460" s="45"/>
      <c r="AH460" s="51"/>
      <c r="AI460" s="53">
        <v>7</v>
      </c>
      <c r="AJ460" s="45">
        <v>548.69999999999993</v>
      </c>
      <c r="AK460" s="45"/>
      <c r="AL460" s="45"/>
      <c r="AM460" s="45"/>
      <c r="AN460" s="45"/>
      <c r="AO460" s="45"/>
      <c r="AP460" s="51"/>
    </row>
    <row r="461" spans="1:42" ht="21" customHeight="1" thickTop="1" thickBot="1" x14ac:dyDescent="0.35">
      <c r="A461" s="63"/>
      <c r="B461" s="66"/>
      <c r="C461" s="53">
        <v>8</v>
      </c>
      <c r="D461" s="45">
        <v>550.37999999999977</v>
      </c>
      <c r="E461" s="45"/>
      <c r="F461" s="45"/>
      <c r="G461" s="45"/>
      <c r="H461" s="45"/>
      <c r="I461" s="45"/>
      <c r="J461" s="51"/>
      <c r="K461" s="53">
        <v>8</v>
      </c>
      <c r="L461" s="45">
        <v>549.17999999999984</v>
      </c>
      <c r="M461" s="45"/>
      <c r="N461" s="45"/>
      <c r="O461" s="45"/>
      <c r="P461" s="45"/>
      <c r="Q461" s="45"/>
      <c r="R461" s="51"/>
      <c r="S461" s="53">
        <v>8</v>
      </c>
      <c r="T461" s="45">
        <v>551.73999999999978</v>
      </c>
      <c r="U461" s="45"/>
      <c r="V461" s="45"/>
      <c r="W461" s="45"/>
      <c r="X461" s="45"/>
      <c r="Y461" s="45"/>
      <c r="Z461" s="51"/>
      <c r="AA461" s="53">
        <v>8</v>
      </c>
      <c r="AB461" s="45">
        <v>548.76999999999975</v>
      </c>
      <c r="AC461" s="45"/>
      <c r="AD461" s="45"/>
      <c r="AE461" s="45"/>
      <c r="AF461" s="45"/>
      <c r="AG461" s="45"/>
      <c r="AH461" s="51"/>
      <c r="AI461" s="53">
        <v>8</v>
      </c>
      <c r="AJ461" s="45">
        <v>548.16</v>
      </c>
      <c r="AK461" s="45"/>
      <c r="AL461" s="45"/>
      <c r="AM461" s="45"/>
      <c r="AN461" s="45"/>
      <c r="AO461" s="45"/>
      <c r="AP461" s="51"/>
    </row>
    <row r="462" spans="1:42" ht="21" customHeight="1" thickTop="1" thickBot="1" x14ac:dyDescent="0.35">
      <c r="A462" s="63"/>
      <c r="B462" s="66"/>
      <c r="C462" s="53">
        <v>9</v>
      </c>
      <c r="D462" s="45">
        <v>549.00999999999976</v>
      </c>
      <c r="E462" s="45"/>
      <c r="F462" s="45"/>
      <c r="G462" s="45"/>
      <c r="H462" s="45"/>
      <c r="I462" s="45"/>
      <c r="J462" s="51"/>
      <c r="K462" s="53">
        <v>9</v>
      </c>
      <c r="L462" s="45">
        <v>549.87999999999977</v>
      </c>
      <c r="M462" s="45"/>
      <c r="N462" s="45"/>
      <c r="O462" s="45"/>
      <c r="P462" s="45"/>
      <c r="Q462" s="45"/>
      <c r="R462" s="51"/>
      <c r="S462" s="53">
        <v>9</v>
      </c>
      <c r="T462" s="45">
        <v>548.31999999999971</v>
      </c>
      <c r="U462" s="45"/>
      <c r="V462" s="45"/>
      <c r="W462" s="45"/>
      <c r="X462" s="45"/>
      <c r="Y462" s="45"/>
      <c r="Z462" s="51"/>
      <c r="AA462" s="53">
        <v>9</v>
      </c>
      <c r="AB462" s="45">
        <v>551.94999999999982</v>
      </c>
      <c r="AC462" s="45"/>
      <c r="AD462" s="45"/>
      <c r="AE462" s="45"/>
      <c r="AF462" s="45"/>
      <c r="AG462" s="45"/>
      <c r="AH462" s="51"/>
      <c r="AI462" s="53">
        <v>9</v>
      </c>
      <c r="AJ462" s="45">
        <v>548.24999999999989</v>
      </c>
      <c r="AK462" s="45"/>
      <c r="AL462" s="45"/>
      <c r="AM462" s="45"/>
      <c r="AN462" s="45"/>
      <c r="AO462" s="45"/>
      <c r="AP462" s="51"/>
    </row>
    <row r="463" spans="1:42" ht="21" customHeight="1" thickTop="1" thickBot="1" x14ac:dyDescent="0.35">
      <c r="A463" s="63"/>
      <c r="B463" s="66"/>
      <c r="C463" s="53">
        <v>10</v>
      </c>
      <c r="D463" s="45">
        <v>550.13999999999976</v>
      </c>
      <c r="E463" s="45"/>
      <c r="F463" s="45"/>
      <c r="G463" s="45"/>
      <c r="H463" s="45"/>
      <c r="I463" s="45"/>
      <c r="J463" s="51"/>
      <c r="K463" s="53">
        <v>10</v>
      </c>
      <c r="L463" s="45">
        <v>550.0899999999998</v>
      </c>
      <c r="M463" s="45"/>
      <c r="N463" s="45"/>
      <c r="O463" s="45"/>
      <c r="P463" s="45"/>
      <c r="Q463" s="45"/>
      <c r="R463" s="51"/>
      <c r="S463" s="53">
        <v>10</v>
      </c>
      <c r="T463" s="45">
        <v>549.72999999999979</v>
      </c>
      <c r="U463" s="45"/>
      <c r="V463" s="45"/>
      <c r="W463" s="45"/>
      <c r="X463" s="45"/>
      <c r="Y463" s="45"/>
      <c r="Z463" s="51"/>
      <c r="AA463" s="53">
        <v>10</v>
      </c>
      <c r="AB463" s="45">
        <v>548.4699999999998</v>
      </c>
      <c r="AC463" s="45"/>
      <c r="AD463" s="45"/>
      <c r="AE463" s="45"/>
      <c r="AF463" s="45"/>
      <c r="AG463" s="45"/>
      <c r="AH463" s="51"/>
      <c r="AI463" s="53">
        <v>10</v>
      </c>
      <c r="AJ463" s="45">
        <v>548.87</v>
      </c>
      <c r="AK463" s="45"/>
      <c r="AL463" s="45"/>
      <c r="AM463" s="45"/>
      <c r="AN463" s="45"/>
      <c r="AO463" s="45"/>
      <c r="AP463" s="51"/>
    </row>
    <row r="464" spans="1:42" ht="21" customHeight="1" thickTop="1" thickBot="1" x14ac:dyDescent="0.35">
      <c r="A464" s="63"/>
      <c r="B464" s="66"/>
      <c r="C464" s="53"/>
      <c r="D464" s="45"/>
      <c r="E464" s="45"/>
      <c r="F464" s="45"/>
      <c r="G464" s="45"/>
      <c r="H464" s="45"/>
      <c r="I464" s="45"/>
      <c r="J464" s="51"/>
      <c r="K464" s="53"/>
      <c r="L464" s="45"/>
      <c r="M464" s="45"/>
      <c r="N464" s="45"/>
      <c r="O464" s="45"/>
      <c r="P464" s="45"/>
      <c r="Q464" s="45"/>
      <c r="R464" s="51"/>
      <c r="S464" s="53"/>
      <c r="T464" s="45"/>
      <c r="U464" s="45"/>
      <c r="V464" s="45"/>
      <c r="W464" s="45"/>
      <c r="X464" s="45"/>
      <c r="Y464" s="45"/>
      <c r="Z464" s="51"/>
      <c r="AA464" s="53"/>
      <c r="AB464" s="45"/>
      <c r="AC464" s="45"/>
      <c r="AD464" s="45"/>
      <c r="AE464" s="45"/>
      <c r="AF464" s="45"/>
      <c r="AG464" s="45"/>
      <c r="AH464" s="51"/>
      <c r="AI464" s="53"/>
      <c r="AJ464" s="45"/>
      <c r="AK464" s="45"/>
      <c r="AL464" s="45"/>
      <c r="AM464" s="45"/>
      <c r="AN464" s="45"/>
      <c r="AO464" s="45"/>
      <c r="AP464" s="51"/>
    </row>
    <row r="465" spans="1:42" ht="21" customHeight="1" thickTop="1" thickBot="1" x14ac:dyDescent="0.35">
      <c r="A465" s="63"/>
      <c r="B465" s="66"/>
      <c r="C465" s="54" t="s">
        <v>16</v>
      </c>
      <c r="D465" s="49">
        <f>MIN(D454:D463)</f>
        <v>548.31999999999982</v>
      </c>
      <c r="E465" s="45"/>
      <c r="F465" s="55" t="s">
        <v>17</v>
      </c>
      <c r="G465" s="49" t="s">
        <v>18</v>
      </c>
      <c r="H465" s="49" t="s">
        <v>19</v>
      </c>
      <c r="I465" s="45"/>
      <c r="J465" s="51"/>
      <c r="K465" s="54" t="s">
        <v>16</v>
      </c>
      <c r="L465" s="49">
        <f>MIN(L454:L463)</f>
        <v>548.97999999999979</v>
      </c>
      <c r="M465" s="45"/>
      <c r="N465" s="55" t="s">
        <v>17</v>
      </c>
      <c r="O465" s="49" t="s">
        <v>18</v>
      </c>
      <c r="P465" s="49" t="s">
        <v>19</v>
      </c>
      <c r="Q465" s="45"/>
      <c r="R465" s="51"/>
      <c r="S465" s="54" t="s">
        <v>16</v>
      </c>
      <c r="T465" s="49">
        <f>MIN(T454:T463)</f>
        <v>548.31999999999971</v>
      </c>
      <c r="U465" s="45"/>
      <c r="V465" s="55" t="s">
        <v>17</v>
      </c>
      <c r="W465" s="49" t="s">
        <v>18</v>
      </c>
      <c r="X465" s="49" t="s">
        <v>19</v>
      </c>
      <c r="Y465" s="45"/>
      <c r="Z465" s="51"/>
      <c r="AA465" s="54" t="s">
        <v>16</v>
      </c>
      <c r="AB465" s="49">
        <f>MIN(AB454:AB463)</f>
        <v>548.35999999999979</v>
      </c>
      <c r="AC465" s="45"/>
      <c r="AD465" s="55" t="s">
        <v>17</v>
      </c>
      <c r="AE465" s="49" t="s">
        <v>18</v>
      </c>
      <c r="AF465" s="49" t="s">
        <v>19</v>
      </c>
      <c r="AG465" s="45"/>
      <c r="AH465" s="51"/>
      <c r="AI465" s="54" t="s">
        <v>16</v>
      </c>
      <c r="AJ465" s="49">
        <f>MIN(AJ454:AJ463)</f>
        <v>548.16</v>
      </c>
      <c r="AK465" s="45"/>
      <c r="AL465" s="55" t="s">
        <v>17</v>
      </c>
      <c r="AM465" s="49" t="s">
        <v>18</v>
      </c>
      <c r="AN465" s="49" t="s">
        <v>19</v>
      </c>
      <c r="AO465" s="45"/>
      <c r="AP465" s="51"/>
    </row>
    <row r="466" spans="1:42" ht="21" customHeight="1" thickTop="1" thickBot="1" x14ac:dyDescent="0.35">
      <c r="A466" s="63"/>
      <c r="B466" s="66"/>
      <c r="C466" s="54" t="s">
        <v>20</v>
      </c>
      <c r="D466" s="48">
        <f>AVERAGE(D454:D463)</f>
        <v>549.61899999999969</v>
      </c>
      <c r="E466" s="47"/>
      <c r="F466" s="48">
        <f>_xlfn.STDEV.S(D454:D463) / AVERAGE(D454:D463) * 100%</f>
        <v>1.197010760708768E-3</v>
      </c>
      <c r="G466" s="48">
        <f t="array" ref="G466">MIN((D454:D463 - MIN(D454:D463,L454:L463,T454:T463,AB454:AB463,AJ454:AJ463))/MIN(D454:D463,L454:L463,T454:T463,AB454:AB463,AJ454:AJ463)*100%)</f>
        <v>2.9188558085204043E-4</v>
      </c>
      <c r="H466" s="48">
        <f t="array" ref="H466">AVERAGE((D454:D463 - MIN(D454:D463,L454:L463,T454:T463,AB454:AB463,AJ454:AJ463))/MIN(D454:D463,L454:L463,T454:T463,AB454:AB463,AJ454:AJ463)*100%)</f>
        <v>2.6616316403965763E-3</v>
      </c>
      <c r="I466" s="45"/>
      <c r="J466" s="51"/>
      <c r="K466" s="54" t="s">
        <v>20</v>
      </c>
      <c r="L466" s="48">
        <f>AVERAGE(L454:L463)</f>
        <v>549.6579999999999</v>
      </c>
      <c r="M466" s="47"/>
      <c r="N466" s="48">
        <f>_xlfn.STDEV.S(L454:L463) / AVERAGE(L454:L463) * 100%</f>
        <v>6.9710270808787914E-4</v>
      </c>
      <c r="O466" s="48">
        <f t="array" ref="O466">MIN((L454:L463 - MIN(D454:D463,L454:L463,T454:T463,AB454:AB463,AJ454:AJ463))/MIN(D454:D463,L454:L463,T454:T463,AB454:AB463,AJ454:AJ463)*100%)</f>
        <v>1.4959136018677442E-3</v>
      </c>
      <c r="P466" s="48">
        <f t="array" ref="P466">AVERAGE((L454:L463 - MIN(D454:D463,L454:L463,T454:T463,AB454:AB463,AJ454:AJ463))/MIN(D454:D463,L454:L463,T454:T463,AB454:AB463,AJ454:AJ463)*100%)</f>
        <v>2.7327787507293857E-3</v>
      </c>
      <c r="Q466" s="44"/>
      <c r="R466" s="51"/>
      <c r="S466" s="54" t="s">
        <v>20</v>
      </c>
      <c r="T466" s="48">
        <f>AVERAGE(T454:T463)</f>
        <v>550.41799999999978</v>
      </c>
      <c r="U466" s="47"/>
      <c r="V466" s="48">
        <f>_xlfn.STDEV.S(T454:T463) / AVERAGE(T454:T463) * 100%</f>
        <v>2.1067024860790136E-3</v>
      </c>
      <c r="W466" s="48">
        <f t="array" ref="W466">MIN((T454:T463 - MIN(D454:D463,L454:L463,T454:T463,AB454:AB463,AJ454:AJ463))/MIN(D454:D463,L454:L463,T454:T463,AB454:AB463,AJ454:AJ463)*100%)</f>
        <v>2.9188558085183302E-4</v>
      </c>
      <c r="X466" s="48">
        <f t="array" ref="X466">AVERAGE((T454:T463 - MIN(D454:D463,L454:L463,T454:T463,AB454:AB463,AJ454:AJ463))/MIN(D454:D463,L454:L463,T454:T463,AB454:AB463,AJ454:AJ463)*100%)</f>
        <v>4.1192352597778223E-3</v>
      </c>
      <c r="Y466" s="44"/>
      <c r="Z466" s="51"/>
      <c r="AA466" s="54" t="s">
        <v>20</v>
      </c>
      <c r="AB466" s="48">
        <f>AVERAGE(AB454:AB463)</f>
        <v>549.55699999999979</v>
      </c>
      <c r="AC466" s="47"/>
      <c r="AD466" s="48">
        <f>_xlfn.STDEV.S(AB454:AB463) / AVERAGE(AB454:AB463) * 100%</f>
        <v>1.9246455538296195E-3</v>
      </c>
      <c r="AE466" s="48">
        <f t="array" ref="AE466">MIN((AB454:AB463 - MIN(D454:D463,L454:L463,T454:T463,AB454:AB463,AJ454:AJ463))/MIN(D454:D463,L454:L463,T454:T463,AB454:AB463,AJ454:AJ463)*100%)</f>
        <v>3.6485697606505055E-4</v>
      </c>
      <c r="AF466" s="48">
        <f t="array" ref="AF466">AVERAGE((AB454:AB463 - MIN(D454:D463,L454:L463,T454:T463,AB454:AB463,AJ454:AJ463))/MIN(D454:D463,L454:L463,T454:T463,AB454:AB463,AJ454:AJ463)*100%)</f>
        <v>2.5485259778163273E-3</v>
      </c>
      <c r="AG466" s="44"/>
      <c r="AH466" s="51"/>
      <c r="AI466" s="54" t="s">
        <v>20</v>
      </c>
      <c r="AJ466" s="48">
        <f>AVERAGE(AJ454:AJ463)</f>
        <v>548.53099999999995</v>
      </c>
      <c r="AK466" s="47"/>
      <c r="AL466" s="48">
        <f>_xlfn.STDEV.S(AJ454:AJ463) / AVERAGE(AJ454:AJ463) * 100%</f>
        <v>5.332714222169297E-4</v>
      </c>
      <c r="AM466" s="48">
        <f t="array" ref="AM466">MIN((AJ454:AJ463 - MIN(D454:D463,L454:L463,T454:T463,AB454:AB463,AJ454:AJ463))/MIN(D454:D463,L454:L463,T454:T463,AB454:AB463,AJ454:AJ463)*100%)</f>
        <v>0</v>
      </c>
      <c r="AN466" s="48">
        <f t="array" ref="AN466">AVERAGE((AJ454:AJ463 - MIN(D454:D463,L454:L463,T454:T463,AB454:AB463,AJ454:AJ463))/MIN(D454:D463,L454:L463,T454:T463,AB454:AB463,AJ454:AJ463)*100%)</f>
        <v>6.7680969060122866E-4</v>
      </c>
      <c r="AO466" s="44"/>
      <c r="AP466" s="51"/>
    </row>
    <row r="467" spans="1:42" ht="21" customHeight="1" thickTop="1" thickBot="1" x14ac:dyDescent="0.35">
      <c r="A467" s="63"/>
      <c r="B467" s="67"/>
      <c r="C467" s="53"/>
      <c r="D467" s="44"/>
      <c r="E467" s="44"/>
      <c r="F467" s="44"/>
      <c r="G467" s="44"/>
      <c r="H467" s="44"/>
      <c r="I467" s="44"/>
      <c r="J467" s="51"/>
      <c r="K467" s="53"/>
      <c r="L467" s="44"/>
      <c r="M467" s="44"/>
      <c r="N467" s="44"/>
      <c r="O467" s="44"/>
      <c r="P467" s="44"/>
      <c r="Q467" s="44"/>
      <c r="R467" s="51"/>
      <c r="S467" s="53"/>
      <c r="T467" s="44"/>
      <c r="U467" s="44"/>
      <c r="V467" s="44"/>
      <c r="W467" s="44"/>
      <c r="X467" s="44"/>
      <c r="Y467" s="44"/>
      <c r="Z467" s="51"/>
      <c r="AA467" s="53"/>
      <c r="AB467" s="44"/>
      <c r="AC467" s="44"/>
      <c r="AD467" s="44"/>
      <c r="AE467" s="44"/>
      <c r="AF467" s="44"/>
      <c r="AG467" s="44"/>
      <c r="AH467" s="51"/>
      <c r="AI467" s="53"/>
      <c r="AJ467" s="44"/>
      <c r="AK467" s="44"/>
      <c r="AL467" s="44"/>
      <c r="AM467" s="44"/>
      <c r="AN467" s="44"/>
      <c r="AO467" s="44"/>
      <c r="AP467" s="51"/>
    </row>
    <row r="468" spans="1:42" ht="21" customHeight="1" thickTop="1" thickBot="1" x14ac:dyDescent="0.35">
      <c r="A468" s="63"/>
      <c r="B468" s="65" t="s">
        <v>137</v>
      </c>
      <c r="C468" s="59" t="s">
        <v>8</v>
      </c>
      <c r="D468" s="46" t="s">
        <v>9</v>
      </c>
      <c r="E468" s="46" t="s">
        <v>10</v>
      </c>
      <c r="F468" s="46" t="s">
        <v>11</v>
      </c>
      <c r="G468" s="46" t="s">
        <v>12</v>
      </c>
      <c r="H468" s="46" t="s">
        <v>13</v>
      </c>
      <c r="I468" s="46" t="s">
        <v>14</v>
      </c>
      <c r="J468" s="60" t="s">
        <v>15</v>
      </c>
      <c r="K468" s="59" t="s">
        <v>8</v>
      </c>
      <c r="L468" s="46" t="s">
        <v>9</v>
      </c>
      <c r="M468" s="46" t="s">
        <v>10</v>
      </c>
      <c r="N468" s="46" t="s">
        <v>11</v>
      </c>
      <c r="O468" s="46" t="s">
        <v>12</v>
      </c>
      <c r="P468" s="46" t="s">
        <v>13</v>
      </c>
      <c r="Q468" s="46" t="s">
        <v>14</v>
      </c>
      <c r="R468" s="60" t="s">
        <v>15</v>
      </c>
      <c r="S468" s="59" t="s">
        <v>8</v>
      </c>
      <c r="T468" s="46" t="s">
        <v>9</v>
      </c>
      <c r="U468" s="46" t="s">
        <v>10</v>
      </c>
      <c r="V468" s="46" t="s">
        <v>11</v>
      </c>
      <c r="W468" s="46" t="s">
        <v>12</v>
      </c>
      <c r="X468" s="46" t="s">
        <v>13</v>
      </c>
      <c r="Y468" s="46" t="s">
        <v>14</v>
      </c>
      <c r="Z468" s="60" t="s">
        <v>15</v>
      </c>
      <c r="AA468" s="59" t="s">
        <v>8</v>
      </c>
      <c r="AB468" s="46" t="s">
        <v>9</v>
      </c>
      <c r="AC468" s="46" t="s">
        <v>10</v>
      </c>
      <c r="AD468" s="46" t="s">
        <v>11</v>
      </c>
      <c r="AE468" s="46" t="s">
        <v>12</v>
      </c>
      <c r="AF468" s="46" t="s">
        <v>13</v>
      </c>
      <c r="AG468" s="46" t="s">
        <v>14</v>
      </c>
      <c r="AH468" s="60" t="s">
        <v>15</v>
      </c>
      <c r="AI468" s="59" t="s">
        <v>8</v>
      </c>
      <c r="AJ468" s="46" t="s">
        <v>9</v>
      </c>
      <c r="AK468" s="46" t="s">
        <v>10</v>
      </c>
      <c r="AL468" s="46" t="s">
        <v>11</v>
      </c>
      <c r="AM468" s="46" t="s">
        <v>12</v>
      </c>
      <c r="AN468" s="46" t="s">
        <v>13</v>
      </c>
      <c r="AO468" s="46" t="s">
        <v>14</v>
      </c>
      <c r="AP468" s="60" t="s">
        <v>15</v>
      </c>
    </row>
    <row r="469" spans="1:42" ht="21" customHeight="1" thickTop="1" thickBot="1" x14ac:dyDescent="0.35">
      <c r="A469" s="63"/>
      <c r="B469" s="66"/>
      <c r="C469" s="52">
        <v>1</v>
      </c>
      <c r="D469" s="44">
        <v>555.87999999999965</v>
      </c>
      <c r="E469" s="44"/>
      <c r="F469" s="44"/>
      <c r="G469" s="44"/>
      <c r="H469" s="44"/>
      <c r="I469" s="44"/>
      <c r="J469" s="51"/>
      <c r="K469" s="52">
        <v>1</v>
      </c>
      <c r="L469" s="44">
        <v>555.3499999999998</v>
      </c>
      <c r="M469" s="44"/>
      <c r="N469" s="44"/>
      <c r="O469" s="44"/>
      <c r="P469" s="44"/>
      <c r="Q469" s="44"/>
      <c r="R469" s="51"/>
      <c r="S469" s="52">
        <v>1</v>
      </c>
      <c r="T469" s="44">
        <v>555.78</v>
      </c>
      <c r="U469" s="44"/>
      <c r="V469" s="44"/>
      <c r="W469" s="44"/>
      <c r="X469" s="44"/>
      <c r="Y469" s="44"/>
      <c r="Z469" s="51"/>
      <c r="AA469" s="52">
        <v>1</v>
      </c>
      <c r="AB469" s="44">
        <v>556.92999999999984</v>
      </c>
      <c r="AC469" s="44"/>
      <c r="AD469" s="44"/>
      <c r="AE469" s="44"/>
      <c r="AF469" s="44"/>
      <c r="AG469" s="44"/>
      <c r="AH469" s="51"/>
      <c r="AI469" s="52">
        <v>1</v>
      </c>
      <c r="AJ469" s="44">
        <v>555.15</v>
      </c>
      <c r="AK469" s="44"/>
      <c r="AL469" s="44"/>
      <c r="AM469" s="44"/>
      <c r="AN469" s="44"/>
      <c r="AO469" s="44"/>
      <c r="AP469" s="51"/>
    </row>
    <row r="470" spans="1:42" ht="21" customHeight="1" thickTop="1" thickBot="1" x14ac:dyDescent="0.35">
      <c r="A470" s="63"/>
      <c r="B470" s="66"/>
      <c r="C470" s="53">
        <v>2</v>
      </c>
      <c r="D470" s="45">
        <v>555.56999999999982</v>
      </c>
      <c r="E470" s="45"/>
      <c r="F470" s="45"/>
      <c r="G470" s="45"/>
      <c r="H470" s="45"/>
      <c r="I470" s="45"/>
      <c r="J470" s="51"/>
      <c r="K470" s="53">
        <v>2</v>
      </c>
      <c r="L470" s="45">
        <v>556.06999999999994</v>
      </c>
      <c r="M470" s="45"/>
      <c r="N470" s="45"/>
      <c r="O470" s="45"/>
      <c r="P470" s="45"/>
      <c r="Q470" s="45"/>
      <c r="R470" s="51"/>
      <c r="S470" s="53">
        <v>2</v>
      </c>
      <c r="T470" s="45">
        <v>557.11999999999978</v>
      </c>
      <c r="U470" s="45"/>
      <c r="V470" s="45"/>
      <c r="W470" s="45"/>
      <c r="X470" s="45"/>
      <c r="Y470" s="45"/>
      <c r="Z470" s="51"/>
      <c r="AA470" s="53">
        <v>2</v>
      </c>
      <c r="AB470" s="45">
        <v>554.91999999999996</v>
      </c>
      <c r="AC470" s="45"/>
      <c r="AD470" s="45"/>
      <c r="AE470" s="45"/>
      <c r="AF470" s="45"/>
      <c r="AG470" s="45"/>
      <c r="AH470" s="51"/>
      <c r="AI470" s="53">
        <v>2</v>
      </c>
      <c r="AJ470" s="45">
        <v>555.4799999999999</v>
      </c>
      <c r="AK470" s="45"/>
      <c r="AL470" s="45"/>
      <c r="AM470" s="45"/>
      <c r="AN470" s="45"/>
      <c r="AO470" s="45"/>
      <c r="AP470" s="51"/>
    </row>
    <row r="471" spans="1:42" ht="21" customHeight="1" thickTop="1" thickBot="1" x14ac:dyDescent="0.35">
      <c r="A471" s="63"/>
      <c r="B471" s="66"/>
      <c r="C471" s="53">
        <v>3</v>
      </c>
      <c r="D471" s="45">
        <v>556.16999999999985</v>
      </c>
      <c r="E471" s="45"/>
      <c r="F471" s="45"/>
      <c r="G471" s="44"/>
      <c r="H471" s="44"/>
      <c r="I471" s="44"/>
      <c r="J471" s="51"/>
      <c r="K471" s="53">
        <v>3</v>
      </c>
      <c r="L471" s="45">
        <v>555.5999999999998</v>
      </c>
      <c r="M471" s="45"/>
      <c r="N471" s="45"/>
      <c r="O471" s="44"/>
      <c r="P471" s="44"/>
      <c r="Q471" s="44"/>
      <c r="R471" s="51"/>
      <c r="S471" s="53">
        <v>3</v>
      </c>
      <c r="T471" s="45">
        <v>556.88999999999976</v>
      </c>
      <c r="U471" s="45"/>
      <c r="V471" s="45"/>
      <c r="W471" s="44"/>
      <c r="X471" s="44"/>
      <c r="Y471" s="44"/>
      <c r="Z471" s="51"/>
      <c r="AA471" s="53">
        <v>3</v>
      </c>
      <c r="AB471" s="45">
        <v>555.35999999999979</v>
      </c>
      <c r="AC471" s="45"/>
      <c r="AD471" s="45"/>
      <c r="AE471" s="44"/>
      <c r="AF471" s="44"/>
      <c r="AG471" s="44"/>
      <c r="AH471" s="51"/>
      <c r="AI471" s="53">
        <v>3</v>
      </c>
      <c r="AJ471" s="45">
        <v>554.75999999999988</v>
      </c>
      <c r="AK471" s="45"/>
      <c r="AL471" s="45"/>
      <c r="AM471" s="44"/>
      <c r="AN471" s="44"/>
      <c r="AO471" s="44"/>
      <c r="AP471" s="51"/>
    </row>
    <row r="472" spans="1:42" ht="21" customHeight="1" thickTop="1" thickBot="1" x14ac:dyDescent="0.35">
      <c r="A472" s="63"/>
      <c r="B472" s="66"/>
      <c r="C472" s="53">
        <v>4</v>
      </c>
      <c r="D472" s="45">
        <v>555.14999999999986</v>
      </c>
      <c r="E472" s="45"/>
      <c r="F472" s="45"/>
      <c r="G472" s="45"/>
      <c r="H472" s="45"/>
      <c r="I472" s="45"/>
      <c r="J472" s="51"/>
      <c r="K472" s="53">
        <v>4</v>
      </c>
      <c r="L472" s="45">
        <v>555.48999999999978</v>
      </c>
      <c r="M472" s="45"/>
      <c r="N472" s="45"/>
      <c r="O472" s="45"/>
      <c r="P472" s="45"/>
      <c r="Q472" s="45"/>
      <c r="R472" s="51"/>
      <c r="S472" s="53">
        <v>4</v>
      </c>
      <c r="T472" s="45">
        <v>557.04999999999984</v>
      </c>
      <c r="U472" s="45"/>
      <c r="V472" s="45"/>
      <c r="W472" s="45"/>
      <c r="X472" s="45"/>
      <c r="Y472" s="45"/>
      <c r="Z472" s="51"/>
      <c r="AA472" s="53">
        <v>4</v>
      </c>
      <c r="AB472" s="45">
        <v>555.11999999999978</v>
      </c>
      <c r="AC472" s="45"/>
      <c r="AD472" s="45"/>
      <c r="AE472" s="45"/>
      <c r="AF472" s="45"/>
      <c r="AG472" s="45"/>
      <c r="AH472" s="51"/>
      <c r="AI472" s="53">
        <v>4</v>
      </c>
      <c r="AJ472" s="45">
        <v>555.03</v>
      </c>
      <c r="AK472" s="45"/>
      <c r="AL472" s="45"/>
      <c r="AM472" s="45"/>
      <c r="AN472" s="45"/>
      <c r="AO472" s="45"/>
      <c r="AP472" s="51"/>
    </row>
    <row r="473" spans="1:42" ht="21" customHeight="1" thickTop="1" thickBot="1" x14ac:dyDescent="0.35">
      <c r="A473" s="63"/>
      <c r="B473" s="66"/>
      <c r="C473" s="53">
        <v>5</v>
      </c>
      <c r="D473" s="45">
        <v>554.13999999999965</v>
      </c>
      <c r="E473" s="45"/>
      <c r="F473" s="45"/>
      <c r="G473" s="45"/>
      <c r="H473" s="45"/>
      <c r="I473" s="45"/>
      <c r="J473" s="51"/>
      <c r="K473" s="53">
        <v>5</v>
      </c>
      <c r="L473" s="45">
        <v>555.36999999999978</v>
      </c>
      <c r="M473" s="45"/>
      <c r="N473" s="45"/>
      <c r="O473" s="45"/>
      <c r="P473" s="45"/>
      <c r="Q473" s="45"/>
      <c r="R473" s="51"/>
      <c r="S473" s="53">
        <v>5</v>
      </c>
      <c r="T473" s="45">
        <v>557.27999999999986</v>
      </c>
      <c r="U473" s="45"/>
      <c r="V473" s="45"/>
      <c r="W473" s="45"/>
      <c r="X473" s="45"/>
      <c r="Y473" s="45"/>
      <c r="Z473" s="51"/>
      <c r="AA473" s="53">
        <v>5</v>
      </c>
      <c r="AB473" s="45">
        <v>556.25999999999976</v>
      </c>
      <c r="AC473" s="45"/>
      <c r="AD473" s="45"/>
      <c r="AE473" s="45"/>
      <c r="AF473" s="45"/>
      <c r="AG473" s="45"/>
      <c r="AH473" s="51"/>
      <c r="AI473" s="53">
        <v>5</v>
      </c>
      <c r="AJ473" s="45">
        <v>554.51999999999987</v>
      </c>
      <c r="AK473" s="45"/>
      <c r="AL473" s="45"/>
      <c r="AM473" s="45"/>
      <c r="AN473" s="45"/>
      <c r="AO473" s="45"/>
      <c r="AP473" s="51"/>
    </row>
    <row r="474" spans="1:42" ht="21" customHeight="1" thickTop="1" thickBot="1" x14ac:dyDescent="0.35">
      <c r="A474" s="63"/>
      <c r="B474" s="66"/>
      <c r="C474" s="53">
        <v>6</v>
      </c>
      <c r="D474" s="45">
        <v>554.99999999999977</v>
      </c>
      <c r="E474" s="45"/>
      <c r="F474" s="45"/>
      <c r="G474" s="45"/>
      <c r="H474" s="45"/>
      <c r="I474" s="45"/>
      <c r="J474" s="51"/>
      <c r="K474" s="53">
        <v>6</v>
      </c>
      <c r="L474" s="45">
        <v>555.29999999999984</v>
      </c>
      <c r="M474" s="45"/>
      <c r="N474" s="45"/>
      <c r="O474" s="45"/>
      <c r="P474" s="45"/>
      <c r="Q474" s="45"/>
      <c r="R474" s="51"/>
      <c r="S474" s="53">
        <v>6</v>
      </c>
      <c r="T474" s="45">
        <v>555.77</v>
      </c>
      <c r="U474" s="45"/>
      <c r="V474" s="45"/>
      <c r="W474" s="45"/>
      <c r="X474" s="45"/>
      <c r="Y474" s="45"/>
      <c r="Z474" s="51"/>
      <c r="AA474" s="53">
        <v>6</v>
      </c>
      <c r="AB474" s="45">
        <v>554.69999999999982</v>
      </c>
      <c r="AC474" s="45"/>
      <c r="AD474" s="45"/>
      <c r="AE474" s="45"/>
      <c r="AF474" s="45"/>
      <c r="AG474" s="45"/>
      <c r="AH474" s="51"/>
      <c r="AI474" s="53">
        <v>6</v>
      </c>
      <c r="AJ474" s="45">
        <v>555.15</v>
      </c>
      <c r="AK474" s="45"/>
      <c r="AL474" s="45"/>
      <c r="AM474" s="45"/>
      <c r="AN474" s="45"/>
      <c r="AO474" s="45"/>
      <c r="AP474" s="51"/>
    </row>
    <row r="475" spans="1:42" ht="21" customHeight="1" thickTop="1" thickBot="1" x14ac:dyDescent="0.35">
      <c r="A475" s="63"/>
      <c r="B475" s="66"/>
      <c r="C475" s="53">
        <v>7</v>
      </c>
      <c r="D475" s="45">
        <v>554.73999999999978</v>
      </c>
      <c r="E475" s="45"/>
      <c r="F475" s="45"/>
      <c r="G475" s="45"/>
      <c r="H475" s="45"/>
      <c r="I475" s="45"/>
      <c r="J475" s="51"/>
      <c r="K475" s="53">
        <v>7</v>
      </c>
      <c r="L475" s="45">
        <v>555.05999999999972</v>
      </c>
      <c r="M475" s="45"/>
      <c r="N475" s="45"/>
      <c r="O475" s="45"/>
      <c r="P475" s="45"/>
      <c r="Q475" s="45"/>
      <c r="R475" s="51"/>
      <c r="S475" s="53">
        <v>7</v>
      </c>
      <c r="T475" s="45">
        <v>555.14999999999986</v>
      </c>
      <c r="U475" s="45"/>
      <c r="V475" s="45"/>
      <c r="W475" s="45"/>
      <c r="X475" s="45"/>
      <c r="Y475" s="45"/>
      <c r="Z475" s="51"/>
      <c r="AA475" s="53">
        <v>7</v>
      </c>
      <c r="AB475" s="45">
        <v>555.1099999999999</v>
      </c>
      <c r="AC475" s="45"/>
      <c r="AD475" s="45"/>
      <c r="AE475" s="45"/>
      <c r="AF475" s="45"/>
      <c r="AG475" s="45"/>
      <c r="AH475" s="51"/>
      <c r="AI475" s="53">
        <v>7</v>
      </c>
      <c r="AJ475" s="45">
        <v>555.15</v>
      </c>
      <c r="AK475" s="45"/>
      <c r="AL475" s="45"/>
      <c r="AM475" s="45"/>
      <c r="AN475" s="45"/>
      <c r="AO475" s="45"/>
      <c r="AP475" s="51"/>
    </row>
    <row r="476" spans="1:42" ht="21" customHeight="1" thickTop="1" thickBot="1" x14ac:dyDescent="0.35">
      <c r="A476" s="63"/>
      <c r="B476" s="66"/>
      <c r="C476" s="53">
        <v>8</v>
      </c>
      <c r="D476" s="45">
        <v>554.99999999999977</v>
      </c>
      <c r="E476" s="45"/>
      <c r="F476" s="45"/>
      <c r="G476" s="45"/>
      <c r="H476" s="45"/>
      <c r="I476" s="45"/>
      <c r="J476" s="51"/>
      <c r="K476" s="53">
        <v>8</v>
      </c>
      <c r="L476" s="45">
        <v>555.04999999999984</v>
      </c>
      <c r="M476" s="45"/>
      <c r="N476" s="45"/>
      <c r="O476" s="45"/>
      <c r="P476" s="45"/>
      <c r="Q476" s="45"/>
      <c r="R476" s="51"/>
      <c r="S476" s="53">
        <v>8</v>
      </c>
      <c r="T476" s="45">
        <v>555.14999999999975</v>
      </c>
      <c r="U476" s="45"/>
      <c r="V476" s="45"/>
      <c r="W476" s="45"/>
      <c r="X476" s="45"/>
      <c r="Y476" s="45"/>
      <c r="Z476" s="51"/>
      <c r="AA476" s="53">
        <v>8</v>
      </c>
      <c r="AB476" s="45">
        <v>555.67999999999972</v>
      </c>
      <c r="AC476" s="45"/>
      <c r="AD476" s="45"/>
      <c r="AE476" s="45"/>
      <c r="AF476" s="45"/>
      <c r="AG476" s="45"/>
      <c r="AH476" s="51"/>
      <c r="AI476" s="53">
        <v>8</v>
      </c>
      <c r="AJ476" s="45">
        <v>555.15</v>
      </c>
      <c r="AK476" s="45"/>
      <c r="AL476" s="45"/>
      <c r="AM476" s="45"/>
      <c r="AN476" s="45"/>
      <c r="AO476" s="45"/>
      <c r="AP476" s="51"/>
    </row>
    <row r="477" spans="1:42" ht="21" customHeight="1" thickTop="1" thickBot="1" x14ac:dyDescent="0.35">
      <c r="A477" s="63"/>
      <c r="B477" s="66"/>
      <c r="C477" s="53">
        <v>9</v>
      </c>
      <c r="D477" s="45">
        <v>555.99999999999977</v>
      </c>
      <c r="E477" s="45"/>
      <c r="F477" s="45"/>
      <c r="G477" s="45"/>
      <c r="H477" s="45"/>
      <c r="I477" s="45"/>
      <c r="J477" s="51"/>
      <c r="K477" s="53">
        <v>9</v>
      </c>
      <c r="L477" s="45">
        <v>555.5899999999998</v>
      </c>
      <c r="M477" s="45"/>
      <c r="N477" s="45"/>
      <c r="O477" s="45"/>
      <c r="P477" s="45"/>
      <c r="Q477" s="45"/>
      <c r="R477" s="51"/>
      <c r="S477" s="53">
        <v>9</v>
      </c>
      <c r="T477" s="45">
        <v>556.87999999999988</v>
      </c>
      <c r="U477" s="45"/>
      <c r="V477" s="45"/>
      <c r="W477" s="45"/>
      <c r="X477" s="45"/>
      <c r="Y477" s="45"/>
      <c r="Z477" s="51"/>
      <c r="AA477" s="53">
        <v>9</v>
      </c>
      <c r="AB477" s="45">
        <v>554.45999999999981</v>
      </c>
      <c r="AC477" s="45"/>
      <c r="AD477" s="45"/>
      <c r="AE477" s="45"/>
      <c r="AF477" s="45"/>
      <c r="AG477" s="45"/>
      <c r="AH477" s="51"/>
      <c r="AI477" s="53">
        <v>9</v>
      </c>
      <c r="AJ477" s="45">
        <v>555.15</v>
      </c>
      <c r="AK477" s="45"/>
      <c r="AL477" s="45"/>
      <c r="AM477" s="45"/>
      <c r="AN477" s="45"/>
      <c r="AO477" s="45"/>
      <c r="AP477" s="51"/>
    </row>
    <row r="478" spans="1:42" ht="21" customHeight="1" thickTop="1" thickBot="1" x14ac:dyDescent="0.35">
      <c r="A478" s="63"/>
      <c r="B478" s="66"/>
      <c r="C478" s="53">
        <v>10</v>
      </c>
      <c r="D478" s="45">
        <v>555.34999999999968</v>
      </c>
      <c r="E478" s="45"/>
      <c r="F478" s="45"/>
      <c r="G478" s="45"/>
      <c r="H478" s="45"/>
      <c r="I478" s="45"/>
      <c r="J478" s="51"/>
      <c r="K478" s="53">
        <v>10</v>
      </c>
      <c r="L478" s="45">
        <v>555.31999999999982</v>
      </c>
      <c r="M478" s="45"/>
      <c r="N478" s="45"/>
      <c r="O478" s="45"/>
      <c r="P478" s="45"/>
      <c r="Q478" s="45"/>
      <c r="R478" s="51"/>
      <c r="S478" s="53">
        <v>10</v>
      </c>
      <c r="T478" s="45">
        <v>555.39999999999986</v>
      </c>
      <c r="U478" s="45"/>
      <c r="V478" s="45"/>
      <c r="W478" s="45"/>
      <c r="X478" s="45"/>
      <c r="Y478" s="45"/>
      <c r="Z478" s="51"/>
      <c r="AA478" s="53">
        <v>10</v>
      </c>
      <c r="AB478" s="45">
        <v>555.04999999999984</v>
      </c>
      <c r="AC478" s="45"/>
      <c r="AD478" s="45"/>
      <c r="AE478" s="45"/>
      <c r="AF478" s="45"/>
      <c r="AG478" s="45"/>
      <c r="AH478" s="51"/>
      <c r="AI478" s="53">
        <v>10</v>
      </c>
      <c r="AJ478" s="45">
        <v>555.41</v>
      </c>
      <c r="AK478" s="45"/>
      <c r="AL478" s="45"/>
      <c r="AM478" s="45"/>
      <c r="AN478" s="45"/>
      <c r="AO478" s="45"/>
      <c r="AP478" s="51"/>
    </row>
    <row r="479" spans="1:42" ht="21" customHeight="1" thickTop="1" thickBot="1" x14ac:dyDescent="0.35">
      <c r="A479" s="63"/>
      <c r="B479" s="66"/>
      <c r="C479" s="53"/>
      <c r="D479" s="45"/>
      <c r="E479" s="45"/>
      <c r="F479" s="45"/>
      <c r="G479" s="45"/>
      <c r="H479" s="45"/>
      <c r="I479" s="45"/>
      <c r="J479" s="51"/>
      <c r="K479" s="53"/>
      <c r="L479" s="45"/>
      <c r="M479" s="45"/>
      <c r="N479" s="45"/>
      <c r="O479" s="45"/>
      <c r="P479" s="45"/>
      <c r="Q479" s="45"/>
      <c r="R479" s="51"/>
      <c r="S479" s="53"/>
      <c r="T479" s="45"/>
      <c r="U479" s="45"/>
      <c r="V479" s="45"/>
      <c r="W479" s="45"/>
      <c r="X479" s="45"/>
      <c r="Y479" s="45"/>
      <c r="Z479" s="51"/>
      <c r="AA479" s="53"/>
      <c r="AB479" s="45"/>
      <c r="AC479" s="45"/>
      <c r="AD479" s="45"/>
      <c r="AE479" s="45"/>
      <c r="AF479" s="45"/>
      <c r="AG479" s="45"/>
      <c r="AH479" s="51"/>
      <c r="AI479" s="53"/>
      <c r="AJ479" s="45"/>
      <c r="AK479" s="45"/>
      <c r="AL479" s="45"/>
      <c r="AM479" s="45"/>
      <c r="AN479" s="45"/>
      <c r="AO479" s="45"/>
      <c r="AP479" s="51"/>
    </row>
    <row r="480" spans="1:42" ht="21" customHeight="1" thickTop="1" thickBot="1" x14ac:dyDescent="0.35">
      <c r="A480" s="63"/>
      <c r="B480" s="66"/>
      <c r="C480" s="54" t="s">
        <v>16</v>
      </c>
      <c r="D480" s="49">
        <f>MIN(D469:D478)</f>
        <v>554.13999999999965</v>
      </c>
      <c r="E480" s="45"/>
      <c r="F480" s="55" t="s">
        <v>17</v>
      </c>
      <c r="G480" s="49" t="s">
        <v>18</v>
      </c>
      <c r="H480" s="49" t="s">
        <v>19</v>
      </c>
      <c r="I480" s="45"/>
      <c r="J480" s="51"/>
      <c r="K480" s="54" t="s">
        <v>16</v>
      </c>
      <c r="L480" s="49">
        <f>MIN(L469:L478)</f>
        <v>555.04999999999984</v>
      </c>
      <c r="M480" s="45"/>
      <c r="N480" s="55" t="s">
        <v>17</v>
      </c>
      <c r="O480" s="49" t="s">
        <v>18</v>
      </c>
      <c r="P480" s="49" t="s">
        <v>19</v>
      </c>
      <c r="Q480" s="45"/>
      <c r="R480" s="51"/>
      <c r="S480" s="54" t="s">
        <v>16</v>
      </c>
      <c r="T480" s="49">
        <f>MIN(T469:T478)</f>
        <v>555.14999999999975</v>
      </c>
      <c r="U480" s="45"/>
      <c r="V480" s="55" t="s">
        <v>17</v>
      </c>
      <c r="W480" s="49" t="s">
        <v>18</v>
      </c>
      <c r="X480" s="49" t="s">
        <v>19</v>
      </c>
      <c r="Y480" s="45"/>
      <c r="Z480" s="51"/>
      <c r="AA480" s="54" t="s">
        <v>16</v>
      </c>
      <c r="AB480" s="49">
        <f>MIN(AB469:AB478)</f>
        <v>554.45999999999981</v>
      </c>
      <c r="AC480" s="45"/>
      <c r="AD480" s="55" t="s">
        <v>17</v>
      </c>
      <c r="AE480" s="49" t="s">
        <v>18</v>
      </c>
      <c r="AF480" s="49" t="s">
        <v>19</v>
      </c>
      <c r="AG480" s="45"/>
      <c r="AH480" s="51"/>
      <c r="AI480" s="54" t="s">
        <v>16</v>
      </c>
      <c r="AJ480" s="49">
        <f>MIN(AJ469:AJ478)</f>
        <v>554.51999999999987</v>
      </c>
      <c r="AK480" s="45"/>
      <c r="AL480" s="55" t="s">
        <v>17</v>
      </c>
      <c r="AM480" s="49" t="s">
        <v>18</v>
      </c>
      <c r="AN480" s="49" t="s">
        <v>19</v>
      </c>
      <c r="AO480" s="45"/>
      <c r="AP480" s="51"/>
    </row>
    <row r="481" spans="1:42" ht="21" customHeight="1" thickTop="1" thickBot="1" x14ac:dyDescent="0.35">
      <c r="A481" s="63"/>
      <c r="B481" s="66"/>
      <c r="C481" s="54" t="s">
        <v>20</v>
      </c>
      <c r="D481" s="48">
        <f>AVERAGE(D469:D478)</f>
        <v>555.29999999999984</v>
      </c>
      <c r="E481" s="47"/>
      <c r="F481" s="48">
        <f>_xlfn.STDEV.S(D469:D478) / AVERAGE(D469:D478) * 100%</f>
        <v>1.126281830397607E-3</v>
      </c>
      <c r="G481" s="48">
        <f t="array" ref="G481">MIN((D469:D478 - MIN(D469:D478,L469:L478,T469:T478,AB469:AB478,AJ469:AJ478))/MIN(D469:D478,L469:L478,T469:T478,AB469:AB478,AJ469:AJ478)*100%)</f>
        <v>0</v>
      </c>
      <c r="H481" s="48">
        <f t="array" ref="H481">AVERAGE((D469:D478 - MIN(D469:D478,L469:L478,T469:T478,AB469:AB478,AJ469:AJ478))/MIN(D469:D478,L469:L478,T469:T478,AB469:AB478,AJ469:AJ478)*100%)</f>
        <v>2.0933338145597081E-3</v>
      </c>
      <c r="I481" s="45"/>
      <c r="J481" s="51"/>
      <c r="K481" s="54" t="s">
        <v>20</v>
      </c>
      <c r="L481" s="48">
        <f>AVERAGE(L469:L478)</f>
        <v>555.41999999999985</v>
      </c>
      <c r="M481" s="47"/>
      <c r="N481" s="48">
        <f>_xlfn.STDEV.S(L469:L478) / AVERAGE(L469:L478) * 100%</f>
        <v>5.3240803034867513E-4</v>
      </c>
      <c r="O481" s="48">
        <f t="array" ref="O481">MIN((L469:L478 - MIN(D469:D478,L469:L478,T469:T478,AB469:AB478,AJ469:AJ478))/MIN(D469:D478,L469:L478,T469:T478,AB469:AB478,AJ469:AJ478)*100%)</f>
        <v>1.6421842855599599E-3</v>
      </c>
      <c r="P481" s="48">
        <f t="array" ref="P481">AVERAGE((L469:L478 - MIN(D469:D478,L469:L478,T469:T478,AB469:AB478,AJ469:AJ478))/MIN(D469:D478,L469:L478,T469:T478,AB469:AB478,AJ469:AJ478)*100%)</f>
        <v>2.3098855884797465E-3</v>
      </c>
      <c r="Q481" s="44"/>
      <c r="R481" s="51"/>
      <c r="S481" s="54" t="s">
        <v>20</v>
      </c>
      <c r="T481" s="48">
        <f>AVERAGE(T469:T478)</f>
        <v>556.24699999999984</v>
      </c>
      <c r="U481" s="47"/>
      <c r="V481" s="48">
        <f>_xlfn.STDEV.S(T469:T478) / AVERAGE(T469:T478) * 100%</f>
        <v>1.5693149808279948E-3</v>
      </c>
      <c r="W481" s="48">
        <f t="array" ref="W481">MIN((T469:T478 - MIN(D469:D478,L469:L478,T469:T478,AB469:AB478,AJ469:AJ478))/MIN(D469:D478,L469:L478,T469:T478,AB469:AB478,AJ469:AJ478)*100%)</f>
        <v>1.8226440971597525E-3</v>
      </c>
      <c r="X481" s="48">
        <f t="array" ref="X481">AVERAGE((T469:T478 - MIN(D469:D478,L469:L478,T469:T478,AB469:AB478,AJ469:AJ478))/MIN(D469:D478,L469:L478,T469:T478,AB469:AB478,AJ469:AJ478)*100%)</f>
        <v>3.8022882304114677E-3</v>
      </c>
      <c r="Y481" s="44"/>
      <c r="Z481" s="51"/>
      <c r="AA481" s="54" t="s">
        <v>20</v>
      </c>
      <c r="AB481" s="48">
        <f>AVERAGE(AB469:AB478)</f>
        <v>555.35899999999981</v>
      </c>
      <c r="AC481" s="47"/>
      <c r="AD481" s="48">
        <f>_xlfn.STDEV.S(AB469:AB478) / AVERAGE(AB469:AB478) * 100%</f>
        <v>1.3464958551745079E-3</v>
      </c>
      <c r="AE481" s="48">
        <f t="array" ref="AE481">MIN((AB469:AB478 - MIN(D469:D478,L469:L478,T469:T478,AB469:AB478,AJ469:AJ478))/MIN(D469:D478,L469:L478,T469:T478,AB469:AB478,AJ469:AJ478)*100%)</f>
        <v>5.7747139712015715E-4</v>
      </c>
      <c r="AF481" s="48">
        <f t="array" ref="AF481">AVERAGE((AB469:AB478 - MIN(D469:D478,L469:L478,T469:T478,AB469:AB478,AJ469:AJ478))/MIN(D469:D478,L469:L478,T469:T478,AB469:AB478,AJ469:AJ478)*100%)</f>
        <v>2.1998051034037907E-3</v>
      </c>
      <c r="AG481" s="44"/>
      <c r="AH481" s="51"/>
      <c r="AI481" s="54" t="s">
        <v>20</v>
      </c>
      <c r="AJ481" s="48">
        <f>AVERAGE(AJ469:AJ478)</f>
        <v>555.09500000000003</v>
      </c>
      <c r="AK481" s="47"/>
      <c r="AL481" s="48">
        <f>_xlfn.STDEV.S(AJ469:AJ478) / AVERAGE(AJ469:AJ478) * 100%</f>
        <v>5.0586371997947269E-4</v>
      </c>
      <c r="AM481" s="48">
        <f t="array" ref="AM481">MIN((AJ469:AJ478 - MIN(D469:D478,L469:L478,T469:T478,AB469:AB478,AJ469:AJ478))/MIN(D469:D478,L469:L478,T469:T478,AB469:AB478,AJ469:AJ478)*100%)</f>
        <v>6.8574728408023796E-4</v>
      </c>
      <c r="AN481" s="48">
        <f t="array" ref="AN481">AVERAGE((AJ469:AJ478 - MIN(D469:D478,L469:L478,T469:T478,AB469:AB478,AJ469:AJ478))/MIN(D469:D478,L469:L478,T469:T478,AB469:AB478,AJ469:AJ478)*100%)</f>
        <v>1.7233912007801337E-3</v>
      </c>
      <c r="AO481" s="44"/>
      <c r="AP481" s="51"/>
    </row>
    <row r="482" spans="1:42" ht="21" customHeight="1" thickTop="1" thickBot="1" x14ac:dyDescent="0.35">
      <c r="A482" s="64"/>
      <c r="B482" s="67"/>
      <c r="C482" s="56"/>
      <c r="D482" s="57"/>
      <c r="E482" s="57"/>
      <c r="F482" s="57"/>
      <c r="G482" s="57"/>
      <c r="H482" s="57"/>
      <c r="I482" s="57"/>
      <c r="J482" s="58"/>
      <c r="K482" s="56"/>
      <c r="L482" s="57"/>
      <c r="M482" s="57"/>
      <c r="N482" s="57"/>
      <c r="O482" s="57"/>
      <c r="P482" s="57"/>
      <c r="Q482" s="57"/>
      <c r="R482" s="58"/>
      <c r="S482" s="56"/>
      <c r="T482" s="57"/>
      <c r="U482" s="57"/>
      <c r="V482" s="57"/>
      <c r="W482" s="57"/>
      <c r="X482" s="57"/>
      <c r="Y482" s="57"/>
      <c r="Z482" s="58"/>
      <c r="AA482" s="56"/>
      <c r="AB482" s="57"/>
      <c r="AC482" s="57"/>
      <c r="AD482" s="57"/>
      <c r="AE482" s="57"/>
      <c r="AF482" s="57"/>
      <c r="AG482" s="57"/>
      <c r="AH482" s="58"/>
      <c r="AI482" s="56"/>
      <c r="AJ482" s="57"/>
      <c r="AK482" s="57"/>
      <c r="AL482" s="57"/>
      <c r="AM482" s="57"/>
      <c r="AN482" s="57"/>
      <c r="AO482" s="57"/>
      <c r="AP482" s="58"/>
    </row>
    <row r="483" spans="1:42" ht="21" customHeight="1" thickTop="1" thickBot="1" x14ac:dyDescent="0.35">
      <c r="A483" s="62">
        <v>5</v>
      </c>
      <c r="B483" s="65" t="s">
        <v>138</v>
      </c>
      <c r="C483" s="59" t="s">
        <v>8</v>
      </c>
      <c r="D483" s="46" t="s">
        <v>9</v>
      </c>
      <c r="E483" s="46" t="s">
        <v>10</v>
      </c>
      <c r="F483" s="46" t="s">
        <v>11</v>
      </c>
      <c r="G483" s="46" t="s">
        <v>12</v>
      </c>
      <c r="H483" s="46" t="s">
        <v>13</v>
      </c>
      <c r="I483" s="46" t="s">
        <v>14</v>
      </c>
      <c r="J483" s="60" t="s">
        <v>15</v>
      </c>
      <c r="K483" s="59" t="s">
        <v>8</v>
      </c>
      <c r="L483" s="46" t="s">
        <v>9</v>
      </c>
      <c r="M483" s="46" t="s">
        <v>10</v>
      </c>
      <c r="N483" s="46" t="s">
        <v>11</v>
      </c>
      <c r="O483" s="46" t="s">
        <v>12</v>
      </c>
      <c r="P483" s="46" t="s">
        <v>13</v>
      </c>
      <c r="Q483" s="46" t="s">
        <v>14</v>
      </c>
      <c r="R483" s="60" t="s">
        <v>15</v>
      </c>
      <c r="S483" s="59" t="s">
        <v>8</v>
      </c>
      <c r="T483" s="46" t="s">
        <v>9</v>
      </c>
      <c r="U483" s="46" t="s">
        <v>10</v>
      </c>
      <c r="V483" s="46" t="s">
        <v>11</v>
      </c>
      <c r="W483" s="46" t="s">
        <v>12</v>
      </c>
      <c r="X483" s="46" t="s">
        <v>13</v>
      </c>
      <c r="Y483" s="46" t="s">
        <v>14</v>
      </c>
      <c r="Z483" s="60" t="s">
        <v>15</v>
      </c>
      <c r="AA483" s="59" t="s">
        <v>8</v>
      </c>
      <c r="AB483" s="46" t="s">
        <v>9</v>
      </c>
      <c r="AC483" s="46" t="s">
        <v>10</v>
      </c>
      <c r="AD483" s="46" t="s">
        <v>11</v>
      </c>
      <c r="AE483" s="46" t="s">
        <v>12</v>
      </c>
      <c r="AF483" s="46" t="s">
        <v>13</v>
      </c>
      <c r="AG483" s="46" t="s">
        <v>14</v>
      </c>
      <c r="AH483" s="60" t="s">
        <v>15</v>
      </c>
      <c r="AI483" s="59" t="s">
        <v>8</v>
      </c>
      <c r="AJ483" s="46" t="s">
        <v>9</v>
      </c>
      <c r="AK483" s="46" t="s">
        <v>10</v>
      </c>
      <c r="AL483" s="46" t="s">
        <v>11</v>
      </c>
      <c r="AM483" s="46" t="s">
        <v>12</v>
      </c>
      <c r="AN483" s="46" t="s">
        <v>13</v>
      </c>
      <c r="AO483" s="46" t="s">
        <v>14</v>
      </c>
      <c r="AP483" s="60" t="s">
        <v>15</v>
      </c>
    </row>
    <row r="484" spans="1:42" ht="21" customHeight="1" thickTop="1" thickBot="1" x14ac:dyDescent="0.35">
      <c r="A484" s="63"/>
      <c r="B484" s="66"/>
      <c r="C484" s="52">
        <v>1</v>
      </c>
      <c r="D484" s="44">
        <v>398.09999999999991</v>
      </c>
      <c r="E484" s="44"/>
      <c r="F484" s="44"/>
      <c r="G484" s="44"/>
      <c r="H484" s="44"/>
      <c r="I484" s="44"/>
      <c r="J484" s="51"/>
      <c r="K484" s="52">
        <v>1</v>
      </c>
      <c r="L484" s="44">
        <v>399.43999999999988</v>
      </c>
      <c r="M484" s="44"/>
      <c r="N484" s="44"/>
      <c r="O484" s="44"/>
      <c r="P484" s="44"/>
      <c r="Q484" s="44"/>
      <c r="R484" s="51"/>
      <c r="S484" s="52">
        <v>1</v>
      </c>
      <c r="T484" s="44">
        <v>398.27999999999992</v>
      </c>
      <c r="U484" s="44"/>
      <c r="V484" s="44"/>
      <c r="W484" s="44"/>
      <c r="X484" s="44"/>
      <c r="Y484" s="44"/>
      <c r="Z484" s="51"/>
      <c r="AA484" s="52">
        <v>1</v>
      </c>
      <c r="AB484" s="44">
        <v>398.59999999999991</v>
      </c>
      <c r="AC484" s="44"/>
      <c r="AD484" s="44"/>
      <c r="AE484" s="44"/>
      <c r="AF484" s="44"/>
      <c r="AG484" s="44"/>
      <c r="AH484" s="51"/>
      <c r="AI484" s="52">
        <v>1</v>
      </c>
      <c r="AJ484" s="44">
        <v>398.42999999999989</v>
      </c>
      <c r="AK484" s="44"/>
      <c r="AL484" s="44"/>
      <c r="AM484" s="44"/>
      <c r="AN484" s="44"/>
      <c r="AO484" s="44"/>
      <c r="AP484" s="51"/>
    </row>
    <row r="485" spans="1:42" ht="21" customHeight="1" thickTop="1" thickBot="1" x14ac:dyDescent="0.35">
      <c r="A485" s="63"/>
      <c r="B485" s="66"/>
      <c r="C485" s="53">
        <v>2</v>
      </c>
      <c r="D485" s="45">
        <v>397.9899999999999</v>
      </c>
      <c r="E485" s="45"/>
      <c r="F485" s="45"/>
      <c r="G485" s="45"/>
      <c r="H485" s="45"/>
      <c r="I485" s="45"/>
      <c r="J485" s="51"/>
      <c r="K485" s="53">
        <v>2</v>
      </c>
      <c r="L485" s="45">
        <v>398.39999999999992</v>
      </c>
      <c r="M485" s="45"/>
      <c r="N485" s="45"/>
      <c r="O485" s="45"/>
      <c r="P485" s="45"/>
      <c r="Q485" s="45"/>
      <c r="R485" s="51"/>
      <c r="S485" s="53">
        <v>2</v>
      </c>
      <c r="T485" s="45">
        <v>399.09999999999991</v>
      </c>
      <c r="U485" s="45"/>
      <c r="V485" s="45"/>
      <c r="W485" s="45"/>
      <c r="X485" s="45"/>
      <c r="Y485" s="45"/>
      <c r="Z485" s="51"/>
      <c r="AA485" s="53">
        <v>2</v>
      </c>
      <c r="AB485" s="45">
        <v>397.53999999999979</v>
      </c>
      <c r="AC485" s="45"/>
      <c r="AD485" s="45"/>
      <c r="AE485" s="45"/>
      <c r="AF485" s="45"/>
      <c r="AG485" s="45"/>
      <c r="AH485" s="51"/>
      <c r="AI485" s="53">
        <v>2</v>
      </c>
      <c r="AJ485" s="45">
        <v>397.95</v>
      </c>
      <c r="AK485" s="45"/>
      <c r="AL485" s="45"/>
      <c r="AM485" s="45"/>
      <c r="AN485" s="45"/>
      <c r="AO485" s="45"/>
      <c r="AP485" s="51"/>
    </row>
    <row r="486" spans="1:42" ht="21" customHeight="1" thickTop="1" thickBot="1" x14ac:dyDescent="0.35">
      <c r="A486" s="63"/>
      <c r="B486" s="66"/>
      <c r="C486" s="53">
        <v>3</v>
      </c>
      <c r="D486" s="45">
        <v>398.56999999999988</v>
      </c>
      <c r="E486" s="45"/>
      <c r="F486" s="45"/>
      <c r="G486" s="44"/>
      <c r="H486" s="44"/>
      <c r="I486" s="44"/>
      <c r="J486" s="51"/>
      <c r="K486" s="53">
        <v>3</v>
      </c>
      <c r="L486" s="45">
        <v>398.45999999999992</v>
      </c>
      <c r="M486" s="45"/>
      <c r="N486" s="45"/>
      <c r="O486" s="44"/>
      <c r="P486" s="44"/>
      <c r="Q486" s="44"/>
      <c r="R486" s="51"/>
      <c r="S486" s="53">
        <v>3</v>
      </c>
      <c r="T486" s="45">
        <v>398.39999999999992</v>
      </c>
      <c r="U486" s="45"/>
      <c r="V486" s="45"/>
      <c r="W486" s="44"/>
      <c r="X486" s="44"/>
      <c r="Y486" s="44"/>
      <c r="Z486" s="51"/>
      <c r="AA486" s="53">
        <v>3</v>
      </c>
      <c r="AB486" s="45">
        <v>397.52999999999992</v>
      </c>
      <c r="AC486" s="45"/>
      <c r="AD486" s="45"/>
      <c r="AE486" s="44"/>
      <c r="AF486" s="44"/>
      <c r="AG486" s="44"/>
      <c r="AH486" s="51"/>
      <c r="AI486" s="53">
        <v>3</v>
      </c>
      <c r="AJ486" s="45">
        <v>398.47</v>
      </c>
      <c r="AK486" s="45"/>
      <c r="AL486" s="45"/>
      <c r="AM486" s="44"/>
      <c r="AN486" s="44"/>
      <c r="AO486" s="44"/>
      <c r="AP486" s="51"/>
    </row>
    <row r="487" spans="1:42" ht="21" customHeight="1" thickTop="1" thickBot="1" x14ac:dyDescent="0.35">
      <c r="A487" s="63"/>
      <c r="B487" s="66"/>
      <c r="C487" s="53">
        <v>4</v>
      </c>
      <c r="D487" s="45">
        <v>398.4899999999999</v>
      </c>
      <c r="E487" s="45"/>
      <c r="F487" s="45"/>
      <c r="G487" s="45"/>
      <c r="H487" s="45"/>
      <c r="I487" s="45"/>
      <c r="J487" s="51"/>
      <c r="K487" s="53">
        <v>4</v>
      </c>
      <c r="L487" s="45">
        <v>399.12999999999988</v>
      </c>
      <c r="M487" s="45"/>
      <c r="N487" s="45"/>
      <c r="O487" s="45"/>
      <c r="P487" s="45"/>
      <c r="Q487" s="45"/>
      <c r="R487" s="51"/>
      <c r="S487" s="53">
        <v>4</v>
      </c>
      <c r="T487" s="45">
        <v>398.42999999999989</v>
      </c>
      <c r="U487" s="45"/>
      <c r="V487" s="45"/>
      <c r="W487" s="45"/>
      <c r="X487" s="45"/>
      <c r="Y487" s="45"/>
      <c r="Z487" s="51"/>
      <c r="AA487" s="53">
        <v>4</v>
      </c>
      <c r="AB487" s="45">
        <v>399.53999999999991</v>
      </c>
      <c r="AC487" s="45"/>
      <c r="AD487" s="45"/>
      <c r="AE487" s="45"/>
      <c r="AF487" s="45"/>
      <c r="AG487" s="45"/>
      <c r="AH487" s="51"/>
      <c r="AI487" s="53">
        <v>4</v>
      </c>
      <c r="AJ487" s="45">
        <v>398.42999999999989</v>
      </c>
      <c r="AK487" s="45"/>
      <c r="AL487" s="45"/>
      <c r="AM487" s="45"/>
      <c r="AN487" s="45"/>
      <c r="AO487" s="45"/>
      <c r="AP487" s="51"/>
    </row>
    <row r="488" spans="1:42" ht="21" customHeight="1" thickTop="1" thickBot="1" x14ac:dyDescent="0.35">
      <c r="A488" s="63"/>
      <c r="B488" s="66"/>
      <c r="C488" s="53">
        <v>5</v>
      </c>
      <c r="D488" s="45">
        <v>397.62999999999988</v>
      </c>
      <c r="E488" s="45"/>
      <c r="F488" s="45"/>
      <c r="G488" s="45"/>
      <c r="H488" s="45"/>
      <c r="I488" s="45"/>
      <c r="J488" s="51"/>
      <c r="K488" s="53">
        <v>5</v>
      </c>
      <c r="L488" s="45">
        <v>398.62999999999988</v>
      </c>
      <c r="M488" s="45"/>
      <c r="N488" s="45"/>
      <c r="O488" s="45"/>
      <c r="P488" s="45"/>
      <c r="Q488" s="45"/>
      <c r="R488" s="51"/>
      <c r="S488" s="53">
        <v>5</v>
      </c>
      <c r="T488" s="45">
        <v>398.12999999999982</v>
      </c>
      <c r="U488" s="45"/>
      <c r="V488" s="45"/>
      <c r="W488" s="45"/>
      <c r="X488" s="45"/>
      <c r="Y488" s="45"/>
      <c r="Z488" s="51"/>
      <c r="AA488" s="53">
        <v>5</v>
      </c>
      <c r="AB488" s="45">
        <v>399.25999999999988</v>
      </c>
      <c r="AC488" s="45"/>
      <c r="AD488" s="45"/>
      <c r="AE488" s="45"/>
      <c r="AF488" s="45"/>
      <c r="AG488" s="45"/>
      <c r="AH488" s="51"/>
      <c r="AI488" s="53">
        <v>5</v>
      </c>
      <c r="AJ488" s="45">
        <v>397.61999999999989</v>
      </c>
      <c r="AK488" s="45"/>
      <c r="AL488" s="45"/>
      <c r="AM488" s="45"/>
      <c r="AN488" s="45"/>
      <c r="AO488" s="45"/>
      <c r="AP488" s="51"/>
    </row>
    <row r="489" spans="1:42" ht="21" customHeight="1" thickTop="1" thickBot="1" x14ac:dyDescent="0.35">
      <c r="A489" s="63"/>
      <c r="B489" s="66"/>
      <c r="C489" s="53">
        <v>6</v>
      </c>
      <c r="D489" s="45">
        <v>397.51999999999992</v>
      </c>
      <c r="E489" s="45"/>
      <c r="F489" s="45"/>
      <c r="G489" s="45"/>
      <c r="H489" s="45"/>
      <c r="I489" s="45"/>
      <c r="J489" s="51"/>
      <c r="K489" s="53">
        <v>6</v>
      </c>
      <c r="L489" s="45">
        <v>398.71999999999991</v>
      </c>
      <c r="M489" s="45"/>
      <c r="N489" s="45"/>
      <c r="O489" s="45"/>
      <c r="P489" s="45"/>
      <c r="Q489" s="45"/>
      <c r="R489" s="51"/>
      <c r="S489" s="53">
        <v>6</v>
      </c>
      <c r="T489" s="45">
        <v>398.93999999999988</v>
      </c>
      <c r="U489" s="45"/>
      <c r="V489" s="45"/>
      <c r="W489" s="45"/>
      <c r="X489" s="45"/>
      <c r="Y489" s="45"/>
      <c r="Z489" s="51"/>
      <c r="AA489" s="53">
        <v>6</v>
      </c>
      <c r="AB489" s="45">
        <v>398.74999999999989</v>
      </c>
      <c r="AC489" s="45"/>
      <c r="AD489" s="45"/>
      <c r="AE489" s="45"/>
      <c r="AF489" s="45"/>
      <c r="AG489" s="45"/>
      <c r="AH489" s="51"/>
      <c r="AI489" s="53">
        <v>6</v>
      </c>
      <c r="AJ489" s="45">
        <v>398.51999999999992</v>
      </c>
      <c r="AK489" s="45"/>
      <c r="AL489" s="45"/>
      <c r="AM489" s="45"/>
      <c r="AN489" s="45"/>
      <c r="AO489" s="45"/>
      <c r="AP489" s="51"/>
    </row>
    <row r="490" spans="1:42" ht="21" customHeight="1" thickTop="1" thickBot="1" x14ac:dyDescent="0.35">
      <c r="A490" s="63"/>
      <c r="B490" s="66"/>
      <c r="C490" s="53">
        <v>7</v>
      </c>
      <c r="D490" s="45">
        <v>397.54999999999978</v>
      </c>
      <c r="E490" s="45"/>
      <c r="F490" s="45"/>
      <c r="G490" s="45"/>
      <c r="H490" s="45"/>
      <c r="I490" s="45"/>
      <c r="J490" s="51"/>
      <c r="K490" s="53">
        <v>7</v>
      </c>
      <c r="L490" s="45">
        <v>398.69999999999987</v>
      </c>
      <c r="M490" s="45"/>
      <c r="N490" s="45"/>
      <c r="O490" s="45"/>
      <c r="P490" s="45"/>
      <c r="Q490" s="45"/>
      <c r="R490" s="51"/>
      <c r="S490" s="53">
        <v>7</v>
      </c>
      <c r="T490" s="45">
        <v>398.44999999999987</v>
      </c>
      <c r="U490" s="45"/>
      <c r="V490" s="45"/>
      <c r="W490" s="45"/>
      <c r="X490" s="45"/>
      <c r="Y490" s="45"/>
      <c r="Z490" s="51"/>
      <c r="AA490" s="53">
        <v>7</v>
      </c>
      <c r="AB490" s="45">
        <v>397.74999999999977</v>
      </c>
      <c r="AC490" s="45"/>
      <c r="AD490" s="45"/>
      <c r="AE490" s="45"/>
      <c r="AF490" s="45"/>
      <c r="AG490" s="45"/>
      <c r="AH490" s="51"/>
      <c r="AI490" s="53">
        <v>7</v>
      </c>
      <c r="AJ490" s="45">
        <v>398.32999999999993</v>
      </c>
      <c r="AK490" s="45"/>
      <c r="AL490" s="45"/>
      <c r="AM490" s="45"/>
      <c r="AN490" s="45"/>
      <c r="AO490" s="45"/>
      <c r="AP490" s="51"/>
    </row>
    <row r="491" spans="1:42" ht="21" customHeight="1" thickTop="1" thickBot="1" x14ac:dyDescent="0.35">
      <c r="A491" s="63"/>
      <c r="B491" s="66"/>
      <c r="C491" s="53">
        <v>8</v>
      </c>
      <c r="D491" s="45">
        <v>398.25999999999988</v>
      </c>
      <c r="E491" s="45"/>
      <c r="F491" s="45"/>
      <c r="G491" s="45"/>
      <c r="H491" s="45"/>
      <c r="I491" s="45"/>
      <c r="J491" s="51"/>
      <c r="K491" s="53">
        <v>8</v>
      </c>
      <c r="L491" s="45">
        <v>398.03999999999979</v>
      </c>
      <c r="M491" s="45"/>
      <c r="N491" s="45"/>
      <c r="O491" s="45"/>
      <c r="P491" s="45"/>
      <c r="Q491" s="45"/>
      <c r="R491" s="51"/>
      <c r="S491" s="53">
        <v>8</v>
      </c>
      <c r="T491" s="45">
        <v>398.34999999999991</v>
      </c>
      <c r="U491" s="45"/>
      <c r="V491" s="45"/>
      <c r="W491" s="45"/>
      <c r="X491" s="45"/>
      <c r="Y491" s="45"/>
      <c r="Z491" s="51"/>
      <c r="AA491" s="53">
        <v>8</v>
      </c>
      <c r="AB491" s="45">
        <v>399.70999999999992</v>
      </c>
      <c r="AC491" s="45"/>
      <c r="AD491" s="45"/>
      <c r="AE491" s="45"/>
      <c r="AF491" s="45"/>
      <c r="AG491" s="45"/>
      <c r="AH491" s="51"/>
      <c r="AI491" s="53">
        <v>8</v>
      </c>
      <c r="AJ491" s="45">
        <v>398.1</v>
      </c>
      <c r="AK491" s="45"/>
      <c r="AL491" s="45"/>
      <c r="AM491" s="45"/>
      <c r="AN491" s="45"/>
      <c r="AO491" s="45"/>
      <c r="AP491" s="51"/>
    </row>
    <row r="492" spans="1:42" ht="21" customHeight="1" thickTop="1" thickBot="1" x14ac:dyDescent="0.35">
      <c r="A492" s="63"/>
      <c r="B492" s="66"/>
      <c r="C492" s="53">
        <v>9</v>
      </c>
      <c r="D492" s="45">
        <v>397.97999999999979</v>
      </c>
      <c r="E492" s="45"/>
      <c r="F492" s="45"/>
      <c r="G492" s="45"/>
      <c r="H492" s="45"/>
      <c r="I492" s="45"/>
      <c r="J492" s="51"/>
      <c r="K492" s="53">
        <v>9</v>
      </c>
      <c r="L492" s="45">
        <v>398.43999999999988</v>
      </c>
      <c r="M492" s="45"/>
      <c r="N492" s="45"/>
      <c r="O492" s="45"/>
      <c r="P492" s="45"/>
      <c r="Q492" s="45"/>
      <c r="R492" s="51"/>
      <c r="S492" s="53">
        <v>9</v>
      </c>
      <c r="T492" s="45">
        <v>399.71999999999991</v>
      </c>
      <c r="U492" s="45"/>
      <c r="V492" s="45"/>
      <c r="W492" s="45"/>
      <c r="X492" s="45"/>
      <c r="Y492" s="45"/>
      <c r="Z492" s="51"/>
      <c r="AA492" s="53">
        <v>9</v>
      </c>
      <c r="AB492" s="45">
        <v>399.3599999999999</v>
      </c>
      <c r="AC492" s="45"/>
      <c r="AD492" s="45"/>
      <c r="AE492" s="45"/>
      <c r="AF492" s="45"/>
      <c r="AG492" s="45"/>
      <c r="AH492" s="51"/>
      <c r="AI492" s="53">
        <v>9</v>
      </c>
      <c r="AJ492" s="45">
        <v>398.42999999999989</v>
      </c>
      <c r="AK492" s="45"/>
      <c r="AL492" s="45"/>
      <c r="AM492" s="45"/>
      <c r="AN492" s="45"/>
      <c r="AO492" s="45"/>
      <c r="AP492" s="51"/>
    </row>
    <row r="493" spans="1:42" ht="21" customHeight="1" thickTop="1" thickBot="1" x14ac:dyDescent="0.35">
      <c r="A493" s="63"/>
      <c r="B493" s="66"/>
      <c r="C493" s="53">
        <v>10</v>
      </c>
      <c r="D493" s="45">
        <v>398.37999999999988</v>
      </c>
      <c r="E493" s="45"/>
      <c r="F493" s="45"/>
      <c r="G493" s="45"/>
      <c r="H493" s="45"/>
      <c r="I493" s="45"/>
      <c r="J493" s="51"/>
      <c r="K493" s="53">
        <v>10</v>
      </c>
      <c r="L493" s="45">
        <v>398.05</v>
      </c>
      <c r="M493" s="45"/>
      <c r="N493" s="45"/>
      <c r="O493" s="45"/>
      <c r="P493" s="45"/>
      <c r="Q493" s="45"/>
      <c r="R493" s="51"/>
      <c r="S493" s="53">
        <v>10</v>
      </c>
      <c r="T493" s="45">
        <v>398.46999999999991</v>
      </c>
      <c r="U493" s="45"/>
      <c r="V493" s="45"/>
      <c r="W493" s="45"/>
      <c r="X493" s="45"/>
      <c r="Y493" s="45"/>
      <c r="Z493" s="51"/>
      <c r="AA493" s="53">
        <v>10</v>
      </c>
      <c r="AB493" s="45">
        <v>398.6699999999999</v>
      </c>
      <c r="AC493" s="45"/>
      <c r="AD493" s="45"/>
      <c r="AE493" s="45"/>
      <c r="AF493" s="45"/>
      <c r="AG493" s="45"/>
      <c r="AH493" s="51"/>
      <c r="AI493" s="53">
        <v>10</v>
      </c>
      <c r="AJ493" s="45">
        <v>398.38999999999987</v>
      </c>
      <c r="AK493" s="45"/>
      <c r="AL493" s="45"/>
      <c r="AM493" s="45"/>
      <c r="AN493" s="45"/>
      <c r="AO493" s="45"/>
      <c r="AP493" s="51"/>
    </row>
    <row r="494" spans="1:42" ht="21" customHeight="1" thickTop="1" thickBot="1" x14ac:dyDescent="0.35">
      <c r="A494" s="63"/>
      <c r="B494" s="66"/>
      <c r="C494" s="53"/>
      <c r="D494" s="45"/>
      <c r="E494" s="45"/>
      <c r="F494" s="45"/>
      <c r="G494" s="45"/>
      <c r="H494" s="45"/>
      <c r="I494" s="45"/>
      <c r="J494" s="51"/>
      <c r="K494" s="53"/>
      <c r="L494" s="45"/>
      <c r="M494" s="45"/>
      <c r="N494" s="45"/>
      <c r="O494" s="45"/>
      <c r="P494" s="45"/>
      <c r="Q494" s="45"/>
      <c r="R494" s="51"/>
      <c r="S494" s="53"/>
      <c r="T494" s="45"/>
      <c r="U494" s="45"/>
      <c r="V494" s="45"/>
      <c r="W494" s="45"/>
      <c r="X494" s="45"/>
      <c r="Y494" s="45"/>
      <c r="Z494" s="51"/>
      <c r="AA494" s="53"/>
      <c r="AB494" s="45"/>
      <c r="AC494" s="45"/>
      <c r="AD494" s="45"/>
      <c r="AE494" s="45"/>
      <c r="AF494" s="45"/>
      <c r="AG494" s="45"/>
      <c r="AH494" s="51"/>
      <c r="AI494" s="53"/>
      <c r="AJ494" s="45"/>
      <c r="AK494" s="45"/>
      <c r="AL494" s="45"/>
      <c r="AM494" s="45"/>
      <c r="AN494" s="45"/>
      <c r="AO494" s="45"/>
      <c r="AP494" s="51"/>
    </row>
    <row r="495" spans="1:42" ht="21" customHeight="1" thickTop="1" thickBot="1" x14ac:dyDescent="0.35">
      <c r="A495" s="63"/>
      <c r="B495" s="66"/>
      <c r="C495" s="54" t="s">
        <v>16</v>
      </c>
      <c r="D495" s="49">
        <f>MIN(D484:D493)</f>
        <v>397.51999999999992</v>
      </c>
      <c r="E495" s="45"/>
      <c r="F495" s="55" t="s">
        <v>17</v>
      </c>
      <c r="G495" s="49" t="s">
        <v>18</v>
      </c>
      <c r="H495" s="49" t="s">
        <v>19</v>
      </c>
      <c r="I495" s="45"/>
      <c r="J495" s="51"/>
      <c r="K495" s="54" t="s">
        <v>16</v>
      </c>
      <c r="L495" s="49">
        <f>MIN(L484:L493)</f>
        <v>398.03999999999979</v>
      </c>
      <c r="M495" s="45"/>
      <c r="N495" s="55" t="s">
        <v>17</v>
      </c>
      <c r="O495" s="49" t="s">
        <v>18</v>
      </c>
      <c r="P495" s="49" t="s">
        <v>19</v>
      </c>
      <c r="Q495" s="45"/>
      <c r="R495" s="51"/>
      <c r="S495" s="54" t="s">
        <v>16</v>
      </c>
      <c r="T495" s="49">
        <f>MIN(T484:T493)</f>
        <v>398.12999999999982</v>
      </c>
      <c r="U495" s="45"/>
      <c r="V495" s="55" t="s">
        <v>17</v>
      </c>
      <c r="W495" s="49" t="s">
        <v>18</v>
      </c>
      <c r="X495" s="49" t="s">
        <v>19</v>
      </c>
      <c r="Y495" s="45"/>
      <c r="Z495" s="51"/>
      <c r="AA495" s="54" t="s">
        <v>16</v>
      </c>
      <c r="AB495" s="49">
        <f>MIN(AB484:AB493)</f>
        <v>397.52999999999992</v>
      </c>
      <c r="AC495" s="45"/>
      <c r="AD495" s="55" t="s">
        <v>17</v>
      </c>
      <c r="AE495" s="49" t="s">
        <v>18</v>
      </c>
      <c r="AF495" s="49" t="s">
        <v>19</v>
      </c>
      <c r="AG495" s="45"/>
      <c r="AH495" s="51"/>
      <c r="AI495" s="54" t="s">
        <v>16</v>
      </c>
      <c r="AJ495" s="49">
        <f>MIN(AJ484:AJ493)</f>
        <v>397.61999999999989</v>
      </c>
      <c r="AK495" s="45"/>
      <c r="AL495" s="55" t="s">
        <v>17</v>
      </c>
      <c r="AM495" s="49" t="s">
        <v>18</v>
      </c>
      <c r="AN495" s="49" t="s">
        <v>19</v>
      </c>
      <c r="AO495" s="45"/>
      <c r="AP495" s="51"/>
    </row>
    <row r="496" spans="1:42" ht="21" customHeight="1" thickTop="1" thickBot="1" x14ac:dyDescent="0.35">
      <c r="A496" s="63"/>
      <c r="B496" s="66"/>
      <c r="C496" s="54" t="s">
        <v>20</v>
      </c>
      <c r="D496" s="48">
        <f>AVERAGE(D484:D493)</f>
        <v>398.04699999999985</v>
      </c>
      <c r="E496" s="47"/>
      <c r="F496" s="48">
        <f>_xlfn.STDEV.S(D484:D493) / AVERAGE(D484:D493) * 100%</f>
        <v>9.6765195495622557E-4</v>
      </c>
      <c r="G496" s="48">
        <f t="array" ref="G496">MIN((D484:D493 - MIN(D484:D493,L484:L493,T484:T493,AB484:AB493,AJ484:AJ493))/MIN(D484:D493,L484:L493,T484:T493,AB484:AB493,AJ484:AJ493)*100%)</f>
        <v>0</v>
      </c>
      <c r="H496" s="48">
        <f t="array" ref="H496">AVERAGE((D484:D493 - MIN(D484:D493,L484:L493,T484:T493,AB484:AB493,AJ484:AJ493))/MIN(D484:D493,L484:L493,T484:T493,AB484:AB493,AJ484:AJ493)*100%)</f>
        <v>1.3257194606559348E-3</v>
      </c>
      <c r="I496" s="45"/>
      <c r="J496" s="51"/>
      <c r="K496" s="54" t="s">
        <v>20</v>
      </c>
      <c r="L496" s="48">
        <f>AVERAGE(L484:L493)</f>
        <v>398.60099999999994</v>
      </c>
      <c r="M496" s="47"/>
      <c r="N496" s="48">
        <f>_xlfn.STDEV.S(L484:L493) / AVERAGE(L484:L493) * 100%</f>
        <v>1.0945370105523702E-3</v>
      </c>
      <c r="O496" s="48">
        <f t="array" ref="O496">MIN((L484:L493 - MIN(D484:D493,L484:L493,T484:T493,AB484:AB493,AJ484:AJ493))/MIN(D484:D493,L484:L493,T484:T493,AB484:AB493,AJ484:AJ493)*100%)</f>
        <v>1.3081102837589763E-3</v>
      </c>
      <c r="P496" s="48">
        <f t="array" ref="P496">AVERAGE((L484:L493 - MIN(D484:D493,L484:L493,T484:T493,AB484:AB493,AJ484:AJ493))/MIN(D484:D493,L484:L493,T484:T493,AB484:AB493,AJ484:AJ493)*100%)</f>
        <v>2.7193600321995673E-3</v>
      </c>
      <c r="Q496" s="44"/>
      <c r="R496" s="51"/>
      <c r="S496" s="54" t="s">
        <v>20</v>
      </c>
      <c r="T496" s="48">
        <f>AVERAGE(T484:T493)</f>
        <v>398.62699999999984</v>
      </c>
      <c r="U496" s="47"/>
      <c r="V496" s="48">
        <f>_xlfn.STDEV.S(T484:T493) / AVERAGE(T484:T493) * 100%</f>
        <v>1.2137373584974727E-3</v>
      </c>
      <c r="W496" s="48">
        <f t="array" ref="W496">MIN((T484:T493 - MIN(D484:D493,L484:L493,T484:T493,AB484:AB493,AJ484:AJ493))/MIN(D484:D493,L484:L493,T484:T493,AB484:AB493,AJ484:AJ493)*100%)</f>
        <v>1.534513986717398E-3</v>
      </c>
      <c r="X496" s="48">
        <f t="array" ref="X496">AVERAGE((T484:T493 - MIN(D484:D493,L484:L493,T484:T493,AB484:AB493,AJ484:AJ493))/MIN(D484:D493,L484:L493,T484:T493,AB484:AB493,AJ484:AJ493)*100%)</f>
        <v>2.7847655463875309E-3</v>
      </c>
      <c r="Y496" s="44"/>
      <c r="Z496" s="51"/>
      <c r="AA496" s="54" t="s">
        <v>20</v>
      </c>
      <c r="AB496" s="48">
        <f>AVERAGE(AB484:AB493)</f>
        <v>398.67099999999994</v>
      </c>
      <c r="AC496" s="47"/>
      <c r="AD496" s="48">
        <f>_xlfn.STDEV.S(AB484:AB493) / AVERAGE(AB484:AB493) * 100%</f>
        <v>2.0645161262296276E-3</v>
      </c>
      <c r="AE496" s="48">
        <f t="array" ref="AE496">MIN((AB484:AB493 - MIN(D484:D493,L484:L493,T484:T493,AB484:AB493,AJ484:AJ493))/MIN(D484:D493,L484:L493,T484:T493,AB484:AB493,AJ484:AJ493)*100%)</f>
        <v>2.5155966995348428E-5</v>
      </c>
      <c r="AF496" s="48">
        <f t="array" ref="AF496">AVERAGE((AB484:AB493 - MIN(D484:D493,L484:L493,T484:T493,AB484:AB493,AJ484:AJ493))/MIN(D484:D493,L484:L493,T484:T493,AB484:AB493,AJ484:AJ493)*100%)</f>
        <v>2.8954518011671208E-3</v>
      </c>
      <c r="AG496" s="44"/>
      <c r="AH496" s="51"/>
      <c r="AI496" s="54" t="s">
        <v>20</v>
      </c>
      <c r="AJ496" s="48">
        <f>AVERAGE(AJ484:AJ493)</f>
        <v>398.26699999999994</v>
      </c>
      <c r="AK496" s="47"/>
      <c r="AL496" s="48">
        <f>_xlfn.STDEV.S(AJ484:AJ493) / AVERAGE(AJ484:AJ493) * 100%</f>
        <v>7.2531604122363675E-4</v>
      </c>
      <c r="AM496" s="48">
        <f t="array" ref="AM496">MIN((AJ484:AJ493 - MIN(D484:D493,L484:L493,T484:T493,AB484:AB493,AJ484:AJ493))/MIN(D484:D493,L484:L493,T484:T493,AB484:AB493,AJ484:AJ493)*100%)</f>
        <v>2.5155966995362729E-4</v>
      </c>
      <c r="AN496" s="48">
        <f t="array" ref="AN496">AVERAGE((AJ484:AJ493 - MIN(D484:D493,L484:L493,T484:T493,AB484:AB493,AJ484:AJ493))/MIN(D484:D493,L484:L493,T484:T493,AB484:AB493,AJ484:AJ493)*100%)</f>
        <v>1.8791507345542577E-3</v>
      </c>
      <c r="AO496" s="44"/>
      <c r="AP496" s="51"/>
    </row>
    <row r="497" spans="1:42" ht="21" customHeight="1" thickTop="1" thickBot="1" x14ac:dyDescent="0.35">
      <c r="A497" s="63"/>
      <c r="B497" s="67"/>
      <c r="C497" s="53"/>
      <c r="D497" s="44"/>
      <c r="E497" s="44"/>
      <c r="F497" s="44"/>
      <c r="G497" s="44"/>
      <c r="H497" s="44"/>
      <c r="I497" s="44"/>
      <c r="J497" s="51"/>
      <c r="K497" s="53"/>
      <c r="L497" s="44"/>
      <c r="M497" s="44"/>
      <c r="N497" s="44"/>
      <c r="O497" s="44"/>
      <c r="P497" s="44"/>
      <c r="Q497" s="44"/>
      <c r="R497" s="51"/>
      <c r="S497" s="53"/>
      <c r="T497" s="44"/>
      <c r="U497" s="44"/>
      <c r="V497" s="44"/>
      <c r="W497" s="44"/>
      <c r="X497" s="44"/>
      <c r="Y497" s="44"/>
      <c r="Z497" s="51"/>
      <c r="AA497" s="53"/>
      <c r="AB497" s="44"/>
      <c r="AC497" s="44"/>
      <c r="AD497" s="44"/>
      <c r="AE497" s="44"/>
      <c r="AF497" s="44"/>
      <c r="AG497" s="44"/>
      <c r="AH497" s="51"/>
      <c r="AI497" s="53"/>
      <c r="AJ497" s="44"/>
      <c r="AK497" s="44"/>
      <c r="AL497" s="44"/>
      <c r="AM497" s="44"/>
      <c r="AN497" s="44"/>
      <c r="AO497" s="44"/>
      <c r="AP497" s="51"/>
    </row>
    <row r="498" spans="1:42" ht="21" customHeight="1" thickTop="1" thickBot="1" x14ac:dyDescent="0.35">
      <c r="A498" s="63"/>
      <c r="B498" s="65" t="s">
        <v>139</v>
      </c>
      <c r="C498" s="59" t="s">
        <v>8</v>
      </c>
      <c r="D498" s="46" t="s">
        <v>9</v>
      </c>
      <c r="E498" s="46" t="s">
        <v>10</v>
      </c>
      <c r="F498" s="46" t="s">
        <v>11</v>
      </c>
      <c r="G498" s="46" t="s">
        <v>12</v>
      </c>
      <c r="H498" s="46" t="s">
        <v>13</v>
      </c>
      <c r="I498" s="46" t="s">
        <v>14</v>
      </c>
      <c r="J498" s="60" t="s">
        <v>15</v>
      </c>
      <c r="K498" s="59" t="s">
        <v>8</v>
      </c>
      <c r="L498" s="46" t="s">
        <v>9</v>
      </c>
      <c r="M498" s="46" t="s">
        <v>10</v>
      </c>
      <c r="N498" s="46" t="s">
        <v>11</v>
      </c>
      <c r="O498" s="46" t="s">
        <v>12</v>
      </c>
      <c r="P498" s="46" t="s">
        <v>13</v>
      </c>
      <c r="Q498" s="46" t="s">
        <v>14</v>
      </c>
      <c r="R498" s="60" t="s">
        <v>15</v>
      </c>
      <c r="S498" s="59" t="s">
        <v>8</v>
      </c>
      <c r="T498" s="46" t="s">
        <v>9</v>
      </c>
      <c r="U498" s="46" t="s">
        <v>10</v>
      </c>
      <c r="V498" s="46" t="s">
        <v>11</v>
      </c>
      <c r="W498" s="46" t="s">
        <v>12</v>
      </c>
      <c r="X498" s="46" t="s">
        <v>13</v>
      </c>
      <c r="Y498" s="46" t="s">
        <v>14</v>
      </c>
      <c r="Z498" s="60" t="s">
        <v>15</v>
      </c>
      <c r="AA498" s="59" t="s">
        <v>8</v>
      </c>
      <c r="AB498" s="46" t="s">
        <v>9</v>
      </c>
      <c r="AC498" s="46" t="s">
        <v>10</v>
      </c>
      <c r="AD498" s="46" t="s">
        <v>11</v>
      </c>
      <c r="AE498" s="46" t="s">
        <v>12</v>
      </c>
      <c r="AF498" s="46" t="s">
        <v>13</v>
      </c>
      <c r="AG498" s="46" t="s">
        <v>14</v>
      </c>
      <c r="AH498" s="60" t="s">
        <v>15</v>
      </c>
      <c r="AI498" s="59" t="s">
        <v>8</v>
      </c>
      <c r="AJ498" s="46" t="s">
        <v>9</v>
      </c>
      <c r="AK498" s="46" t="s">
        <v>10</v>
      </c>
      <c r="AL498" s="46" t="s">
        <v>11</v>
      </c>
      <c r="AM498" s="46" t="s">
        <v>12</v>
      </c>
      <c r="AN498" s="46" t="s">
        <v>13</v>
      </c>
      <c r="AO498" s="46" t="s">
        <v>14</v>
      </c>
      <c r="AP498" s="60" t="s">
        <v>15</v>
      </c>
    </row>
    <row r="499" spans="1:42" ht="21" customHeight="1" thickTop="1" thickBot="1" x14ac:dyDescent="0.35">
      <c r="A499" s="63"/>
      <c r="B499" s="66"/>
      <c r="C499" s="52">
        <v>1</v>
      </c>
      <c r="D499" s="44">
        <v>442.56999999999982</v>
      </c>
      <c r="E499" s="44"/>
      <c r="F499" s="44"/>
      <c r="G499" s="44"/>
      <c r="H499" s="44"/>
      <c r="I499" s="44"/>
      <c r="J499" s="51"/>
      <c r="K499" s="52">
        <v>1</v>
      </c>
      <c r="L499" s="44">
        <v>444.32999999999993</v>
      </c>
      <c r="M499" s="44"/>
      <c r="N499" s="44"/>
      <c r="O499" s="44"/>
      <c r="P499" s="44"/>
      <c r="Q499" s="44"/>
      <c r="R499" s="51"/>
      <c r="S499" s="52">
        <v>1</v>
      </c>
      <c r="T499" s="44">
        <v>443.43999999999983</v>
      </c>
      <c r="U499" s="44"/>
      <c r="V499" s="44"/>
      <c r="W499" s="44"/>
      <c r="X499" s="44"/>
      <c r="Y499" s="44"/>
      <c r="Z499" s="51"/>
      <c r="AA499" s="52">
        <v>1</v>
      </c>
      <c r="AB499" s="44">
        <v>443.2299999999999</v>
      </c>
      <c r="AC499" s="44"/>
      <c r="AD499" s="44"/>
      <c r="AE499" s="44"/>
      <c r="AF499" s="44"/>
      <c r="AG499" s="44"/>
      <c r="AH499" s="51"/>
      <c r="AI499" s="52">
        <v>1</v>
      </c>
      <c r="AJ499" s="44">
        <v>443.37999999999988</v>
      </c>
      <c r="AK499" s="44"/>
      <c r="AL499" s="44"/>
      <c r="AM499" s="44"/>
      <c r="AN499" s="44"/>
      <c r="AO499" s="44"/>
      <c r="AP499" s="51"/>
    </row>
    <row r="500" spans="1:42" ht="21" customHeight="1" thickTop="1" thickBot="1" x14ac:dyDescent="0.35">
      <c r="A500" s="63"/>
      <c r="B500" s="66"/>
      <c r="C500" s="53">
        <v>2</v>
      </c>
      <c r="D500" s="45">
        <v>442.59999999999991</v>
      </c>
      <c r="E500" s="45"/>
      <c r="F500" s="45"/>
      <c r="G500" s="45"/>
      <c r="H500" s="45"/>
      <c r="I500" s="45"/>
      <c r="J500" s="51"/>
      <c r="K500" s="53">
        <v>2</v>
      </c>
      <c r="L500" s="45">
        <v>443.50999999999988</v>
      </c>
      <c r="M500" s="45"/>
      <c r="N500" s="45"/>
      <c r="O500" s="45"/>
      <c r="P500" s="45"/>
      <c r="Q500" s="45"/>
      <c r="R500" s="51"/>
      <c r="S500" s="53">
        <v>2</v>
      </c>
      <c r="T500" s="45">
        <v>444.17999999999989</v>
      </c>
      <c r="U500" s="45"/>
      <c r="V500" s="45"/>
      <c r="W500" s="45"/>
      <c r="X500" s="45"/>
      <c r="Y500" s="45"/>
      <c r="Z500" s="51"/>
      <c r="AA500" s="53">
        <v>2</v>
      </c>
      <c r="AB500" s="45">
        <v>442.56999999999982</v>
      </c>
      <c r="AC500" s="45"/>
      <c r="AD500" s="45"/>
      <c r="AE500" s="45"/>
      <c r="AF500" s="45"/>
      <c r="AG500" s="45"/>
      <c r="AH500" s="51"/>
      <c r="AI500" s="53">
        <v>2</v>
      </c>
      <c r="AJ500" s="45">
        <v>442.34999999999991</v>
      </c>
      <c r="AK500" s="45"/>
      <c r="AL500" s="45"/>
      <c r="AM500" s="45"/>
      <c r="AN500" s="45"/>
      <c r="AO500" s="45"/>
      <c r="AP500" s="51"/>
    </row>
    <row r="501" spans="1:42" ht="21" customHeight="1" thickTop="1" thickBot="1" x14ac:dyDescent="0.35">
      <c r="A501" s="63"/>
      <c r="B501" s="66"/>
      <c r="C501" s="53">
        <v>3</v>
      </c>
      <c r="D501" s="45">
        <v>443.06999999999982</v>
      </c>
      <c r="E501" s="45"/>
      <c r="F501" s="45"/>
      <c r="G501" s="44"/>
      <c r="H501" s="44"/>
      <c r="I501" s="44"/>
      <c r="J501" s="51"/>
      <c r="K501" s="53">
        <v>3</v>
      </c>
      <c r="L501" s="45">
        <v>442.19999999999982</v>
      </c>
      <c r="M501" s="45"/>
      <c r="N501" s="45"/>
      <c r="O501" s="44"/>
      <c r="P501" s="44"/>
      <c r="Q501" s="44"/>
      <c r="R501" s="51"/>
      <c r="S501" s="53">
        <v>3</v>
      </c>
      <c r="T501" s="45">
        <v>443.41999999999979</v>
      </c>
      <c r="U501" s="45"/>
      <c r="V501" s="45"/>
      <c r="W501" s="44"/>
      <c r="X501" s="44"/>
      <c r="Y501" s="44"/>
      <c r="Z501" s="51"/>
      <c r="AA501" s="53">
        <v>3</v>
      </c>
      <c r="AB501" s="45">
        <v>444.65999999999991</v>
      </c>
      <c r="AC501" s="45"/>
      <c r="AD501" s="45"/>
      <c r="AE501" s="44"/>
      <c r="AF501" s="44"/>
      <c r="AG501" s="44"/>
      <c r="AH501" s="51"/>
      <c r="AI501" s="53">
        <v>3</v>
      </c>
      <c r="AJ501" s="45">
        <v>443.32999999999993</v>
      </c>
      <c r="AK501" s="45"/>
      <c r="AL501" s="45"/>
      <c r="AM501" s="44"/>
      <c r="AN501" s="44"/>
      <c r="AO501" s="44"/>
      <c r="AP501" s="51"/>
    </row>
    <row r="502" spans="1:42" ht="21" customHeight="1" thickTop="1" thickBot="1" x14ac:dyDescent="0.35">
      <c r="A502" s="63"/>
      <c r="B502" s="66"/>
      <c r="C502" s="53">
        <v>4</v>
      </c>
      <c r="D502" s="45">
        <v>441.00999999999982</v>
      </c>
      <c r="E502" s="45"/>
      <c r="F502" s="45"/>
      <c r="G502" s="45"/>
      <c r="H502" s="45"/>
      <c r="I502" s="45"/>
      <c r="J502" s="51"/>
      <c r="K502" s="53">
        <v>4</v>
      </c>
      <c r="L502" s="45">
        <v>442.86999999999978</v>
      </c>
      <c r="M502" s="45"/>
      <c r="N502" s="45"/>
      <c r="O502" s="45"/>
      <c r="P502" s="45"/>
      <c r="Q502" s="45"/>
      <c r="R502" s="51"/>
      <c r="S502" s="53">
        <v>4</v>
      </c>
      <c r="T502" s="45">
        <v>442.45999999999992</v>
      </c>
      <c r="U502" s="45"/>
      <c r="V502" s="45"/>
      <c r="W502" s="45"/>
      <c r="X502" s="45"/>
      <c r="Y502" s="45"/>
      <c r="Z502" s="51"/>
      <c r="AA502" s="53">
        <v>4</v>
      </c>
      <c r="AB502" s="45">
        <v>443.22999999999979</v>
      </c>
      <c r="AC502" s="45"/>
      <c r="AD502" s="45"/>
      <c r="AE502" s="45"/>
      <c r="AF502" s="45"/>
      <c r="AG502" s="45"/>
      <c r="AH502" s="51"/>
      <c r="AI502" s="53">
        <v>4</v>
      </c>
      <c r="AJ502" s="45">
        <v>443.1099999999999</v>
      </c>
      <c r="AK502" s="45"/>
      <c r="AL502" s="45"/>
      <c r="AM502" s="45"/>
      <c r="AN502" s="45"/>
      <c r="AO502" s="45"/>
      <c r="AP502" s="51"/>
    </row>
    <row r="503" spans="1:42" ht="21" customHeight="1" thickTop="1" thickBot="1" x14ac:dyDescent="0.35">
      <c r="A503" s="63"/>
      <c r="B503" s="66"/>
      <c r="C503" s="53">
        <v>5</v>
      </c>
      <c r="D503" s="45">
        <v>442.05999999999977</v>
      </c>
      <c r="E503" s="45"/>
      <c r="F503" s="45"/>
      <c r="G503" s="45"/>
      <c r="H503" s="45"/>
      <c r="I503" s="45"/>
      <c r="J503" s="51"/>
      <c r="K503" s="53">
        <v>5</v>
      </c>
      <c r="L503" s="45">
        <v>442.49999999999977</v>
      </c>
      <c r="M503" s="45"/>
      <c r="N503" s="45"/>
      <c r="O503" s="45"/>
      <c r="P503" s="45"/>
      <c r="Q503" s="45"/>
      <c r="R503" s="51"/>
      <c r="S503" s="53">
        <v>5</v>
      </c>
      <c r="T503" s="45">
        <v>441.59999999999991</v>
      </c>
      <c r="U503" s="45"/>
      <c r="V503" s="45"/>
      <c r="W503" s="45"/>
      <c r="X503" s="45"/>
      <c r="Y503" s="45"/>
      <c r="Z503" s="51"/>
      <c r="AA503" s="53">
        <v>5</v>
      </c>
      <c r="AB503" s="45">
        <v>443.61999999999978</v>
      </c>
      <c r="AC503" s="45"/>
      <c r="AD503" s="45"/>
      <c r="AE503" s="45"/>
      <c r="AF503" s="45"/>
      <c r="AG503" s="45"/>
      <c r="AH503" s="51"/>
      <c r="AI503" s="53">
        <v>5</v>
      </c>
      <c r="AJ503" s="45">
        <v>442.34999999999991</v>
      </c>
      <c r="AK503" s="45"/>
      <c r="AL503" s="45"/>
      <c r="AM503" s="45"/>
      <c r="AN503" s="45"/>
      <c r="AO503" s="45"/>
      <c r="AP503" s="51"/>
    </row>
    <row r="504" spans="1:42" ht="21" customHeight="1" thickTop="1" thickBot="1" x14ac:dyDescent="0.35">
      <c r="A504" s="63"/>
      <c r="B504" s="66"/>
      <c r="C504" s="53">
        <v>6</v>
      </c>
      <c r="D504" s="45">
        <v>441.01999999999992</v>
      </c>
      <c r="E504" s="45"/>
      <c r="F504" s="45"/>
      <c r="G504" s="45"/>
      <c r="H504" s="45"/>
      <c r="I504" s="45"/>
      <c r="J504" s="51"/>
      <c r="K504" s="53">
        <v>6</v>
      </c>
      <c r="L504" s="45">
        <v>443.84999999999991</v>
      </c>
      <c r="M504" s="45"/>
      <c r="N504" s="45"/>
      <c r="O504" s="45"/>
      <c r="P504" s="45"/>
      <c r="Q504" s="45"/>
      <c r="R504" s="51"/>
      <c r="S504" s="53">
        <v>6</v>
      </c>
      <c r="T504" s="45">
        <v>443.09999999999991</v>
      </c>
      <c r="U504" s="45"/>
      <c r="V504" s="45"/>
      <c r="W504" s="45"/>
      <c r="X504" s="45"/>
      <c r="Y504" s="45"/>
      <c r="Z504" s="51"/>
      <c r="AA504" s="53">
        <v>6</v>
      </c>
      <c r="AB504" s="45">
        <v>442.6099999999999</v>
      </c>
      <c r="AC504" s="45"/>
      <c r="AD504" s="45"/>
      <c r="AE504" s="45"/>
      <c r="AF504" s="45"/>
      <c r="AG504" s="45"/>
      <c r="AH504" s="51"/>
      <c r="AI504" s="53">
        <v>6</v>
      </c>
      <c r="AJ504" s="45">
        <v>442.96999999999991</v>
      </c>
      <c r="AK504" s="45"/>
      <c r="AL504" s="45"/>
      <c r="AM504" s="45"/>
      <c r="AN504" s="45"/>
      <c r="AO504" s="45"/>
      <c r="AP504" s="51"/>
    </row>
    <row r="505" spans="1:42" ht="21" customHeight="1" thickTop="1" thickBot="1" x14ac:dyDescent="0.35">
      <c r="A505" s="63"/>
      <c r="B505" s="66"/>
      <c r="C505" s="53">
        <v>7</v>
      </c>
      <c r="D505" s="45">
        <v>441.92999999999978</v>
      </c>
      <c r="E505" s="45"/>
      <c r="F505" s="45"/>
      <c r="G505" s="45"/>
      <c r="H505" s="45"/>
      <c r="I505" s="45"/>
      <c r="J505" s="51"/>
      <c r="K505" s="53">
        <v>7</v>
      </c>
      <c r="L505" s="45">
        <v>442.41999999999979</v>
      </c>
      <c r="M505" s="45"/>
      <c r="N505" s="45"/>
      <c r="O505" s="45"/>
      <c r="P505" s="45"/>
      <c r="Q505" s="45"/>
      <c r="R505" s="51"/>
      <c r="S505" s="53">
        <v>7</v>
      </c>
      <c r="T505" s="45">
        <v>444.69999999999982</v>
      </c>
      <c r="U505" s="45"/>
      <c r="V505" s="45"/>
      <c r="W505" s="45"/>
      <c r="X505" s="45"/>
      <c r="Y505" s="45"/>
      <c r="Z505" s="51"/>
      <c r="AA505" s="53">
        <v>7</v>
      </c>
      <c r="AB505" s="45">
        <v>440.97999999999979</v>
      </c>
      <c r="AC505" s="45"/>
      <c r="AD505" s="45"/>
      <c r="AE505" s="45"/>
      <c r="AF505" s="45"/>
      <c r="AG505" s="45"/>
      <c r="AH505" s="51"/>
      <c r="AI505" s="53">
        <v>7</v>
      </c>
      <c r="AJ505" s="45">
        <v>442.34999999999991</v>
      </c>
      <c r="AK505" s="45"/>
      <c r="AL505" s="45"/>
      <c r="AM505" s="45"/>
      <c r="AN505" s="45"/>
      <c r="AO505" s="45"/>
      <c r="AP505" s="51"/>
    </row>
    <row r="506" spans="1:42" ht="21" customHeight="1" thickTop="1" thickBot="1" x14ac:dyDescent="0.35">
      <c r="A506" s="63"/>
      <c r="B506" s="66"/>
      <c r="C506" s="53">
        <v>8</v>
      </c>
      <c r="D506" s="45">
        <v>442.55999999999989</v>
      </c>
      <c r="E506" s="45"/>
      <c r="F506" s="45"/>
      <c r="G506" s="45"/>
      <c r="H506" s="45"/>
      <c r="I506" s="45"/>
      <c r="J506" s="51"/>
      <c r="K506" s="53">
        <v>8</v>
      </c>
      <c r="L506" s="45">
        <v>443.07999999999981</v>
      </c>
      <c r="M506" s="45"/>
      <c r="N506" s="45"/>
      <c r="O506" s="45"/>
      <c r="P506" s="45"/>
      <c r="Q506" s="45"/>
      <c r="R506" s="51"/>
      <c r="S506" s="53">
        <v>8</v>
      </c>
      <c r="T506" s="45">
        <v>445.05999999999989</v>
      </c>
      <c r="U506" s="45"/>
      <c r="V506" s="45"/>
      <c r="W506" s="45"/>
      <c r="X506" s="45"/>
      <c r="Y506" s="45"/>
      <c r="Z506" s="51"/>
      <c r="AA506" s="53">
        <v>8</v>
      </c>
      <c r="AB506" s="45">
        <v>440.69999999999987</v>
      </c>
      <c r="AC506" s="45"/>
      <c r="AD506" s="45"/>
      <c r="AE506" s="45"/>
      <c r="AF506" s="45"/>
      <c r="AG506" s="45"/>
      <c r="AH506" s="51"/>
      <c r="AI506" s="53">
        <v>8</v>
      </c>
      <c r="AJ506" s="45">
        <v>442.44999999999987</v>
      </c>
      <c r="AK506" s="45"/>
      <c r="AL506" s="45"/>
      <c r="AM506" s="45"/>
      <c r="AN506" s="45"/>
      <c r="AO506" s="45"/>
      <c r="AP506" s="51"/>
    </row>
    <row r="507" spans="1:42" ht="21" customHeight="1" thickTop="1" thickBot="1" x14ac:dyDescent="0.35">
      <c r="A507" s="63"/>
      <c r="B507" s="66"/>
      <c r="C507" s="53">
        <v>9</v>
      </c>
      <c r="D507" s="45">
        <v>442.56999999999982</v>
      </c>
      <c r="E507" s="45"/>
      <c r="F507" s="45"/>
      <c r="G507" s="45"/>
      <c r="H507" s="45"/>
      <c r="I507" s="45"/>
      <c r="J507" s="51"/>
      <c r="K507" s="53">
        <v>9</v>
      </c>
      <c r="L507" s="45">
        <v>441.98999999999978</v>
      </c>
      <c r="M507" s="45"/>
      <c r="N507" s="45"/>
      <c r="O507" s="45"/>
      <c r="P507" s="45"/>
      <c r="Q507" s="45"/>
      <c r="R507" s="51"/>
      <c r="S507" s="53">
        <v>9</v>
      </c>
      <c r="T507" s="45">
        <v>442.28999999999979</v>
      </c>
      <c r="U507" s="45"/>
      <c r="V507" s="45"/>
      <c r="W507" s="45"/>
      <c r="X507" s="45"/>
      <c r="Y507" s="45"/>
      <c r="Z507" s="51"/>
      <c r="AA507" s="53">
        <v>9</v>
      </c>
      <c r="AB507" s="45">
        <v>441.06999999999982</v>
      </c>
      <c r="AC507" s="45"/>
      <c r="AD507" s="45"/>
      <c r="AE507" s="45"/>
      <c r="AF507" s="45"/>
      <c r="AG507" s="45"/>
      <c r="AH507" s="51"/>
      <c r="AI507" s="53">
        <v>9</v>
      </c>
      <c r="AJ507" s="45">
        <v>442.34999999999991</v>
      </c>
      <c r="AK507" s="45"/>
      <c r="AL507" s="45"/>
      <c r="AM507" s="45"/>
      <c r="AN507" s="45"/>
      <c r="AO507" s="45"/>
      <c r="AP507" s="51"/>
    </row>
    <row r="508" spans="1:42" ht="21" customHeight="1" thickTop="1" thickBot="1" x14ac:dyDescent="0.35">
      <c r="A508" s="63"/>
      <c r="B508" s="66"/>
      <c r="C508" s="53">
        <v>10</v>
      </c>
      <c r="D508" s="45">
        <v>442.66999999999979</v>
      </c>
      <c r="E508" s="45"/>
      <c r="F508" s="45"/>
      <c r="G508" s="45"/>
      <c r="H508" s="45"/>
      <c r="I508" s="45"/>
      <c r="J508" s="51"/>
      <c r="K508" s="53">
        <v>10</v>
      </c>
      <c r="L508" s="45">
        <v>444.60999999999979</v>
      </c>
      <c r="M508" s="45"/>
      <c r="N508" s="45"/>
      <c r="O508" s="45"/>
      <c r="P508" s="45"/>
      <c r="Q508" s="45"/>
      <c r="R508" s="51"/>
      <c r="S508" s="53">
        <v>10</v>
      </c>
      <c r="T508" s="45">
        <v>445.89999999999992</v>
      </c>
      <c r="U508" s="45"/>
      <c r="V508" s="45"/>
      <c r="W508" s="45"/>
      <c r="X508" s="45"/>
      <c r="Y508" s="45"/>
      <c r="Z508" s="51"/>
      <c r="AA508" s="53">
        <v>10</v>
      </c>
      <c r="AB508" s="45">
        <v>442.82999999999981</v>
      </c>
      <c r="AC508" s="45"/>
      <c r="AD508" s="45"/>
      <c r="AE508" s="45"/>
      <c r="AF508" s="45"/>
      <c r="AG508" s="45"/>
      <c r="AH508" s="51"/>
      <c r="AI508" s="53">
        <v>10</v>
      </c>
      <c r="AJ508" s="45">
        <v>443.1099999999999</v>
      </c>
      <c r="AK508" s="45"/>
      <c r="AL508" s="45"/>
      <c r="AM508" s="45"/>
      <c r="AN508" s="45"/>
      <c r="AO508" s="45"/>
      <c r="AP508" s="51"/>
    </row>
    <row r="509" spans="1:42" ht="21" customHeight="1" thickTop="1" thickBot="1" x14ac:dyDescent="0.35">
      <c r="A509" s="63"/>
      <c r="B509" s="66"/>
      <c r="C509" s="53"/>
      <c r="D509" s="45"/>
      <c r="E509" s="45"/>
      <c r="F509" s="45"/>
      <c r="G509" s="45"/>
      <c r="H509" s="45"/>
      <c r="I509" s="45"/>
      <c r="J509" s="51"/>
      <c r="K509" s="53"/>
      <c r="L509" s="45"/>
      <c r="M509" s="45"/>
      <c r="N509" s="45"/>
      <c r="O509" s="45"/>
      <c r="P509" s="45"/>
      <c r="Q509" s="45"/>
      <c r="R509" s="51"/>
      <c r="S509" s="53"/>
      <c r="T509" s="45"/>
      <c r="U509" s="45"/>
      <c r="V509" s="45"/>
      <c r="W509" s="45"/>
      <c r="X509" s="45"/>
      <c r="Y509" s="45"/>
      <c r="Z509" s="51"/>
      <c r="AA509" s="53"/>
      <c r="AB509" s="45"/>
      <c r="AC509" s="45"/>
      <c r="AD509" s="45"/>
      <c r="AE509" s="45"/>
      <c r="AF509" s="45"/>
      <c r="AG509" s="45"/>
      <c r="AH509" s="51"/>
      <c r="AI509" s="53"/>
      <c r="AJ509" s="45"/>
      <c r="AK509" s="45"/>
      <c r="AL509" s="45"/>
      <c r="AM509" s="45"/>
      <c r="AN509" s="45"/>
      <c r="AO509" s="45"/>
      <c r="AP509" s="51"/>
    </row>
    <row r="510" spans="1:42" ht="21" customHeight="1" thickTop="1" thickBot="1" x14ac:dyDescent="0.35">
      <c r="A510" s="63"/>
      <c r="B510" s="66"/>
      <c r="C510" s="54" t="s">
        <v>16</v>
      </c>
      <c r="D510" s="49">
        <f>MIN(D499:D508)</f>
        <v>441.00999999999982</v>
      </c>
      <c r="E510" s="45"/>
      <c r="F510" s="55" t="s">
        <v>17</v>
      </c>
      <c r="G510" s="49" t="s">
        <v>18</v>
      </c>
      <c r="H510" s="49" t="s">
        <v>19</v>
      </c>
      <c r="I510" s="45"/>
      <c r="J510" s="51"/>
      <c r="K510" s="54" t="s">
        <v>16</v>
      </c>
      <c r="L510" s="49">
        <f>MIN(L499:L508)</f>
        <v>441.98999999999978</v>
      </c>
      <c r="M510" s="45"/>
      <c r="N510" s="55" t="s">
        <v>17</v>
      </c>
      <c r="O510" s="49" t="s">
        <v>18</v>
      </c>
      <c r="P510" s="49" t="s">
        <v>19</v>
      </c>
      <c r="Q510" s="45"/>
      <c r="R510" s="51"/>
      <c r="S510" s="54" t="s">
        <v>16</v>
      </c>
      <c r="T510" s="49">
        <f>MIN(T499:T508)</f>
        <v>441.59999999999991</v>
      </c>
      <c r="U510" s="45"/>
      <c r="V510" s="55" t="s">
        <v>17</v>
      </c>
      <c r="W510" s="49" t="s">
        <v>18</v>
      </c>
      <c r="X510" s="49" t="s">
        <v>19</v>
      </c>
      <c r="Y510" s="45"/>
      <c r="Z510" s="51"/>
      <c r="AA510" s="54" t="s">
        <v>16</v>
      </c>
      <c r="AB510" s="49">
        <f>MIN(AB499:AB508)</f>
        <v>440.69999999999987</v>
      </c>
      <c r="AC510" s="45"/>
      <c r="AD510" s="55" t="s">
        <v>17</v>
      </c>
      <c r="AE510" s="49" t="s">
        <v>18</v>
      </c>
      <c r="AF510" s="49" t="s">
        <v>19</v>
      </c>
      <c r="AG510" s="45"/>
      <c r="AH510" s="51"/>
      <c r="AI510" s="54" t="s">
        <v>16</v>
      </c>
      <c r="AJ510" s="49">
        <f>MIN(AJ499:AJ508)</f>
        <v>442.34999999999991</v>
      </c>
      <c r="AK510" s="45"/>
      <c r="AL510" s="55" t="s">
        <v>17</v>
      </c>
      <c r="AM510" s="49" t="s">
        <v>18</v>
      </c>
      <c r="AN510" s="49" t="s">
        <v>19</v>
      </c>
      <c r="AO510" s="45"/>
      <c r="AP510" s="51"/>
    </row>
    <row r="511" spans="1:42" ht="21" customHeight="1" thickTop="1" thickBot="1" x14ac:dyDescent="0.35">
      <c r="A511" s="63"/>
      <c r="B511" s="66"/>
      <c r="C511" s="54" t="s">
        <v>20</v>
      </c>
      <c r="D511" s="48">
        <f>AVERAGE(D499:D508)</f>
        <v>442.20599999999985</v>
      </c>
      <c r="E511" s="47"/>
      <c r="F511" s="48">
        <f>_xlfn.STDEV.S(D499:D508) / AVERAGE(D499:D508) * 100%</f>
        <v>1.5886768595204429E-3</v>
      </c>
      <c r="G511" s="48">
        <f t="array" ref="G511">MIN((D499:D508 - MIN(D499:D508,L499:L508,T499:T508,AB499:AB508,AJ499:AJ508))/MIN(D499:D508,L499:L508,T499:T508,AB499:AB508,AJ499:AJ508)*100%)</f>
        <v>7.0342636714305765E-4</v>
      </c>
      <c r="H511" s="48">
        <f t="array" ref="H511">AVERAGE((D499:D508 - MIN(D499:D508,L499:L508,T499:T508,AB499:AB508,AJ499:AJ508))/MIN(D499:D508,L499:L508,T499:T508,AB499:AB508,AJ499:AJ508)*100%)</f>
        <v>3.4172906739277538E-3</v>
      </c>
      <c r="I511" s="45"/>
      <c r="J511" s="51"/>
      <c r="K511" s="54" t="s">
        <v>20</v>
      </c>
      <c r="L511" s="48">
        <f>AVERAGE(L499:L508)</f>
        <v>443.1359999999998</v>
      </c>
      <c r="M511" s="47"/>
      <c r="N511" s="48">
        <f>_xlfn.STDEV.S(L499:L508) / AVERAGE(L499:L508) * 100%</f>
        <v>2.0501730580974394E-3</v>
      </c>
      <c r="O511" s="48">
        <f t="array" ref="O511">MIN((L499:L508 - MIN(D499:D508,L499:L508,T499:T508,AB499:AB508,AJ499:AJ508))/MIN(D499:D508,L499:L508,T499:T508,AB499:AB508,AJ499:AJ508)*100%)</f>
        <v>2.9271613342407693E-3</v>
      </c>
      <c r="P511" s="48">
        <f t="array" ref="P511">AVERAGE((L499:L508 - MIN(D499:D508,L499:L508,T499:T508,AB499:AB508,AJ499:AJ508))/MIN(D499:D508,L499:L508,T499:T508,AB499:AB508,AJ499:AJ508)*100%)</f>
        <v>5.5275697753572753E-3</v>
      </c>
      <c r="Q511" s="44"/>
      <c r="R511" s="51"/>
      <c r="S511" s="54" t="s">
        <v>20</v>
      </c>
      <c r="T511" s="48">
        <f>AVERAGE(T499:T508)</f>
        <v>443.6149999999999</v>
      </c>
      <c r="U511" s="47"/>
      <c r="V511" s="48">
        <f>_xlfn.STDEV.S(T499:T508) / AVERAGE(T499:T508) * 100%</f>
        <v>3.0326740366085213E-3</v>
      </c>
      <c r="W511" s="48">
        <f t="array" ref="W511">MIN((T499:T508 - MIN(D499:D508,L499:L508,T499:T508,AB499:AB508,AJ499:AJ508))/MIN(D499:D508,L499:L508,T499:T508,AB499:AB508,AJ499:AJ508)*100%)</f>
        <v>2.0422055820286688E-3</v>
      </c>
      <c r="X511" s="48">
        <f t="array" ref="X511">AVERAGE((T499:T508 - MIN(D499:D508,L499:L508,T499:T508,AB499:AB508,AJ499:AJ508))/MIN(D499:D508,L499:L508,T499:T508,AB499:AB508,AJ499:AJ508)*100%)</f>
        <v>6.6144769684592531E-3</v>
      </c>
      <c r="Y511" s="44"/>
      <c r="Z511" s="51"/>
      <c r="AA511" s="54" t="s">
        <v>20</v>
      </c>
      <c r="AB511" s="48">
        <f>AVERAGE(AB499:AB508)</f>
        <v>442.54999999999984</v>
      </c>
      <c r="AC511" s="47"/>
      <c r="AD511" s="48">
        <f>_xlfn.STDEV.S(AB499:AB508) / AVERAGE(AB499:AB508) * 100%</f>
        <v>2.8860842851053787E-3</v>
      </c>
      <c r="AE511" s="48">
        <f t="array" ref="AE511">MIN((AB499:AB508 - MIN(D499:D508,L499:L508,T499:T508,AB499:AB508,AJ499:AJ508))/MIN(D499:D508,L499:L508,T499:T508,AB499:AB508,AJ499:AJ508)*100%)</f>
        <v>0</v>
      </c>
      <c r="AF511" s="48">
        <f t="array" ref="AF511">AVERAGE((AB499:AB508 - MIN(D499:D508,L499:L508,T499:T508,AB499:AB508,AJ499:AJ508))/MIN(D499:D508,L499:L508,T499:T508,AB499:AB508,AJ499:AJ508)*100%)</f>
        <v>4.1978670297253603E-3</v>
      </c>
      <c r="AG511" s="44"/>
      <c r="AH511" s="51"/>
      <c r="AI511" s="54" t="s">
        <v>20</v>
      </c>
      <c r="AJ511" s="48">
        <f>AVERAGE(AJ499:AJ508)</f>
        <v>442.77499999999992</v>
      </c>
      <c r="AK511" s="47"/>
      <c r="AL511" s="48">
        <f>_xlfn.STDEV.S(AJ499:AJ508) / AVERAGE(AJ499:AJ508) * 100%</f>
        <v>1.0000574368397E-3</v>
      </c>
      <c r="AM511" s="48">
        <f t="array" ref="AM511">MIN((AJ499:AJ508 - MIN(D499:D508,L499:L508,T499:T508,AB499:AB508,AJ499:AJ508))/MIN(D499:D508,L499:L508,T499:T508,AB499:AB508,AJ499:AJ508)*100%)</f>
        <v>3.7440435670524951E-3</v>
      </c>
      <c r="AN511" s="48">
        <f t="array" ref="AN511">AVERAGE((AJ499:AJ508 - MIN(D499:D508,L499:L508,T499:T508,AB499:AB508,AJ499:AJ508))/MIN(D499:D508,L499:L508,T499:T508,AB499:AB508,AJ499:AJ508)*100%)</f>
        <v>4.708418425232651E-3</v>
      </c>
      <c r="AO511" s="44"/>
      <c r="AP511" s="51"/>
    </row>
    <row r="512" spans="1:42" ht="21" customHeight="1" thickTop="1" thickBot="1" x14ac:dyDescent="0.35">
      <c r="A512" s="63"/>
      <c r="B512" s="67"/>
      <c r="C512" s="53"/>
      <c r="D512" s="44"/>
      <c r="E512" s="44"/>
      <c r="F512" s="44"/>
      <c r="G512" s="44"/>
      <c r="H512" s="44"/>
      <c r="I512" s="44"/>
      <c r="J512" s="51"/>
      <c r="K512" s="53"/>
      <c r="L512" s="44"/>
      <c r="M512" s="44"/>
      <c r="N512" s="44"/>
      <c r="O512" s="44"/>
      <c r="P512" s="44"/>
      <c r="Q512" s="44"/>
      <c r="R512" s="51"/>
      <c r="S512" s="53"/>
      <c r="T512" s="44"/>
      <c r="U512" s="44"/>
      <c r="V512" s="44"/>
      <c r="W512" s="44"/>
      <c r="X512" s="44"/>
      <c r="Y512" s="44"/>
      <c r="Z512" s="51"/>
      <c r="AA512" s="53"/>
      <c r="AB512" s="44"/>
      <c r="AC512" s="44"/>
      <c r="AD512" s="44"/>
      <c r="AE512" s="44"/>
      <c r="AF512" s="44"/>
      <c r="AG512" s="44"/>
      <c r="AH512" s="51"/>
      <c r="AI512" s="53"/>
      <c r="AJ512" s="44"/>
      <c r="AK512" s="44"/>
      <c r="AL512" s="44"/>
      <c r="AM512" s="44"/>
      <c r="AN512" s="44"/>
      <c r="AO512" s="44"/>
      <c r="AP512" s="51"/>
    </row>
    <row r="513" spans="1:42" ht="21" customHeight="1" thickTop="1" thickBot="1" x14ac:dyDescent="0.35">
      <c r="A513" s="63"/>
      <c r="B513" s="65" t="s">
        <v>140</v>
      </c>
      <c r="C513" s="59" t="s">
        <v>8</v>
      </c>
      <c r="D513" s="46" t="s">
        <v>9</v>
      </c>
      <c r="E513" s="46" t="s">
        <v>10</v>
      </c>
      <c r="F513" s="46" t="s">
        <v>11</v>
      </c>
      <c r="G513" s="46" t="s">
        <v>12</v>
      </c>
      <c r="H513" s="46" t="s">
        <v>13</v>
      </c>
      <c r="I513" s="46" t="s">
        <v>14</v>
      </c>
      <c r="J513" s="60" t="s">
        <v>15</v>
      </c>
      <c r="K513" s="59" t="s">
        <v>8</v>
      </c>
      <c r="L513" s="46" t="s">
        <v>9</v>
      </c>
      <c r="M513" s="46" t="s">
        <v>10</v>
      </c>
      <c r="N513" s="46" t="s">
        <v>11</v>
      </c>
      <c r="O513" s="46" t="s">
        <v>12</v>
      </c>
      <c r="P513" s="46" t="s">
        <v>13</v>
      </c>
      <c r="Q513" s="46" t="s">
        <v>14</v>
      </c>
      <c r="R513" s="60" t="s">
        <v>15</v>
      </c>
      <c r="S513" s="59" t="s">
        <v>8</v>
      </c>
      <c r="T513" s="46" t="s">
        <v>9</v>
      </c>
      <c r="U513" s="46" t="s">
        <v>10</v>
      </c>
      <c r="V513" s="46" t="s">
        <v>11</v>
      </c>
      <c r="W513" s="46" t="s">
        <v>12</v>
      </c>
      <c r="X513" s="46" t="s">
        <v>13</v>
      </c>
      <c r="Y513" s="46" t="s">
        <v>14</v>
      </c>
      <c r="Z513" s="60" t="s">
        <v>15</v>
      </c>
      <c r="AA513" s="59" t="s">
        <v>8</v>
      </c>
      <c r="AB513" s="46" t="s">
        <v>9</v>
      </c>
      <c r="AC513" s="46" t="s">
        <v>10</v>
      </c>
      <c r="AD513" s="46" t="s">
        <v>11</v>
      </c>
      <c r="AE513" s="46" t="s">
        <v>12</v>
      </c>
      <c r="AF513" s="46" t="s">
        <v>13</v>
      </c>
      <c r="AG513" s="46" t="s">
        <v>14</v>
      </c>
      <c r="AH513" s="60" t="s">
        <v>15</v>
      </c>
      <c r="AI513" s="59" t="s">
        <v>8</v>
      </c>
      <c r="AJ513" s="46" t="s">
        <v>9</v>
      </c>
      <c r="AK513" s="46" t="s">
        <v>10</v>
      </c>
      <c r="AL513" s="46" t="s">
        <v>11</v>
      </c>
      <c r="AM513" s="46" t="s">
        <v>12</v>
      </c>
      <c r="AN513" s="46" t="s">
        <v>13</v>
      </c>
      <c r="AO513" s="46" t="s">
        <v>14</v>
      </c>
      <c r="AP513" s="60" t="s">
        <v>15</v>
      </c>
    </row>
    <row r="514" spans="1:42" ht="21" customHeight="1" thickTop="1" thickBot="1" x14ac:dyDescent="0.35">
      <c r="A514" s="63"/>
      <c r="B514" s="66"/>
      <c r="C514" s="52">
        <v>1</v>
      </c>
      <c r="D514" s="44">
        <v>454.88999999999987</v>
      </c>
      <c r="E514" s="44"/>
      <c r="F514" s="44"/>
      <c r="G514" s="44"/>
      <c r="H514" s="44"/>
      <c r="I514" s="44"/>
      <c r="J514" s="51"/>
      <c r="K514" s="52">
        <v>1</v>
      </c>
      <c r="L514" s="44">
        <v>455.95999999999992</v>
      </c>
      <c r="M514" s="44"/>
      <c r="N514" s="44"/>
      <c r="O514" s="44"/>
      <c r="P514" s="44"/>
      <c r="Q514" s="44"/>
      <c r="R514" s="51"/>
      <c r="S514" s="52">
        <v>1</v>
      </c>
      <c r="T514" s="44">
        <v>453.89999999999992</v>
      </c>
      <c r="U514" s="44"/>
      <c r="V514" s="44"/>
      <c r="W514" s="44"/>
      <c r="X514" s="44"/>
      <c r="Y514" s="44"/>
      <c r="Z514" s="51"/>
      <c r="AA514" s="52">
        <v>1</v>
      </c>
      <c r="AB514" s="44">
        <v>456.69999999999982</v>
      </c>
      <c r="AC514" s="44"/>
      <c r="AD514" s="44"/>
      <c r="AE514" s="44"/>
      <c r="AF514" s="44"/>
      <c r="AG514" s="44"/>
      <c r="AH514" s="51"/>
      <c r="AI514" s="52">
        <v>1</v>
      </c>
      <c r="AJ514" s="44">
        <v>453.08999999999992</v>
      </c>
      <c r="AK514" s="44"/>
      <c r="AL514" s="44"/>
      <c r="AM514" s="44"/>
      <c r="AN514" s="44"/>
      <c r="AO514" s="44"/>
      <c r="AP514" s="51"/>
    </row>
    <row r="515" spans="1:42" ht="21" customHeight="1" thickTop="1" thickBot="1" x14ac:dyDescent="0.35">
      <c r="A515" s="63"/>
      <c r="B515" s="66"/>
      <c r="C515" s="53">
        <v>2</v>
      </c>
      <c r="D515" s="45">
        <v>454.22999999999979</v>
      </c>
      <c r="E515" s="45"/>
      <c r="F515" s="45"/>
      <c r="G515" s="45"/>
      <c r="H515" s="45"/>
      <c r="I515" s="45"/>
      <c r="J515" s="51"/>
      <c r="K515" s="53">
        <v>2</v>
      </c>
      <c r="L515" s="45">
        <v>454.38999999999987</v>
      </c>
      <c r="M515" s="45"/>
      <c r="N515" s="45"/>
      <c r="O515" s="45"/>
      <c r="P515" s="45"/>
      <c r="Q515" s="45"/>
      <c r="R515" s="51"/>
      <c r="S515" s="53">
        <v>2</v>
      </c>
      <c r="T515" s="45">
        <v>453.74999999999977</v>
      </c>
      <c r="U515" s="45"/>
      <c r="V515" s="45"/>
      <c r="W515" s="45"/>
      <c r="X515" s="45"/>
      <c r="Y515" s="45"/>
      <c r="Z515" s="51"/>
      <c r="AA515" s="53">
        <v>2</v>
      </c>
      <c r="AB515" s="45">
        <v>455.25999999999988</v>
      </c>
      <c r="AC515" s="45"/>
      <c r="AD515" s="45"/>
      <c r="AE515" s="45"/>
      <c r="AF515" s="45"/>
      <c r="AG515" s="45"/>
      <c r="AH515" s="51"/>
      <c r="AI515" s="53">
        <v>2</v>
      </c>
      <c r="AJ515" s="45">
        <v>453.92999999999989</v>
      </c>
      <c r="AK515" s="45"/>
      <c r="AL515" s="45"/>
      <c r="AM515" s="45"/>
      <c r="AN515" s="45"/>
      <c r="AO515" s="45"/>
      <c r="AP515" s="51"/>
    </row>
    <row r="516" spans="1:42" ht="21" customHeight="1" thickTop="1" thickBot="1" x14ac:dyDescent="0.35">
      <c r="A516" s="63"/>
      <c r="B516" s="66"/>
      <c r="C516" s="53">
        <v>3</v>
      </c>
      <c r="D516" s="45">
        <v>452.9799999999999</v>
      </c>
      <c r="E516" s="45"/>
      <c r="F516" s="45"/>
      <c r="G516" s="44"/>
      <c r="H516" s="44"/>
      <c r="I516" s="44"/>
      <c r="J516" s="51"/>
      <c r="K516" s="53">
        <v>3</v>
      </c>
      <c r="L516" s="45">
        <v>454.54999999999978</v>
      </c>
      <c r="M516" s="45"/>
      <c r="N516" s="45"/>
      <c r="O516" s="44"/>
      <c r="P516" s="44"/>
      <c r="Q516" s="44"/>
      <c r="R516" s="51"/>
      <c r="S516" s="53">
        <v>3</v>
      </c>
      <c r="T516" s="45">
        <v>454.09999999999991</v>
      </c>
      <c r="U516" s="45"/>
      <c r="V516" s="45"/>
      <c r="W516" s="44"/>
      <c r="X516" s="44"/>
      <c r="Y516" s="44"/>
      <c r="Z516" s="51"/>
      <c r="AA516" s="53">
        <v>3</v>
      </c>
      <c r="AB516" s="45">
        <v>454.73999999999978</v>
      </c>
      <c r="AC516" s="45"/>
      <c r="AD516" s="45"/>
      <c r="AE516" s="44"/>
      <c r="AF516" s="44"/>
      <c r="AG516" s="44"/>
      <c r="AH516" s="51"/>
      <c r="AI516" s="53">
        <v>3</v>
      </c>
      <c r="AJ516" s="45">
        <v>453.90999999999991</v>
      </c>
      <c r="AK516" s="45"/>
      <c r="AL516" s="45"/>
      <c r="AM516" s="44"/>
      <c r="AN516" s="44"/>
      <c r="AO516" s="44"/>
      <c r="AP516" s="51"/>
    </row>
    <row r="517" spans="1:42" ht="21" customHeight="1" thickTop="1" thickBot="1" x14ac:dyDescent="0.35">
      <c r="A517" s="63"/>
      <c r="B517" s="66"/>
      <c r="C517" s="53">
        <v>4</v>
      </c>
      <c r="D517" s="45">
        <v>454.70999999999992</v>
      </c>
      <c r="E517" s="45"/>
      <c r="F517" s="45"/>
      <c r="G517" s="45"/>
      <c r="H517" s="45"/>
      <c r="I517" s="45"/>
      <c r="J517" s="51"/>
      <c r="K517" s="53">
        <v>4</v>
      </c>
      <c r="L517" s="45">
        <v>455.70999999999992</v>
      </c>
      <c r="M517" s="45"/>
      <c r="N517" s="45"/>
      <c r="O517" s="45"/>
      <c r="P517" s="45"/>
      <c r="Q517" s="45"/>
      <c r="R517" s="51"/>
      <c r="S517" s="53">
        <v>4</v>
      </c>
      <c r="T517" s="45">
        <v>455.68999999999983</v>
      </c>
      <c r="U517" s="45"/>
      <c r="V517" s="45"/>
      <c r="W517" s="45"/>
      <c r="X517" s="45"/>
      <c r="Y517" s="45"/>
      <c r="Z517" s="51"/>
      <c r="AA517" s="53">
        <v>4</v>
      </c>
      <c r="AB517" s="45">
        <v>455.30999999999977</v>
      </c>
      <c r="AC517" s="45"/>
      <c r="AD517" s="45"/>
      <c r="AE517" s="45"/>
      <c r="AF517" s="45"/>
      <c r="AG517" s="45"/>
      <c r="AH517" s="51"/>
      <c r="AI517" s="53">
        <v>4</v>
      </c>
      <c r="AJ517" s="45">
        <v>453.62999999999988</v>
      </c>
      <c r="AK517" s="45"/>
      <c r="AL517" s="45"/>
      <c r="AM517" s="45"/>
      <c r="AN517" s="45"/>
      <c r="AO517" s="45"/>
      <c r="AP517" s="51"/>
    </row>
    <row r="518" spans="1:42" ht="21" customHeight="1" thickTop="1" thickBot="1" x14ac:dyDescent="0.35">
      <c r="A518" s="63"/>
      <c r="B518" s="66"/>
      <c r="C518" s="53">
        <v>5</v>
      </c>
      <c r="D518" s="45">
        <v>454.78999999999979</v>
      </c>
      <c r="E518" s="45"/>
      <c r="F518" s="45"/>
      <c r="G518" s="45"/>
      <c r="H518" s="45"/>
      <c r="I518" s="45"/>
      <c r="J518" s="51"/>
      <c r="K518" s="53">
        <v>5</v>
      </c>
      <c r="L518" s="45">
        <v>455.36999999999989</v>
      </c>
      <c r="M518" s="45"/>
      <c r="N518" s="45"/>
      <c r="O518" s="45"/>
      <c r="P518" s="45"/>
      <c r="Q518" s="45"/>
      <c r="R518" s="51"/>
      <c r="S518" s="53">
        <v>5</v>
      </c>
      <c r="T518" s="45">
        <v>454.83999999999992</v>
      </c>
      <c r="U518" s="45"/>
      <c r="V518" s="45"/>
      <c r="W518" s="45"/>
      <c r="X518" s="45"/>
      <c r="Y518" s="45"/>
      <c r="Z518" s="51"/>
      <c r="AA518" s="53">
        <v>5</v>
      </c>
      <c r="AB518" s="45">
        <v>454.14999999999992</v>
      </c>
      <c r="AC518" s="45"/>
      <c r="AD518" s="45"/>
      <c r="AE518" s="45"/>
      <c r="AF518" s="45"/>
      <c r="AG518" s="45"/>
      <c r="AH518" s="51"/>
      <c r="AI518" s="53">
        <v>5</v>
      </c>
      <c r="AJ518" s="45">
        <v>453.97</v>
      </c>
      <c r="AK518" s="45"/>
      <c r="AL518" s="45"/>
      <c r="AM518" s="45"/>
      <c r="AN518" s="45"/>
      <c r="AO518" s="45"/>
      <c r="AP518" s="51"/>
    </row>
    <row r="519" spans="1:42" ht="21" customHeight="1" thickTop="1" thickBot="1" x14ac:dyDescent="0.35">
      <c r="A519" s="63"/>
      <c r="B519" s="66"/>
      <c r="C519" s="53">
        <v>6</v>
      </c>
      <c r="D519" s="45">
        <v>453.87999999999982</v>
      </c>
      <c r="E519" s="45"/>
      <c r="F519" s="45"/>
      <c r="G519" s="45"/>
      <c r="H519" s="45"/>
      <c r="I519" s="45"/>
      <c r="J519" s="51"/>
      <c r="K519" s="53">
        <v>6</v>
      </c>
      <c r="L519" s="45">
        <v>455.06999999999982</v>
      </c>
      <c r="M519" s="45"/>
      <c r="N519" s="45"/>
      <c r="O519" s="45"/>
      <c r="P519" s="45"/>
      <c r="Q519" s="45"/>
      <c r="R519" s="51"/>
      <c r="S519" s="53">
        <v>6</v>
      </c>
      <c r="T519" s="45">
        <v>455.24999999999977</v>
      </c>
      <c r="U519" s="45"/>
      <c r="V519" s="45"/>
      <c r="W519" s="45"/>
      <c r="X519" s="45"/>
      <c r="Y519" s="45"/>
      <c r="Z519" s="51"/>
      <c r="AA519" s="53">
        <v>6</v>
      </c>
      <c r="AB519" s="45">
        <v>455.02999999999992</v>
      </c>
      <c r="AC519" s="45"/>
      <c r="AD519" s="45"/>
      <c r="AE519" s="45"/>
      <c r="AF519" s="45"/>
      <c r="AG519" s="45"/>
      <c r="AH519" s="51"/>
      <c r="AI519" s="53">
        <v>6</v>
      </c>
      <c r="AJ519" s="45">
        <v>453.11999999999989</v>
      </c>
      <c r="AK519" s="45"/>
      <c r="AL519" s="45"/>
      <c r="AM519" s="45"/>
      <c r="AN519" s="45"/>
      <c r="AO519" s="45"/>
      <c r="AP519" s="51"/>
    </row>
    <row r="520" spans="1:42" ht="21" customHeight="1" thickTop="1" thickBot="1" x14ac:dyDescent="0.35">
      <c r="A520" s="63"/>
      <c r="B520" s="66"/>
      <c r="C520" s="53">
        <v>7</v>
      </c>
      <c r="D520" s="45">
        <v>453.9699999999998</v>
      </c>
      <c r="E520" s="45"/>
      <c r="F520" s="45"/>
      <c r="G520" s="45"/>
      <c r="H520" s="45"/>
      <c r="I520" s="45"/>
      <c r="J520" s="51"/>
      <c r="K520" s="53">
        <v>7</v>
      </c>
      <c r="L520" s="45">
        <v>454.11999999999978</v>
      </c>
      <c r="M520" s="45"/>
      <c r="N520" s="45"/>
      <c r="O520" s="45"/>
      <c r="P520" s="45"/>
      <c r="Q520" s="45"/>
      <c r="R520" s="51"/>
      <c r="S520" s="53">
        <v>7</v>
      </c>
      <c r="T520" s="45">
        <v>454.08999999999992</v>
      </c>
      <c r="U520" s="45"/>
      <c r="V520" s="45"/>
      <c r="W520" s="45"/>
      <c r="X520" s="45"/>
      <c r="Y520" s="45"/>
      <c r="Z520" s="51"/>
      <c r="AA520" s="53">
        <v>7</v>
      </c>
      <c r="AB520" s="45">
        <v>453.75999999999982</v>
      </c>
      <c r="AC520" s="45"/>
      <c r="AD520" s="45"/>
      <c r="AE520" s="45"/>
      <c r="AF520" s="45"/>
      <c r="AG520" s="45"/>
      <c r="AH520" s="51"/>
      <c r="AI520" s="53">
        <v>7</v>
      </c>
      <c r="AJ520" s="45">
        <v>453.64999999999992</v>
      </c>
      <c r="AK520" s="45"/>
      <c r="AL520" s="45"/>
      <c r="AM520" s="45"/>
      <c r="AN520" s="45"/>
      <c r="AO520" s="45"/>
      <c r="AP520" s="51"/>
    </row>
    <row r="521" spans="1:42" ht="21" customHeight="1" thickTop="1" thickBot="1" x14ac:dyDescent="0.35">
      <c r="A521" s="63"/>
      <c r="B521" s="66"/>
      <c r="C521" s="53">
        <v>8</v>
      </c>
      <c r="D521" s="45">
        <v>454.0499999999999</v>
      </c>
      <c r="E521" s="45"/>
      <c r="F521" s="45"/>
      <c r="G521" s="45"/>
      <c r="H521" s="45"/>
      <c r="I521" s="45"/>
      <c r="J521" s="51"/>
      <c r="K521" s="53">
        <v>8</v>
      </c>
      <c r="L521" s="45">
        <v>454.7399999999999</v>
      </c>
      <c r="M521" s="45"/>
      <c r="N521" s="45"/>
      <c r="O521" s="45"/>
      <c r="P521" s="45"/>
      <c r="Q521" s="45"/>
      <c r="R521" s="51"/>
      <c r="S521" s="53">
        <v>8</v>
      </c>
      <c r="T521" s="45">
        <v>456.51999999999992</v>
      </c>
      <c r="U521" s="45"/>
      <c r="V521" s="45"/>
      <c r="W521" s="45"/>
      <c r="X521" s="45"/>
      <c r="Y521" s="45"/>
      <c r="Z521" s="51"/>
      <c r="AA521" s="53">
        <v>8</v>
      </c>
      <c r="AB521" s="45">
        <v>454.5899999999998</v>
      </c>
      <c r="AC521" s="45"/>
      <c r="AD521" s="45"/>
      <c r="AE521" s="45"/>
      <c r="AF521" s="45"/>
      <c r="AG521" s="45"/>
      <c r="AH521" s="51"/>
      <c r="AI521" s="53">
        <v>8</v>
      </c>
      <c r="AJ521" s="45">
        <v>453.84999999999991</v>
      </c>
      <c r="AK521" s="45"/>
      <c r="AL521" s="45"/>
      <c r="AM521" s="45"/>
      <c r="AN521" s="45"/>
      <c r="AO521" s="45"/>
      <c r="AP521" s="51"/>
    </row>
    <row r="522" spans="1:42" ht="21" customHeight="1" thickTop="1" thickBot="1" x14ac:dyDescent="0.35">
      <c r="A522" s="63"/>
      <c r="B522" s="66"/>
      <c r="C522" s="53">
        <v>9</v>
      </c>
      <c r="D522" s="45">
        <v>454.5899999999998</v>
      </c>
      <c r="E522" s="45"/>
      <c r="F522" s="45"/>
      <c r="G522" s="45"/>
      <c r="H522" s="45"/>
      <c r="I522" s="45"/>
      <c r="J522" s="51"/>
      <c r="K522" s="53">
        <v>9</v>
      </c>
      <c r="L522" s="45">
        <v>454.82999999999993</v>
      </c>
      <c r="M522" s="45"/>
      <c r="N522" s="45"/>
      <c r="O522" s="45"/>
      <c r="P522" s="45"/>
      <c r="Q522" s="45"/>
      <c r="R522" s="51"/>
      <c r="S522" s="53">
        <v>9</v>
      </c>
      <c r="T522" s="45">
        <v>455.0299999999998</v>
      </c>
      <c r="U522" s="45"/>
      <c r="V522" s="45"/>
      <c r="W522" s="45"/>
      <c r="X522" s="45"/>
      <c r="Y522" s="45"/>
      <c r="Z522" s="51"/>
      <c r="AA522" s="53">
        <v>9</v>
      </c>
      <c r="AB522" s="45">
        <v>454.40999999999991</v>
      </c>
      <c r="AC522" s="45"/>
      <c r="AD522" s="45"/>
      <c r="AE522" s="45"/>
      <c r="AF522" s="45"/>
      <c r="AG522" s="45"/>
      <c r="AH522" s="51"/>
      <c r="AI522" s="53">
        <v>9</v>
      </c>
      <c r="AJ522" s="45">
        <v>454.12999999999988</v>
      </c>
      <c r="AK522" s="45"/>
      <c r="AL522" s="45"/>
      <c r="AM522" s="45"/>
      <c r="AN522" s="45"/>
      <c r="AO522" s="45"/>
      <c r="AP522" s="51"/>
    </row>
    <row r="523" spans="1:42" ht="21" customHeight="1" thickTop="1" thickBot="1" x14ac:dyDescent="0.35">
      <c r="A523" s="63"/>
      <c r="B523" s="66"/>
      <c r="C523" s="53">
        <v>10</v>
      </c>
      <c r="D523" s="45">
        <v>454.95999999999981</v>
      </c>
      <c r="E523" s="45"/>
      <c r="F523" s="45"/>
      <c r="G523" s="45"/>
      <c r="H523" s="45"/>
      <c r="I523" s="45"/>
      <c r="J523" s="51"/>
      <c r="K523" s="53">
        <v>10</v>
      </c>
      <c r="L523" s="45">
        <v>454.49999999999989</v>
      </c>
      <c r="M523" s="45"/>
      <c r="N523" s="45"/>
      <c r="O523" s="45"/>
      <c r="P523" s="45"/>
      <c r="Q523" s="45"/>
      <c r="R523" s="51"/>
      <c r="S523" s="53">
        <v>10</v>
      </c>
      <c r="T523" s="45">
        <v>454.66999999999979</v>
      </c>
      <c r="U523" s="45"/>
      <c r="V523" s="45"/>
      <c r="W523" s="45"/>
      <c r="X523" s="45"/>
      <c r="Y523" s="45"/>
      <c r="Z523" s="51"/>
      <c r="AA523" s="53">
        <v>10</v>
      </c>
      <c r="AB523" s="45">
        <v>454.84999999999991</v>
      </c>
      <c r="AC523" s="45"/>
      <c r="AD523" s="45"/>
      <c r="AE523" s="45"/>
      <c r="AF523" s="45"/>
      <c r="AG523" s="45"/>
      <c r="AH523" s="51"/>
      <c r="AI523" s="53">
        <v>10</v>
      </c>
      <c r="AJ523" s="45">
        <v>454.08999999999992</v>
      </c>
      <c r="AK523" s="45"/>
      <c r="AL523" s="45"/>
      <c r="AM523" s="45"/>
      <c r="AN523" s="45"/>
      <c r="AO523" s="45"/>
      <c r="AP523" s="51"/>
    </row>
    <row r="524" spans="1:42" ht="21" customHeight="1" thickTop="1" thickBot="1" x14ac:dyDescent="0.35">
      <c r="A524" s="63"/>
      <c r="B524" s="66"/>
      <c r="C524" s="53"/>
      <c r="D524" s="45"/>
      <c r="E524" s="45"/>
      <c r="F524" s="45"/>
      <c r="G524" s="45"/>
      <c r="H524" s="45"/>
      <c r="I524" s="45"/>
      <c r="J524" s="51"/>
      <c r="K524" s="53"/>
      <c r="L524" s="45"/>
      <c r="M524" s="45"/>
      <c r="N524" s="45"/>
      <c r="O524" s="45"/>
      <c r="P524" s="45"/>
      <c r="Q524" s="45"/>
      <c r="R524" s="51"/>
      <c r="S524" s="53"/>
      <c r="T524" s="45"/>
      <c r="U524" s="45"/>
      <c r="V524" s="45"/>
      <c r="W524" s="45"/>
      <c r="X524" s="45"/>
      <c r="Y524" s="45"/>
      <c r="Z524" s="51"/>
      <c r="AA524" s="53"/>
      <c r="AB524" s="45"/>
      <c r="AC524" s="45"/>
      <c r="AD524" s="45"/>
      <c r="AE524" s="45"/>
      <c r="AF524" s="45"/>
      <c r="AG524" s="45"/>
      <c r="AH524" s="51"/>
      <c r="AI524" s="53"/>
      <c r="AJ524" s="45"/>
      <c r="AK524" s="45"/>
      <c r="AL524" s="45"/>
      <c r="AM524" s="45"/>
      <c r="AN524" s="45"/>
      <c r="AO524" s="45"/>
      <c r="AP524" s="51"/>
    </row>
    <row r="525" spans="1:42" ht="21" customHeight="1" thickTop="1" thickBot="1" x14ac:dyDescent="0.35">
      <c r="A525" s="63"/>
      <c r="B525" s="66"/>
      <c r="C525" s="54" t="s">
        <v>16</v>
      </c>
      <c r="D525" s="49">
        <f>MIN(D514:D523)</f>
        <v>452.9799999999999</v>
      </c>
      <c r="E525" s="45"/>
      <c r="F525" s="55" t="s">
        <v>17</v>
      </c>
      <c r="G525" s="49" t="s">
        <v>18</v>
      </c>
      <c r="H525" s="49" t="s">
        <v>19</v>
      </c>
      <c r="I525" s="45"/>
      <c r="J525" s="51"/>
      <c r="K525" s="54" t="s">
        <v>16</v>
      </c>
      <c r="L525" s="49">
        <f>MIN(L514:L523)</f>
        <v>454.11999999999978</v>
      </c>
      <c r="M525" s="45"/>
      <c r="N525" s="55" t="s">
        <v>17</v>
      </c>
      <c r="O525" s="49" t="s">
        <v>18</v>
      </c>
      <c r="P525" s="49" t="s">
        <v>19</v>
      </c>
      <c r="Q525" s="45"/>
      <c r="R525" s="51"/>
      <c r="S525" s="54" t="s">
        <v>16</v>
      </c>
      <c r="T525" s="49">
        <f>MIN(T514:T523)</f>
        <v>453.74999999999977</v>
      </c>
      <c r="U525" s="45"/>
      <c r="V525" s="55" t="s">
        <v>17</v>
      </c>
      <c r="W525" s="49" t="s">
        <v>18</v>
      </c>
      <c r="X525" s="49" t="s">
        <v>19</v>
      </c>
      <c r="Y525" s="45"/>
      <c r="Z525" s="51"/>
      <c r="AA525" s="54" t="s">
        <v>16</v>
      </c>
      <c r="AB525" s="49">
        <f>MIN(AB514:AB523)</f>
        <v>453.75999999999982</v>
      </c>
      <c r="AC525" s="45"/>
      <c r="AD525" s="55" t="s">
        <v>17</v>
      </c>
      <c r="AE525" s="49" t="s">
        <v>18</v>
      </c>
      <c r="AF525" s="49" t="s">
        <v>19</v>
      </c>
      <c r="AG525" s="45"/>
      <c r="AH525" s="51"/>
      <c r="AI525" s="54" t="s">
        <v>16</v>
      </c>
      <c r="AJ525" s="49">
        <f>MIN(AJ514:AJ523)</f>
        <v>453.08999999999992</v>
      </c>
      <c r="AK525" s="45"/>
      <c r="AL525" s="55" t="s">
        <v>17</v>
      </c>
      <c r="AM525" s="49" t="s">
        <v>18</v>
      </c>
      <c r="AN525" s="49" t="s">
        <v>19</v>
      </c>
      <c r="AO525" s="45"/>
      <c r="AP525" s="51"/>
    </row>
    <row r="526" spans="1:42" ht="21" customHeight="1" thickTop="1" thickBot="1" x14ac:dyDescent="0.35">
      <c r="A526" s="63"/>
      <c r="B526" s="66"/>
      <c r="C526" s="54" t="s">
        <v>20</v>
      </c>
      <c r="D526" s="48">
        <f>AVERAGE(D514:D523)</f>
        <v>454.30499999999984</v>
      </c>
      <c r="E526" s="47"/>
      <c r="F526" s="48">
        <f>_xlfn.STDEV.S(D514:D523) / AVERAGE(D514:D523) * 100%</f>
        <v>1.347103431046034E-3</v>
      </c>
      <c r="G526" s="48">
        <f t="array" ref="G526">MIN((D514:D523 - MIN(D514:D523,L514:L523,T514:T523,AB514:AB523,AJ514:AJ523))/MIN(D514:D523,L514:L523,T514:T523,AB514:AB523,AJ514:AJ523)*100%)</f>
        <v>0</v>
      </c>
      <c r="H526" s="48">
        <f t="array" ref="H526">AVERAGE((D514:D523 - MIN(D514:D523,L514:L523,T514:T523,AB514:AB523,AJ514:AJ523))/MIN(D514:D523,L514:L523,T514:T523,AB514:AB523,AJ514:AJ523)*100%)</f>
        <v>2.9250739546998494E-3</v>
      </c>
      <c r="I526" s="45"/>
      <c r="J526" s="51"/>
      <c r="K526" s="54" t="s">
        <v>20</v>
      </c>
      <c r="L526" s="48">
        <f>AVERAGE(L514:L523)</f>
        <v>454.92399999999986</v>
      </c>
      <c r="M526" s="47"/>
      <c r="N526" s="48">
        <f>_xlfn.STDEV.S(L514:L523) / AVERAGE(L514:L523) * 100%</f>
        <v>1.3118076920063855E-3</v>
      </c>
      <c r="O526" s="48">
        <f t="array" ref="O526">MIN((L514:L523 - MIN(D514:D523,L514:L523,T514:T523,AB514:AB523,AJ514:AJ523))/MIN(D514:D523,L514:L523,T514:T523,AB514:AB523,AJ514:AJ523)*100%)</f>
        <v>2.5166674025340475E-3</v>
      </c>
      <c r="P526" s="48">
        <f t="array" ref="P526">AVERAGE((L514:L523 - MIN(D514:D523,L514:L523,T514:T523,AB514:AB523,AJ514:AJ523))/MIN(D514:D523,L514:L523,T514:T523,AB514:AB523,AJ514:AJ523)*100%)</f>
        <v>4.2915802022163588E-3</v>
      </c>
      <c r="Q526" s="44"/>
      <c r="R526" s="51"/>
      <c r="S526" s="54" t="s">
        <v>20</v>
      </c>
      <c r="T526" s="48">
        <f>AVERAGE(T514:T523)</f>
        <v>454.78399999999982</v>
      </c>
      <c r="U526" s="47"/>
      <c r="V526" s="48">
        <f>_xlfn.STDEV.S(T514:T523) / AVERAGE(T514:T523) * 100%</f>
        <v>1.9292623912613572E-3</v>
      </c>
      <c r="W526" s="48">
        <f t="array" ref="W526">MIN((T514:T523 - MIN(D514:D523,L514:L523,T514:T523,AB514:AB523,AJ514:AJ523))/MIN(D514:D523,L514:L523,T514:T523,AB514:AB523,AJ514:AJ523)*100%)</f>
        <v>1.6998542982027203E-3</v>
      </c>
      <c r="X526" s="48">
        <f t="array" ref="X526">AVERAGE((T514:T523 - MIN(D514:D523,L514:L523,T514:T523,AB514:AB523,AJ514:AJ523))/MIN(D514:D523,L514:L523,T514:T523,AB514:AB523,AJ514:AJ523)*100%)</f>
        <v>3.9825157843612329E-3</v>
      </c>
      <c r="Y526" s="44"/>
      <c r="Z526" s="51"/>
      <c r="AA526" s="54" t="s">
        <v>20</v>
      </c>
      <c r="AB526" s="48">
        <f>AVERAGE(AB514:AB523)</f>
        <v>454.87999999999977</v>
      </c>
      <c r="AC526" s="47"/>
      <c r="AD526" s="48">
        <f>_xlfn.STDEV.S(AB514:AB523) / AVERAGE(AB514:AB523) * 100%</f>
        <v>1.7612989926331598E-3</v>
      </c>
      <c r="AE526" s="48">
        <f t="array" ref="AE526">MIN((AB514:AB523 - MIN(D514:D523,L514:L523,T514:T523,AB514:AB523,AJ514:AJ523))/MIN(D514:D523,L514:L523,T514:T523,AB514:AB523,AJ514:AJ523)*100%)</f>
        <v>1.7219303280496181E-3</v>
      </c>
      <c r="AF526" s="48">
        <f t="array" ref="AF526">AVERAGE((AB514:AB523 - MIN(D514:D523,L514:L523,T514:T523,AB514:AB523,AJ514:AJ523))/MIN(D514:D523,L514:L523,T514:T523,AB514:AB523,AJ514:AJ523)*100%)</f>
        <v>4.194445670890435E-3</v>
      </c>
      <c r="AG526" s="44"/>
      <c r="AH526" s="51"/>
      <c r="AI526" s="54" t="s">
        <v>20</v>
      </c>
      <c r="AJ526" s="48">
        <f>AVERAGE(AJ514:AJ523)</f>
        <v>453.73699999999997</v>
      </c>
      <c r="AK526" s="47"/>
      <c r="AL526" s="48">
        <f>_xlfn.STDEV.S(AJ514:AJ523) / AVERAGE(AJ514:AJ523) * 100%</f>
        <v>8.1528819362321886E-4</v>
      </c>
      <c r="AM526" s="48">
        <f t="array" ref="AM526">MIN((AJ514:AJ523 - MIN(D514:D523,L514:L523,T514:T523,AB514:AB523,AJ514:AJ523))/MIN(D514:D523,L514:L523,T514:T523,AB514:AB523,AJ514:AJ523)*100%)</f>
        <v>2.4283632831474604E-4</v>
      </c>
      <c r="AN526" s="48">
        <f t="array" ref="AN526">AVERAGE((AJ514:AJ523 - MIN(D514:D523,L514:L523,T514:T523,AB514:AB523,AJ514:AJ523))/MIN(D514:D523,L514:L523,T514:T523,AB514:AB523,AJ514:AJ523)*100%)</f>
        <v>1.671155459402205E-3</v>
      </c>
      <c r="AO526" s="44"/>
      <c r="AP526" s="51"/>
    </row>
    <row r="527" spans="1:42" ht="21" customHeight="1" thickTop="1" thickBot="1" x14ac:dyDescent="0.35">
      <c r="A527" s="63"/>
      <c r="B527" s="67"/>
      <c r="C527" s="53"/>
      <c r="D527" s="44"/>
      <c r="E527" s="44"/>
      <c r="F527" s="44"/>
      <c r="G527" s="44"/>
      <c r="H527" s="44"/>
      <c r="I527" s="44"/>
      <c r="J527" s="51"/>
      <c r="K527" s="53"/>
      <c r="L527" s="44"/>
      <c r="M527" s="44"/>
      <c r="N527" s="44"/>
      <c r="O527" s="44"/>
      <c r="P527" s="44"/>
      <c r="Q527" s="44"/>
      <c r="R527" s="51"/>
      <c r="S527" s="53"/>
      <c r="T527" s="44"/>
      <c r="U527" s="44"/>
      <c r="V527" s="44"/>
      <c r="W527" s="44"/>
      <c r="X527" s="44"/>
      <c r="Y527" s="44"/>
      <c r="Z527" s="51"/>
      <c r="AA527" s="53"/>
      <c r="AB527" s="44"/>
      <c r="AC527" s="44"/>
      <c r="AD527" s="44"/>
      <c r="AE527" s="44"/>
      <c r="AF527" s="44"/>
      <c r="AG527" s="44"/>
      <c r="AH527" s="51"/>
      <c r="AI527" s="53"/>
      <c r="AJ527" s="44"/>
      <c r="AK527" s="44"/>
      <c r="AL527" s="44"/>
      <c r="AM527" s="44"/>
      <c r="AN527" s="44"/>
      <c r="AO527" s="44"/>
      <c r="AP527" s="51"/>
    </row>
    <row r="528" spans="1:42" ht="21" customHeight="1" thickTop="1" thickBot="1" x14ac:dyDescent="0.35">
      <c r="A528" s="63"/>
      <c r="B528" s="65" t="s">
        <v>141</v>
      </c>
      <c r="C528" s="59" t="s">
        <v>8</v>
      </c>
      <c r="D528" s="46" t="s">
        <v>9</v>
      </c>
      <c r="E528" s="46" t="s">
        <v>10</v>
      </c>
      <c r="F528" s="46" t="s">
        <v>11</v>
      </c>
      <c r="G528" s="46" t="s">
        <v>12</v>
      </c>
      <c r="H528" s="46" t="s">
        <v>13</v>
      </c>
      <c r="I528" s="46" t="s">
        <v>14</v>
      </c>
      <c r="J528" s="60" t="s">
        <v>15</v>
      </c>
      <c r="K528" s="59" t="s">
        <v>8</v>
      </c>
      <c r="L528" s="46" t="s">
        <v>9</v>
      </c>
      <c r="M528" s="46" t="s">
        <v>10</v>
      </c>
      <c r="N528" s="46" t="s">
        <v>11</v>
      </c>
      <c r="O528" s="46" t="s">
        <v>12</v>
      </c>
      <c r="P528" s="46" t="s">
        <v>13</v>
      </c>
      <c r="Q528" s="46" t="s">
        <v>14</v>
      </c>
      <c r="R528" s="60" t="s">
        <v>15</v>
      </c>
      <c r="S528" s="59" t="s">
        <v>8</v>
      </c>
      <c r="T528" s="46" t="s">
        <v>9</v>
      </c>
      <c r="U528" s="46" t="s">
        <v>10</v>
      </c>
      <c r="V528" s="46" t="s">
        <v>11</v>
      </c>
      <c r="W528" s="46" t="s">
        <v>12</v>
      </c>
      <c r="X528" s="46" t="s">
        <v>13</v>
      </c>
      <c r="Y528" s="46" t="s">
        <v>14</v>
      </c>
      <c r="Z528" s="60" t="s">
        <v>15</v>
      </c>
      <c r="AA528" s="59" t="s">
        <v>8</v>
      </c>
      <c r="AB528" s="46" t="s">
        <v>9</v>
      </c>
      <c r="AC528" s="46" t="s">
        <v>10</v>
      </c>
      <c r="AD528" s="46" t="s">
        <v>11</v>
      </c>
      <c r="AE528" s="46" t="s">
        <v>12</v>
      </c>
      <c r="AF528" s="46" t="s">
        <v>13</v>
      </c>
      <c r="AG528" s="46" t="s">
        <v>14</v>
      </c>
      <c r="AH528" s="60" t="s">
        <v>15</v>
      </c>
      <c r="AI528" s="59" t="s">
        <v>8</v>
      </c>
      <c r="AJ528" s="46" t="s">
        <v>9</v>
      </c>
      <c r="AK528" s="46" t="s">
        <v>10</v>
      </c>
      <c r="AL528" s="46" t="s">
        <v>11</v>
      </c>
      <c r="AM528" s="46" t="s">
        <v>12</v>
      </c>
      <c r="AN528" s="46" t="s">
        <v>13</v>
      </c>
      <c r="AO528" s="46" t="s">
        <v>14</v>
      </c>
      <c r="AP528" s="60" t="s">
        <v>15</v>
      </c>
    </row>
    <row r="529" spans="1:42" ht="21" customHeight="1" thickTop="1" thickBot="1" x14ac:dyDescent="0.35">
      <c r="A529" s="63"/>
      <c r="B529" s="66"/>
      <c r="C529" s="52">
        <v>1</v>
      </c>
      <c r="D529" s="44">
        <v>477.1599999999998</v>
      </c>
      <c r="E529" s="44"/>
      <c r="F529" s="44"/>
      <c r="G529" s="44"/>
      <c r="H529" s="44"/>
      <c r="I529" s="44"/>
      <c r="J529" s="51"/>
      <c r="K529" s="52">
        <v>1</v>
      </c>
      <c r="L529" s="44">
        <v>477.50999999999988</v>
      </c>
      <c r="M529" s="44"/>
      <c r="N529" s="44"/>
      <c r="O529" s="44"/>
      <c r="P529" s="44"/>
      <c r="Q529" s="44"/>
      <c r="R529" s="51"/>
      <c r="S529" s="52">
        <v>1</v>
      </c>
      <c r="T529" s="44">
        <v>478.4799999999999</v>
      </c>
      <c r="U529" s="44"/>
      <c r="V529" s="44"/>
      <c r="W529" s="44"/>
      <c r="X529" s="44"/>
      <c r="Y529" s="44"/>
      <c r="Z529" s="51"/>
      <c r="AA529" s="52">
        <v>1</v>
      </c>
      <c r="AB529" s="44">
        <v>477.76999999999992</v>
      </c>
      <c r="AC529" s="44"/>
      <c r="AD529" s="44"/>
      <c r="AE529" s="44"/>
      <c r="AF529" s="44"/>
      <c r="AG529" s="44"/>
      <c r="AH529" s="51"/>
      <c r="AI529" s="52">
        <v>1</v>
      </c>
      <c r="AJ529" s="44">
        <v>476.81999999999988</v>
      </c>
      <c r="AK529" s="44"/>
      <c r="AL529" s="44"/>
      <c r="AM529" s="44"/>
      <c r="AN529" s="44"/>
      <c r="AO529" s="44"/>
      <c r="AP529" s="51"/>
    </row>
    <row r="530" spans="1:42" ht="21" customHeight="1" thickTop="1" thickBot="1" x14ac:dyDescent="0.35">
      <c r="A530" s="63"/>
      <c r="B530" s="66"/>
      <c r="C530" s="53">
        <v>2</v>
      </c>
      <c r="D530" s="45">
        <v>476.67999999999978</v>
      </c>
      <c r="E530" s="45"/>
      <c r="F530" s="45"/>
      <c r="G530" s="45"/>
      <c r="H530" s="45"/>
      <c r="I530" s="45"/>
      <c r="J530" s="51"/>
      <c r="K530" s="53">
        <v>2</v>
      </c>
      <c r="L530" s="45">
        <v>476.72999999999979</v>
      </c>
      <c r="M530" s="45"/>
      <c r="N530" s="45"/>
      <c r="O530" s="45"/>
      <c r="P530" s="45"/>
      <c r="Q530" s="45"/>
      <c r="R530" s="51"/>
      <c r="S530" s="53">
        <v>2</v>
      </c>
      <c r="T530" s="45">
        <v>476.74999999999989</v>
      </c>
      <c r="U530" s="45"/>
      <c r="V530" s="45"/>
      <c r="W530" s="45"/>
      <c r="X530" s="45"/>
      <c r="Y530" s="45"/>
      <c r="Z530" s="51"/>
      <c r="AA530" s="53">
        <v>2</v>
      </c>
      <c r="AB530" s="45">
        <v>478.0299999999998</v>
      </c>
      <c r="AC530" s="45"/>
      <c r="AD530" s="45"/>
      <c r="AE530" s="45"/>
      <c r="AF530" s="45"/>
      <c r="AG530" s="45"/>
      <c r="AH530" s="51"/>
      <c r="AI530" s="53">
        <v>2</v>
      </c>
      <c r="AJ530" s="45">
        <v>476.67999999999978</v>
      </c>
      <c r="AK530" s="45"/>
      <c r="AL530" s="45"/>
      <c r="AM530" s="45"/>
      <c r="AN530" s="45"/>
      <c r="AO530" s="45"/>
      <c r="AP530" s="51"/>
    </row>
    <row r="531" spans="1:42" ht="21" customHeight="1" thickTop="1" thickBot="1" x14ac:dyDescent="0.35">
      <c r="A531" s="63"/>
      <c r="B531" s="66"/>
      <c r="C531" s="53">
        <v>3</v>
      </c>
      <c r="D531" s="45">
        <v>476.67999999999978</v>
      </c>
      <c r="E531" s="45"/>
      <c r="F531" s="45"/>
      <c r="G531" s="44"/>
      <c r="H531" s="44"/>
      <c r="I531" s="44"/>
      <c r="J531" s="51"/>
      <c r="K531" s="53">
        <v>3</v>
      </c>
      <c r="L531" s="45">
        <v>478.45999999999992</v>
      </c>
      <c r="M531" s="45"/>
      <c r="N531" s="45"/>
      <c r="O531" s="44"/>
      <c r="P531" s="44"/>
      <c r="Q531" s="44"/>
      <c r="R531" s="51"/>
      <c r="S531" s="53">
        <v>3</v>
      </c>
      <c r="T531" s="45">
        <v>476.67999999999978</v>
      </c>
      <c r="U531" s="45"/>
      <c r="V531" s="45"/>
      <c r="W531" s="44"/>
      <c r="X531" s="44"/>
      <c r="Y531" s="44"/>
      <c r="Z531" s="51"/>
      <c r="AA531" s="53">
        <v>3</v>
      </c>
      <c r="AB531" s="45">
        <v>477.05999999999977</v>
      </c>
      <c r="AC531" s="45"/>
      <c r="AD531" s="45"/>
      <c r="AE531" s="44"/>
      <c r="AF531" s="44"/>
      <c r="AG531" s="44"/>
      <c r="AH531" s="51"/>
      <c r="AI531" s="53">
        <v>3</v>
      </c>
      <c r="AJ531" s="45">
        <v>476.67999999999978</v>
      </c>
      <c r="AK531" s="45"/>
      <c r="AL531" s="45"/>
      <c r="AM531" s="44"/>
      <c r="AN531" s="44"/>
      <c r="AO531" s="44"/>
      <c r="AP531" s="51"/>
    </row>
    <row r="532" spans="1:42" ht="21" customHeight="1" thickTop="1" thickBot="1" x14ac:dyDescent="0.35">
      <c r="A532" s="63"/>
      <c r="B532" s="66"/>
      <c r="C532" s="53">
        <v>4</v>
      </c>
      <c r="D532" s="45">
        <v>476.67999999999978</v>
      </c>
      <c r="E532" s="45"/>
      <c r="F532" s="45"/>
      <c r="G532" s="45"/>
      <c r="H532" s="45"/>
      <c r="I532" s="45"/>
      <c r="J532" s="51"/>
      <c r="K532" s="53">
        <v>4</v>
      </c>
      <c r="L532" s="45">
        <v>476.88999999999987</v>
      </c>
      <c r="M532" s="45"/>
      <c r="N532" s="45"/>
      <c r="O532" s="45"/>
      <c r="P532" s="45"/>
      <c r="Q532" s="45"/>
      <c r="R532" s="51"/>
      <c r="S532" s="53">
        <v>4</v>
      </c>
      <c r="T532" s="45">
        <v>476.67999999999978</v>
      </c>
      <c r="U532" s="45"/>
      <c r="V532" s="45"/>
      <c r="W532" s="45"/>
      <c r="X532" s="45"/>
      <c r="Y532" s="45"/>
      <c r="Z532" s="51"/>
      <c r="AA532" s="53">
        <v>4</v>
      </c>
      <c r="AB532" s="45">
        <v>476.75999999999982</v>
      </c>
      <c r="AC532" s="45"/>
      <c r="AD532" s="45"/>
      <c r="AE532" s="45"/>
      <c r="AF532" s="45"/>
      <c r="AG532" s="45"/>
      <c r="AH532" s="51"/>
      <c r="AI532" s="53">
        <v>4</v>
      </c>
      <c r="AJ532" s="45">
        <v>476.67999999999978</v>
      </c>
      <c r="AK532" s="45"/>
      <c r="AL532" s="45"/>
      <c r="AM532" s="45"/>
      <c r="AN532" s="45"/>
      <c r="AO532" s="45"/>
      <c r="AP532" s="51"/>
    </row>
    <row r="533" spans="1:42" ht="21" customHeight="1" thickTop="1" thickBot="1" x14ac:dyDescent="0.35">
      <c r="A533" s="63"/>
      <c r="B533" s="66"/>
      <c r="C533" s="53">
        <v>5</v>
      </c>
      <c r="D533" s="45">
        <v>476.67999999999978</v>
      </c>
      <c r="E533" s="45"/>
      <c r="F533" s="45"/>
      <c r="G533" s="45"/>
      <c r="H533" s="45"/>
      <c r="I533" s="45"/>
      <c r="J533" s="51"/>
      <c r="K533" s="53">
        <v>5</v>
      </c>
      <c r="L533" s="45">
        <v>477.44999999999982</v>
      </c>
      <c r="M533" s="45"/>
      <c r="N533" s="45"/>
      <c r="O533" s="45"/>
      <c r="P533" s="45"/>
      <c r="Q533" s="45"/>
      <c r="R533" s="51"/>
      <c r="S533" s="53">
        <v>5</v>
      </c>
      <c r="T533" s="45">
        <v>476.67999999999978</v>
      </c>
      <c r="U533" s="45"/>
      <c r="V533" s="45"/>
      <c r="W533" s="45"/>
      <c r="X533" s="45"/>
      <c r="Y533" s="45"/>
      <c r="Z533" s="51"/>
      <c r="AA533" s="53">
        <v>5</v>
      </c>
      <c r="AB533" s="45">
        <v>476.67999999999978</v>
      </c>
      <c r="AC533" s="45"/>
      <c r="AD533" s="45"/>
      <c r="AE533" s="45"/>
      <c r="AF533" s="45"/>
      <c r="AG533" s="45"/>
      <c r="AH533" s="51"/>
      <c r="AI533" s="53">
        <v>5</v>
      </c>
      <c r="AJ533" s="45">
        <v>477.45999999999992</v>
      </c>
      <c r="AK533" s="45"/>
      <c r="AL533" s="45"/>
      <c r="AM533" s="45"/>
      <c r="AN533" s="45"/>
      <c r="AO533" s="45"/>
      <c r="AP533" s="51"/>
    </row>
    <row r="534" spans="1:42" ht="21" customHeight="1" thickTop="1" thickBot="1" x14ac:dyDescent="0.35">
      <c r="A534" s="63"/>
      <c r="B534" s="66"/>
      <c r="C534" s="53">
        <v>6</v>
      </c>
      <c r="D534" s="45">
        <v>477.4199999999999</v>
      </c>
      <c r="E534" s="45"/>
      <c r="F534" s="45"/>
      <c r="G534" s="45"/>
      <c r="H534" s="45"/>
      <c r="I534" s="45"/>
      <c r="J534" s="51"/>
      <c r="K534" s="53">
        <v>6</v>
      </c>
      <c r="L534" s="45">
        <v>477.44999999999982</v>
      </c>
      <c r="M534" s="45"/>
      <c r="N534" s="45"/>
      <c r="O534" s="45"/>
      <c r="P534" s="45"/>
      <c r="Q534" s="45"/>
      <c r="R534" s="51"/>
      <c r="S534" s="53">
        <v>6</v>
      </c>
      <c r="T534" s="45">
        <v>480.0299999999998</v>
      </c>
      <c r="U534" s="45"/>
      <c r="V534" s="45"/>
      <c r="W534" s="45"/>
      <c r="X534" s="45"/>
      <c r="Y534" s="45"/>
      <c r="Z534" s="51"/>
      <c r="AA534" s="53">
        <v>6</v>
      </c>
      <c r="AB534" s="45">
        <v>476.86999999999978</v>
      </c>
      <c r="AC534" s="45"/>
      <c r="AD534" s="45"/>
      <c r="AE534" s="45"/>
      <c r="AF534" s="45"/>
      <c r="AG534" s="45"/>
      <c r="AH534" s="51"/>
      <c r="AI534" s="53">
        <v>6</v>
      </c>
      <c r="AJ534" s="45">
        <v>476.67999999999989</v>
      </c>
      <c r="AK534" s="45"/>
      <c r="AL534" s="45"/>
      <c r="AM534" s="45"/>
      <c r="AN534" s="45"/>
      <c r="AO534" s="45"/>
      <c r="AP534" s="51"/>
    </row>
    <row r="535" spans="1:42" ht="21" customHeight="1" thickTop="1" thickBot="1" x14ac:dyDescent="0.35">
      <c r="A535" s="63"/>
      <c r="B535" s="66"/>
      <c r="C535" s="53">
        <v>7</v>
      </c>
      <c r="D535" s="45">
        <v>476.67999999999989</v>
      </c>
      <c r="E535" s="45"/>
      <c r="F535" s="45"/>
      <c r="G535" s="45"/>
      <c r="H535" s="45"/>
      <c r="I535" s="45"/>
      <c r="J535" s="51"/>
      <c r="K535" s="53">
        <v>7</v>
      </c>
      <c r="L535" s="45">
        <v>477.44999999999982</v>
      </c>
      <c r="M535" s="45"/>
      <c r="N535" s="45"/>
      <c r="O535" s="45"/>
      <c r="P535" s="45"/>
      <c r="Q535" s="45"/>
      <c r="R535" s="51"/>
      <c r="S535" s="53">
        <v>7</v>
      </c>
      <c r="T535" s="45">
        <v>476.67999999999978</v>
      </c>
      <c r="U535" s="45"/>
      <c r="V535" s="45"/>
      <c r="W535" s="45"/>
      <c r="X535" s="45"/>
      <c r="Y535" s="45"/>
      <c r="Z535" s="51"/>
      <c r="AA535" s="53">
        <v>7</v>
      </c>
      <c r="AB535" s="45">
        <v>476.67999999999978</v>
      </c>
      <c r="AC535" s="45"/>
      <c r="AD535" s="45"/>
      <c r="AE535" s="45"/>
      <c r="AF535" s="45"/>
      <c r="AG535" s="45"/>
      <c r="AH535" s="51"/>
      <c r="AI535" s="53">
        <v>7</v>
      </c>
      <c r="AJ535" s="45">
        <v>477.61999999999978</v>
      </c>
      <c r="AK535" s="45"/>
      <c r="AL535" s="45"/>
      <c r="AM535" s="45"/>
      <c r="AN535" s="45"/>
      <c r="AO535" s="45"/>
      <c r="AP535" s="51"/>
    </row>
    <row r="536" spans="1:42" ht="21" customHeight="1" thickTop="1" thickBot="1" x14ac:dyDescent="0.35">
      <c r="A536" s="63"/>
      <c r="B536" s="66"/>
      <c r="C536" s="53">
        <v>8</v>
      </c>
      <c r="D536" s="45">
        <v>476.67999999999978</v>
      </c>
      <c r="E536" s="45"/>
      <c r="F536" s="45"/>
      <c r="G536" s="45"/>
      <c r="H536" s="45"/>
      <c r="I536" s="45"/>
      <c r="J536" s="51"/>
      <c r="K536" s="53">
        <v>8</v>
      </c>
      <c r="L536" s="45">
        <v>477.49999999999977</v>
      </c>
      <c r="M536" s="45"/>
      <c r="N536" s="45"/>
      <c r="O536" s="45"/>
      <c r="P536" s="45"/>
      <c r="Q536" s="45"/>
      <c r="R536" s="51"/>
      <c r="S536" s="53">
        <v>8</v>
      </c>
      <c r="T536" s="45">
        <v>478.71999999999991</v>
      </c>
      <c r="U536" s="45"/>
      <c r="V536" s="45"/>
      <c r="W536" s="45"/>
      <c r="X536" s="45"/>
      <c r="Y536" s="45"/>
      <c r="Z536" s="51"/>
      <c r="AA536" s="53">
        <v>8</v>
      </c>
      <c r="AB536" s="45">
        <v>476.67999999999978</v>
      </c>
      <c r="AC536" s="45"/>
      <c r="AD536" s="45"/>
      <c r="AE536" s="45"/>
      <c r="AF536" s="45"/>
      <c r="AG536" s="45"/>
      <c r="AH536" s="51"/>
      <c r="AI536" s="53">
        <v>8</v>
      </c>
      <c r="AJ536" s="45">
        <v>476.81999999999988</v>
      </c>
      <c r="AK536" s="45"/>
      <c r="AL536" s="45"/>
      <c r="AM536" s="45"/>
      <c r="AN536" s="45"/>
      <c r="AO536" s="45"/>
      <c r="AP536" s="51"/>
    </row>
    <row r="537" spans="1:42" ht="21" customHeight="1" thickTop="1" thickBot="1" x14ac:dyDescent="0.35">
      <c r="A537" s="63"/>
      <c r="B537" s="66"/>
      <c r="C537" s="53">
        <v>9</v>
      </c>
      <c r="D537" s="45">
        <v>476.67999999999978</v>
      </c>
      <c r="E537" s="45"/>
      <c r="F537" s="45"/>
      <c r="G537" s="45"/>
      <c r="H537" s="45"/>
      <c r="I537" s="45"/>
      <c r="J537" s="51"/>
      <c r="K537" s="53">
        <v>9</v>
      </c>
      <c r="L537" s="45">
        <v>476.84999999999991</v>
      </c>
      <c r="M537" s="45"/>
      <c r="N537" s="45"/>
      <c r="O537" s="45"/>
      <c r="P537" s="45"/>
      <c r="Q537" s="45"/>
      <c r="R537" s="51"/>
      <c r="S537" s="53">
        <v>9</v>
      </c>
      <c r="T537" s="45">
        <v>476.82999999999981</v>
      </c>
      <c r="U537" s="45"/>
      <c r="V537" s="45"/>
      <c r="W537" s="45"/>
      <c r="X537" s="45"/>
      <c r="Y537" s="45"/>
      <c r="Z537" s="51"/>
      <c r="AA537" s="53">
        <v>9</v>
      </c>
      <c r="AB537" s="45">
        <v>476.67999999999978</v>
      </c>
      <c r="AC537" s="45"/>
      <c r="AD537" s="45"/>
      <c r="AE537" s="45"/>
      <c r="AF537" s="45"/>
      <c r="AG537" s="45"/>
      <c r="AH537" s="51"/>
      <c r="AI537" s="53">
        <v>9</v>
      </c>
      <c r="AJ537" s="45">
        <v>476.75999999999988</v>
      </c>
      <c r="AK537" s="45"/>
      <c r="AL537" s="45"/>
      <c r="AM537" s="45"/>
      <c r="AN537" s="45"/>
      <c r="AO537" s="45"/>
      <c r="AP537" s="51"/>
    </row>
    <row r="538" spans="1:42" ht="21" customHeight="1" thickTop="1" thickBot="1" x14ac:dyDescent="0.35">
      <c r="A538" s="63"/>
      <c r="B538" s="66"/>
      <c r="C538" s="53">
        <v>10</v>
      </c>
      <c r="D538" s="45">
        <v>476.67999999999989</v>
      </c>
      <c r="E538" s="45"/>
      <c r="F538" s="45"/>
      <c r="G538" s="45"/>
      <c r="H538" s="45"/>
      <c r="I538" s="45"/>
      <c r="J538" s="51"/>
      <c r="K538" s="53">
        <v>10</v>
      </c>
      <c r="L538" s="45">
        <v>477.51999999999992</v>
      </c>
      <c r="M538" s="45"/>
      <c r="N538" s="45"/>
      <c r="O538" s="45"/>
      <c r="P538" s="45"/>
      <c r="Q538" s="45"/>
      <c r="R538" s="51"/>
      <c r="S538" s="53">
        <v>10</v>
      </c>
      <c r="T538" s="45">
        <v>476.67999999999978</v>
      </c>
      <c r="U538" s="45"/>
      <c r="V538" s="45"/>
      <c r="W538" s="45"/>
      <c r="X538" s="45"/>
      <c r="Y538" s="45"/>
      <c r="Z538" s="51"/>
      <c r="AA538" s="53">
        <v>10</v>
      </c>
      <c r="AB538" s="45">
        <v>477.71999999999991</v>
      </c>
      <c r="AC538" s="45"/>
      <c r="AD538" s="45"/>
      <c r="AE538" s="45"/>
      <c r="AF538" s="45"/>
      <c r="AG538" s="45"/>
      <c r="AH538" s="51"/>
      <c r="AI538" s="53">
        <v>10</v>
      </c>
      <c r="AJ538" s="45">
        <v>476.93999999999988</v>
      </c>
      <c r="AK538" s="45"/>
      <c r="AL538" s="45"/>
      <c r="AM538" s="45"/>
      <c r="AN538" s="45"/>
      <c r="AO538" s="45"/>
      <c r="AP538" s="51"/>
    </row>
    <row r="539" spans="1:42" ht="21" customHeight="1" thickTop="1" thickBot="1" x14ac:dyDescent="0.35">
      <c r="A539" s="63"/>
      <c r="B539" s="66"/>
      <c r="C539" s="53"/>
      <c r="D539" s="45"/>
      <c r="E539" s="45"/>
      <c r="F539" s="45"/>
      <c r="G539" s="45"/>
      <c r="H539" s="45"/>
      <c r="I539" s="45"/>
      <c r="J539" s="51"/>
      <c r="K539" s="53"/>
      <c r="L539" s="45"/>
      <c r="M539" s="45"/>
      <c r="N539" s="45"/>
      <c r="O539" s="45"/>
      <c r="P539" s="45"/>
      <c r="Q539" s="45"/>
      <c r="R539" s="51"/>
      <c r="S539" s="53"/>
      <c r="T539" s="45"/>
      <c r="U539" s="45"/>
      <c r="V539" s="45"/>
      <c r="W539" s="45"/>
      <c r="X539" s="45"/>
      <c r="Y539" s="45"/>
      <c r="Z539" s="51"/>
      <c r="AA539" s="53"/>
      <c r="AB539" s="45"/>
      <c r="AC539" s="45"/>
      <c r="AD539" s="45"/>
      <c r="AE539" s="45"/>
      <c r="AF539" s="45"/>
      <c r="AG539" s="45"/>
      <c r="AH539" s="51"/>
      <c r="AI539" s="53"/>
      <c r="AJ539" s="45"/>
      <c r="AK539" s="45"/>
      <c r="AL539" s="45"/>
      <c r="AM539" s="45"/>
      <c r="AN539" s="45"/>
      <c r="AO539" s="45"/>
      <c r="AP539" s="51"/>
    </row>
    <row r="540" spans="1:42" ht="21" customHeight="1" thickTop="1" thickBot="1" x14ac:dyDescent="0.35">
      <c r="A540" s="63"/>
      <c r="B540" s="66"/>
      <c r="C540" s="54" t="s">
        <v>16</v>
      </c>
      <c r="D540" s="49">
        <f>MIN(D529:D538)</f>
        <v>476.67999999999978</v>
      </c>
      <c r="E540" s="45"/>
      <c r="F540" s="55" t="s">
        <v>17</v>
      </c>
      <c r="G540" s="49" t="s">
        <v>18</v>
      </c>
      <c r="H540" s="49" t="s">
        <v>19</v>
      </c>
      <c r="I540" s="45"/>
      <c r="J540" s="51"/>
      <c r="K540" s="54" t="s">
        <v>16</v>
      </c>
      <c r="L540" s="49">
        <f>MIN(L529:L538)</f>
        <v>476.72999999999979</v>
      </c>
      <c r="M540" s="45"/>
      <c r="N540" s="55" t="s">
        <v>17</v>
      </c>
      <c r="O540" s="49" t="s">
        <v>18</v>
      </c>
      <c r="P540" s="49" t="s">
        <v>19</v>
      </c>
      <c r="Q540" s="45"/>
      <c r="R540" s="51"/>
      <c r="S540" s="54" t="s">
        <v>16</v>
      </c>
      <c r="T540" s="49">
        <f>MIN(T529:T538)</f>
        <v>476.67999999999978</v>
      </c>
      <c r="U540" s="45"/>
      <c r="V540" s="55" t="s">
        <v>17</v>
      </c>
      <c r="W540" s="49" t="s">
        <v>18</v>
      </c>
      <c r="X540" s="49" t="s">
        <v>19</v>
      </c>
      <c r="Y540" s="45"/>
      <c r="Z540" s="51"/>
      <c r="AA540" s="54" t="s">
        <v>16</v>
      </c>
      <c r="AB540" s="49">
        <f>MIN(AB529:AB538)</f>
        <v>476.67999999999978</v>
      </c>
      <c r="AC540" s="45"/>
      <c r="AD540" s="55" t="s">
        <v>17</v>
      </c>
      <c r="AE540" s="49" t="s">
        <v>18</v>
      </c>
      <c r="AF540" s="49" t="s">
        <v>19</v>
      </c>
      <c r="AG540" s="45"/>
      <c r="AH540" s="51"/>
      <c r="AI540" s="54" t="s">
        <v>16</v>
      </c>
      <c r="AJ540" s="49">
        <f>MIN(AJ529:AJ538)</f>
        <v>476.67999999999978</v>
      </c>
      <c r="AK540" s="45"/>
      <c r="AL540" s="55" t="s">
        <v>17</v>
      </c>
      <c r="AM540" s="49" t="s">
        <v>18</v>
      </c>
      <c r="AN540" s="49" t="s">
        <v>19</v>
      </c>
      <c r="AO540" s="45"/>
      <c r="AP540" s="51"/>
    </row>
    <row r="541" spans="1:42" ht="21" customHeight="1" thickTop="1" thickBot="1" x14ac:dyDescent="0.35">
      <c r="A541" s="63"/>
      <c r="B541" s="66"/>
      <c r="C541" s="54" t="s">
        <v>20</v>
      </c>
      <c r="D541" s="48">
        <f>AVERAGE(D529:D538)</f>
        <v>476.80199999999985</v>
      </c>
      <c r="E541" s="47"/>
      <c r="F541" s="48">
        <f>_xlfn.STDEV.S(D529:D538) / AVERAGE(D529:D538) * 100%</f>
        <v>5.5452512542321949E-4</v>
      </c>
      <c r="G541" s="48">
        <f t="array" ref="G541">MIN((D529:D538 - MIN(D529:D538,L529:L538,T529:T538,AB529:AB538,AJ529:AJ538))/MIN(D529:D538,L529:L538,T529:T538,AB529:AB538,AJ529:AJ538)*100%)</f>
        <v>0</v>
      </c>
      <c r="H541" s="48">
        <f t="array" ref="H541">AVERAGE((D529:D538 - MIN(D529:D538,L529:L538,T529:T538,AB529:AB538,AJ529:AJ538))/MIN(D529:D538,L529:L538,T529:T538,AB529:AB538,AJ529:AJ538)*100%)</f>
        <v>2.5593689687009502E-4</v>
      </c>
      <c r="I541" s="45"/>
      <c r="J541" s="51"/>
      <c r="K541" s="54" t="s">
        <v>20</v>
      </c>
      <c r="L541" s="48">
        <f>AVERAGE(L529:L538)</f>
        <v>477.38099999999986</v>
      </c>
      <c r="M541" s="47"/>
      <c r="N541" s="48">
        <f>_xlfn.STDEV.S(L529:L538) / AVERAGE(L529:L538) * 100%</f>
        <v>1.0298931297909888E-3</v>
      </c>
      <c r="O541" s="48">
        <f t="array" ref="O541">MIN((L529:L538 - MIN(D529:D538,L529:L538,T529:T538,AB529:AB538,AJ529:AJ538))/MIN(D529:D538,L529:L538,T529:T538,AB529:AB538,AJ529:AJ538)*100%)</f>
        <v>1.0489217084839177E-4</v>
      </c>
      <c r="P541" s="48">
        <f t="array" ref="P541">AVERAGE((L529:L538 - MIN(D529:D538,L529:L538,T529:T538,AB529:AB538,AJ529:AJ538))/MIN(D529:D538,L529:L538,T529:T538,AB529:AB538,AJ529:AJ538)*100%)</f>
        <v>1.4705882352942716E-3</v>
      </c>
      <c r="Q541" s="44"/>
      <c r="R541" s="51"/>
      <c r="S541" s="54" t="s">
        <v>20</v>
      </c>
      <c r="T541" s="48">
        <f>AVERAGE(T529:T538)</f>
        <v>477.42099999999971</v>
      </c>
      <c r="U541" s="47"/>
      <c r="V541" s="48">
        <f>_xlfn.STDEV.S(T529:T538) / AVERAGE(T529:T538) * 100%</f>
        <v>2.5328913268899893E-3</v>
      </c>
      <c r="W541" s="48">
        <f t="array" ref="W541">MIN((T529:T538 - MIN(D529:D538,L529:L538,T529:T538,AB529:AB538,AJ529:AJ538))/MIN(D529:D538,L529:L538,T529:T538,AB529:AB538,AJ529:AJ538)*100%)</f>
        <v>0</v>
      </c>
      <c r="X541" s="48">
        <f t="array" ref="X541">AVERAGE((T529:T538 - MIN(D529:D538,L529:L538,T529:T538,AB529:AB538,AJ529:AJ538))/MIN(D529:D538,L529:L538,T529:T538,AB529:AB538,AJ529:AJ538)*100%)</f>
        <v>1.5545019719729015E-3</v>
      </c>
      <c r="Y541" s="44"/>
      <c r="Z541" s="51"/>
      <c r="AA541" s="54" t="s">
        <v>20</v>
      </c>
      <c r="AB541" s="48">
        <f>AVERAGE(AB529:AB538)</f>
        <v>477.09299999999985</v>
      </c>
      <c r="AC541" s="47"/>
      <c r="AD541" s="48">
        <f>_xlfn.STDEV.S(AB529:AB538) / AVERAGE(AB529:AB538) * 100%</f>
        <v>1.1208053436183802E-3</v>
      </c>
      <c r="AE541" s="48">
        <f t="array" ref="AE541">MIN((AB529:AB538 - MIN(D529:D538,L529:L538,T529:T538,AB529:AB538,AJ529:AJ538))/MIN(D529:D538,L529:L538,T529:T538,AB529:AB538,AJ529:AJ538)*100%)</f>
        <v>0</v>
      </c>
      <c r="AF541" s="48">
        <f t="array" ref="AF541">AVERAGE((AB529:AB538 - MIN(D529:D538,L529:L538,T529:T538,AB529:AB538,AJ529:AJ538))/MIN(D529:D538,L529:L538,T529:T538,AB529:AB538,AJ529:AJ538)*100%)</f>
        <v>8.6640933120758963E-4</v>
      </c>
      <c r="AG541" s="44"/>
      <c r="AH541" s="51"/>
      <c r="AI541" s="54" t="s">
        <v>20</v>
      </c>
      <c r="AJ541" s="48">
        <f>AVERAGE(AJ529:AJ538)</f>
        <v>476.91399999999987</v>
      </c>
      <c r="AK541" s="47"/>
      <c r="AL541" s="48">
        <f>_xlfn.STDEV.S(AJ529:AJ538) / AVERAGE(AJ529:AJ538) * 100%</f>
        <v>7.1879923713483737E-4</v>
      </c>
      <c r="AM541" s="48">
        <f t="array" ref="AM541">MIN((AJ529:AJ538 - MIN(D529:D538,L529:L538,T529:T538,AB529:AB538,AJ529:AJ538))/MIN(D529:D538,L529:L538,T529:T538,AB529:AB538,AJ529:AJ538)*100%)</f>
        <v>0</v>
      </c>
      <c r="AN541" s="48">
        <f t="array" ref="AN541">AVERAGE((AJ529:AJ538 - MIN(D529:D538,L529:L538,T529:T538,AB529:AB538,AJ529:AJ538))/MIN(D529:D538,L529:L538,T529:T538,AB529:AB538,AJ529:AJ538)*100%)</f>
        <v>4.9089535957049977E-4</v>
      </c>
      <c r="AO541" s="44"/>
      <c r="AP541" s="51"/>
    </row>
    <row r="542" spans="1:42" ht="21" customHeight="1" thickTop="1" thickBot="1" x14ac:dyDescent="0.35">
      <c r="A542" s="63"/>
      <c r="B542" s="67"/>
      <c r="C542" s="53"/>
      <c r="D542" s="44"/>
      <c r="E542" s="44"/>
      <c r="F542" s="44"/>
      <c r="G542" s="44"/>
      <c r="H542" s="44"/>
      <c r="I542" s="44"/>
      <c r="J542" s="51"/>
      <c r="K542" s="53"/>
      <c r="L542" s="44"/>
      <c r="M542" s="44"/>
      <c r="N542" s="44"/>
      <c r="O542" s="44"/>
      <c r="P542" s="44"/>
      <c r="Q542" s="44"/>
      <c r="R542" s="51"/>
      <c r="S542" s="53"/>
      <c r="T542" s="44"/>
      <c r="U542" s="44"/>
      <c r="V542" s="44"/>
      <c r="W542" s="44"/>
      <c r="X542" s="44"/>
      <c r="Y542" s="44"/>
      <c r="Z542" s="51"/>
      <c r="AA542" s="53"/>
      <c r="AB542" s="44"/>
      <c r="AC542" s="44"/>
      <c r="AD542" s="44"/>
      <c r="AE542" s="44"/>
      <c r="AF542" s="44"/>
      <c r="AG542" s="44"/>
      <c r="AH542" s="51"/>
      <c r="AI542" s="53"/>
      <c r="AJ542" s="44"/>
      <c r="AK542" s="44"/>
      <c r="AL542" s="44"/>
      <c r="AM542" s="44"/>
      <c r="AN542" s="44"/>
      <c r="AO542" s="44"/>
      <c r="AP542" s="51"/>
    </row>
    <row r="543" spans="1:42" ht="21" customHeight="1" thickTop="1" thickBot="1" x14ac:dyDescent="0.35">
      <c r="A543" s="63"/>
      <c r="B543" s="65" t="s">
        <v>142</v>
      </c>
      <c r="C543" s="59" t="s">
        <v>8</v>
      </c>
      <c r="D543" s="46" t="s">
        <v>9</v>
      </c>
      <c r="E543" s="46" t="s">
        <v>10</v>
      </c>
      <c r="F543" s="46" t="s">
        <v>11</v>
      </c>
      <c r="G543" s="46" t="s">
        <v>12</v>
      </c>
      <c r="H543" s="46" t="s">
        <v>13</v>
      </c>
      <c r="I543" s="46" t="s">
        <v>14</v>
      </c>
      <c r="J543" s="60" t="s">
        <v>15</v>
      </c>
      <c r="K543" s="59" t="s">
        <v>8</v>
      </c>
      <c r="L543" s="46" t="s">
        <v>9</v>
      </c>
      <c r="M543" s="46" t="s">
        <v>10</v>
      </c>
      <c r="N543" s="46" t="s">
        <v>11</v>
      </c>
      <c r="O543" s="46" t="s">
        <v>12</v>
      </c>
      <c r="P543" s="46" t="s">
        <v>13</v>
      </c>
      <c r="Q543" s="46" t="s">
        <v>14</v>
      </c>
      <c r="R543" s="60" t="s">
        <v>15</v>
      </c>
      <c r="S543" s="59" t="s">
        <v>8</v>
      </c>
      <c r="T543" s="46" t="s">
        <v>9</v>
      </c>
      <c r="U543" s="46" t="s">
        <v>10</v>
      </c>
      <c r="V543" s="46" t="s">
        <v>11</v>
      </c>
      <c r="W543" s="46" t="s">
        <v>12</v>
      </c>
      <c r="X543" s="46" t="s">
        <v>13</v>
      </c>
      <c r="Y543" s="46" t="s">
        <v>14</v>
      </c>
      <c r="Z543" s="60" t="s">
        <v>15</v>
      </c>
      <c r="AA543" s="59" t="s">
        <v>8</v>
      </c>
      <c r="AB543" s="46" t="s">
        <v>9</v>
      </c>
      <c r="AC543" s="46" t="s">
        <v>10</v>
      </c>
      <c r="AD543" s="46" t="s">
        <v>11</v>
      </c>
      <c r="AE543" s="46" t="s">
        <v>12</v>
      </c>
      <c r="AF543" s="46" t="s">
        <v>13</v>
      </c>
      <c r="AG543" s="46" t="s">
        <v>14</v>
      </c>
      <c r="AH543" s="60" t="s">
        <v>15</v>
      </c>
      <c r="AI543" s="59" t="s">
        <v>8</v>
      </c>
      <c r="AJ543" s="46" t="s">
        <v>9</v>
      </c>
      <c r="AK543" s="46" t="s">
        <v>10</v>
      </c>
      <c r="AL543" s="46" t="s">
        <v>11</v>
      </c>
      <c r="AM543" s="46" t="s">
        <v>12</v>
      </c>
      <c r="AN543" s="46" t="s">
        <v>13</v>
      </c>
      <c r="AO543" s="46" t="s">
        <v>14</v>
      </c>
      <c r="AP543" s="60" t="s">
        <v>15</v>
      </c>
    </row>
    <row r="544" spans="1:42" ht="21" customHeight="1" thickTop="1" thickBot="1" x14ac:dyDescent="0.35">
      <c r="A544" s="63"/>
      <c r="B544" s="66"/>
      <c r="C544" s="52">
        <v>1</v>
      </c>
      <c r="D544" s="44">
        <v>477.42999999999978</v>
      </c>
      <c r="E544" s="44"/>
      <c r="F544" s="44"/>
      <c r="G544" s="44"/>
      <c r="H544" s="44"/>
      <c r="I544" s="44"/>
      <c r="J544" s="51"/>
      <c r="K544" s="52">
        <v>1</v>
      </c>
      <c r="L544" s="44">
        <v>477.57999999999993</v>
      </c>
      <c r="M544" s="44"/>
      <c r="N544" s="44"/>
      <c r="O544" s="44"/>
      <c r="P544" s="44"/>
      <c r="Q544" s="44"/>
      <c r="R544" s="51"/>
      <c r="S544" s="52">
        <v>1</v>
      </c>
      <c r="T544" s="44">
        <v>475.9199999999999</v>
      </c>
      <c r="U544" s="44"/>
      <c r="V544" s="44"/>
      <c r="W544" s="44"/>
      <c r="X544" s="44"/>
      <c r="Y544" s="44"/>
      <c r="Z544" s="51"/>
      <c r="AA544" s="52">
        <v>1</v>
      </c>
      <c r="AB544" s="44">
        <v>477.1099999999999</v>
      </c>
      <c r="AC544" s="44"/>
      <c r="AD544" s="44"/>
      <c r="AE544" s="44"/>
      <c r="AF544" s="44"/>
      <c r="AG544" s="44"/>
      <c r="AH544" s="51"/>
      <c r="AI544" s="52">
        <v>1</v>
      </c>
      <c r="AJ544" s="44">
        <v>475.9899999999999</v>
      </c>
      <c r="AK544" s="44"/>
      <c r="AL544" s="44"/>
      <c r="AM544" s="44"/>
      <c r="AN544" s="44"/>
      <c r="AO544" s="44"/>
      <c r="AP544" s="51"/>
    </row>
    <row r="545" spans="1:42" ht="21" customHeight="1" thickTop="1" thickBot="1" x14ac:dyDescent="0.35">
      <c r="A545" s="63"/>
      <c r="B545" s="66"/>
      <c r="C545" s="53">
        <v>2</v>
      </c>
      <c r="D545" s="45">
        <v>476.94999999999982</v>
      </c>
      <c r="E545" s="45"/>
      <c r="F545" s="45"/>
      <c r="G545" s="45"/>
      <c r="H545" s="45"/>
      <c r="I545" s="45"/>
      <c r="J545" s="51"/>
      <c r="K545" s="53">
        <v>2</v>
      </c>
      <c r="L545" s="45">
        <v>477.78999999999979</v>
      </c>
      <c r="M545" s="45"/>
      <c r="N545" s="45"/>
      <c r="O545" s="45"/>
      <c r="P545" s="45"/>
      <c r="Q545" s="45"/>
      <c r="R545" s="51"/>
      <c r="S545" s="53">
        <v>2</v>
      </c>
      <c r="T545" s="45">
        <v>476.34999999999991</v>
      </c>
      <c r="U545" s="45"/>
      <c r="V545" s="45"/>
      <c r="W545" s="45"/>
      <c r="X545" s="45"/>
      <c r="Y545" s="45"/>
      <c r="Z545" s="51"/>
      <c r="AA545" s="53">
        <v>2</v>
      </c>
      <c r="AB545" s="45">
        <v>477.54999999999978</v>
      </c>
      <c r="AC545" s="45"/>
      <c r="AD545" s="45"/>
      <c r="AE545" s="45"/>
      <c r="AF545" s="45"/>
      <c r="AG545" s="45"/>
      <c r="AH545" s="51"/>
      <c r="AI545" s="53">
        <v>2</v>
      </c>
      <c r="AJ545" s="45">
        <v>475.58999999999992</v>
      </c>
      <c r="AK545" s="45"/>
      <c r="AL545" s="45"/>
      <c r="AM545" s="45"/>
      <c r="AN545" s="45"/>
      <c r="AO545" s="45"/>
      <c r="AP545" s="51"/>
    </row>
    <row r="546" spans="1:42" ht="21" customHeight="1" thickTop="1" thickBot="1" x14ac:dyDescent="0.35">
      <c r="A546" s="63"/>
      <c r="B546" s="66"/>
      <c r="C546" s="53">
        <v>3</v>
      </c>
      <c r="D546" s="45">
        <v>477.44999999999982</v>
      </c>
      <c r="E546" s="45"/>
      <c r="F546" s="45"/>
      <c r="G546" s="44"/>
      <c r="H546" s="44"/>
      <c r="I546" s="44"/>
      <c r="J546" s="51"/>
      <c r="K546" s="53">
        <v>3</v>
      </c>
      <c r="L546" s="45">
        <v>476.44999999999982</v>
      </c>
      <c r="M546" s="45"/>
      <c r="N546" s="45"/>
      <c r="O546" s="44"/>
      <c r="P546" s="44"/>
      <c r="Q546" s="44"/>
      <c r="R546" s="51"/>
      <c r="S546" s="53">
        <v>3</v>
      </c>
      <c r="T546" s="45">
        <v>475.9899999999999</v>
      </c>
      <c r="U546" s="45"/>
      <c r="V546" s="45"/>
      <c r="W546" s="44"/>
      <c r="X546" s="44"/>
      <c r="Y546" s="44"/>
      <c r="Z546" s="51"/>
      <c r="AA546" s="53">
        <v>3</v>
      </c>
      <c r="AB546" s="45">
        <v>479.16999999999979</v>
      </c>
      <c r="AC546" s="45"/>
      <c r="AD546" s="45"/>
      <c r="AE546" s="44"/>
      <c r="AF546" s="44"/>
      <c r="AG546" s="44"/>
      <c r="AH546" s="51"/>
      <c r="AI546" s="53">
        <v>3</v>
      </c>
      <c r="AJ546" s="45">
        <v>476.07999999999993</v>
      </c>
      <c r="AK546" s="45"/>
      <c r="AL546" s="45"/>
      <c r="AM546" s="44"/>
      <c r="AN546" s="44"/>
      <c r="AO546" s="44"/>
      <c r="AP546" s="51"/>
    </row>
    <row r="547" spans="1:42" ht="21" customHeight="1" thickTop="1" thickBot="1" x14ac:dyDescent="0.35">
      <c r="A547" s="63"/>
      <c r="B547" s="66"/>
      <c r="C547" s="53">
        <v>4</v>
      </c>
      <c r="D547" s="45">
        <v>477.60999999999979</v>
      </c>
      <c r="E547" s="45"/>
      <c r="F547" s="45"/>
      <c r="G547" s="45"/>
      <c r="H547" s="45"/>
      <c r="I547" s="45"/>
      <c r="J547" s="51"/>
      <c r="K547" s="53">
        <v>4</v>
      </c>
      <c r="L547" s="45">
        <v>478.00999999999982</v>
      </c>
      <c r="M547" s="45"/>
      <c r="N547" s="45"/>
      <c r="O547" s="45"/>
      <c r="P547" s="45"/>
      <c r="Q547" s="45"/>
      <c r="R547" s="51"/>
      <c r="S547" s="53">
        <v>4</v>
      </c>
      <c r="T547" s="45">
        <v>477.08999999999992</v>
      </c>
      <c r="U547" s="45"/>
      <c r="V547" s="45"/>
      <c r="W547" s="45"/>
      <c r="X547" s="45"/>
      <c r="Y547" s="45"/>
      <c r="Z547" s="51"/>
      <c r="AA547" s="53">
        <v>4</v>
      </c>
      <c r="AB547" s="45">
        <v>477.2799999999998</v>
      </c>
      <c r="AC547" s="45"/>
      <c r="AD547" s="45"/>
      <c r="AE547" s="45"/>
      <c r="AF547" s="45"/>
      <c r="AG547" s="45"/>
      <c r="AH547" s="51"/>
      <c r="AI547" s="53">
        <v>4</v>
      </c>
      <c r="AJ547" s="45">
        <v>476.08999999999992</v>
      </c>
      <c r="AK547" s="45"/>
      <c r="AL547" s="45"/>
      <c r="AM547" s="45"/>
      <c r="AN547" s="45"/>
      <c r="AO547" s="45"/>
      <c r="AP547" s="51"/>
    </row>
    <row r="548" spans="1:42" ht="21" customHeight="1" thickTop="1" thickBot="1" x14ac:dyDescent="0.35">
      <c r="A548" s="63"/>
      <c r="B548" s="66"/>
      <c r="C548" s="53">
        <v>5</v>
      </c>
      <c r="D548" s="45">
        <v>477.37999999999982</v>
      </c>
      <c r="E548" s="45"/>
      <c r="F548" s="45"/>
      <c r="G548" s="45"/>
      <c r="H548" s="45"/>
      <c r="I548" s="45"/>
      <c r="J548" s="51"/>
      <c r="K548" s="53">
        <v>5</v>
      </c>
      <c r="L548" s="45">
        <v>476.35999999999979</v>
      </c>
      <c r="M548" s="45"/>
      <c r="N548" s="45"/>
      <c r="O548" s="45"/>
      <c r="P548" s="45"/>
      <c r="Q548" s="45"/>
      <c r="R548" s="51"/>
      <c r="S548" s="53">
        <v>5</v>
      </c>
      <c r="T548" s="45">
        <v>476.72999999999979</v>
      </c>
      <c r="U548" s="45"/>
      <c r="V548" s="45"/>
      <c r="W548" s="45"/>
      <c r="X548" s="45"/>
      <c r="Y548" s="45"/>
      <c r="Z548" s="51"/>
      <c r="AA548" s="53">
        <v>5</v>
      </c>
      <c r="AB548" s="45">
        <v>478.4699999999998</v>
      </c>
      <c r="AC548" s="45"/>
      <c r="AD548" s="45"/>
      <c r="AE548" s="45"/>
      <c r="AF548" s="45"/>
      <c r="AG548" s="45"/>
      <c r="AH548" s="51"/>
      <c r="AI548" s="53">
        <v>5</v>
      </c>
      <c r="AJ548" s="45">
        <v>475.34999999999991</v>
      </c>
      <c r="AK548" s="45"/>
      <c r="AL548" s="45"/>
      <c r="AM548" s="45"/>
      <c r="AN548" s="45"/>
      <c r="AO548" s="45"/>
      <c r="AP548" s="51"/>
    </row>
    <row r="549" spans="1:42" ht="21" customHeight="1" thickTop="1" thickBot="1" x14ac:dyDescent="0.35">
      <c r="A549" s="63"/>
      <c r="B549" s="66"/>
      <c r="C549" s="53">
        <v>6</v>
      </c>
      <c r="D549" s="45">
        <v>476.97999999999979</v>
      </c>
      <c r="E549" s="45"/>
      <c r="F549" s="45"/>
      <c r="G549" s="45"/>
      <c r="H549" s="45"/>
      <c r="I549" s="45"/>
      <c r="J549" s="51"/>
      <c r="K549" s="53">
        <v>6</v>
      </c>
      <c r="L549" s="45">
        <v>476.72999999999979</v>
      </c>
      <c r="M549" s="45"/>
      <c r="N549" s="45"/>
      <c r="O549" s="45"/>
      <c r="P549" s="45"/>
      <c r="Q549" s="45"/>
      <c r="R549" s="51"/>
      <c r="S549" s="53">
        <v>6</v>
      </c>
      <c r="T549" s="45">
        <v>476.0899999999998</v>
      </c>
      <c r="U549" s="45"/>
      <c r="V549" s="45"/>
      <c r="W549" s="45"/>
      <c r="X549" s="45"/>
      <c r="Y549" s="45"/>
      <c r="Z549" s="51"/>
      <c r="AA549" s="53">
        <v>6</v>
      </c>
      <c r="AB549" s="45">
        <v>477.92999999999978</v>
      </c>
      <c r="AC549" s="45"/>
      <c r="AD549" s="45"/>
      <c r="AE549" s="45"/>
      <c r="AF549" s="45"/>
      <c r="AG549" s="45"/>
      <c r="AH549" s="51"/>
      <c r="AI549" s="53">
        <v>6</v>
      </c>
      <c r="AJ549" s="45">
        <v>476.08999999999992</v>
      </c>
      <c r="AK549" s="45"/>
      <c r="AL549" s="45"/>
      <c r="AM549" s="45"/>
      <c r="AN549" s="45"/>
      <c r="AO549" s="45"/>
      <c r="AP549" s="51"/>
    </row>
    <row r="550" spans="1:42" ht="21" customHeight="1" thickTop="1" thickBot="1" x14ac:dyDescent="0.35">
      <c r="A550" s="63"/>
      <c r="B550" s="66"/>
      <c r="C550" s="53">
        <v>7</v>
      </c>
      <c r="D550" s="45">
        <v>477.44999999999982</v>
      </c>
      <c r="E550" s="45"/>
      <c r="F550" s="45"/>
      <c r="G550" s="45"/>
      <c r="H550" s="45"/>
      <c r="I550" s="45"/>
      <c r="J550" s="51"/>
      <c r="K550" s="53">
        <v>7</v>
      </c>
      <c r="L550" s="45">
        <v>477.95999999999992</v>
      </c>
      <c r="M550" s="45"/>
      <c r="N550" s="45"/>
      <c r="O550" s="45"/>
      <c r="P550" s="45"/>
      <c r="Q550" s="45"/>
      <c r="R550" s="51"/>
      <c r="S550" s="53">
        <v>7</v>
      </c>
      <c r="T550" s="45">
        <v>476.48999999999978</v>
      </c>
      <c r="U550" s="45"/>
      <c r="V550" s="45"/>
      <c r="W550" s="45"/>
      <c r="X550" s="45"/>
      <c r="Y550" s="45"/>
      <c r="Z550" s="51"/>
      <c r="AA550" s="53">
        <v>7</v>
      </c>
      <c r="AB550" s="45">
        <v>478.2199999999998</v>
      </c>
      <c r="AC550" s="45"/>
      <c r="AD550" s="45"/>
      <c r="AE550" s="45"/>
      <c r="AF550" s="45"/>
      <c r="AG550" s="45"/>
      <c r="AH550" s="51"/>
      <c r="AI550" s="53">
        <v>7</v>
      </c>
      <c r="AJ550" s="45">
        <v>475.34999999999991</v>
      </c>
      <c r="AK550" s="45"/>
      <c r="AL550" s="45"/>
      <c r="AM550" s="45"/>
      <c r="AN550" s="45"/>
      <c r="AO550" s="45"/>
      <c r="AP550" s="51"/>
    </row>
    <row r="551" spans="1:42" ht="21" customHeight="1" thickTop="1" thickBot="1" x14ac:dyDescent="0.35">
      <c r="A551" s="63"/>
      <c r="B551" s="66"/>
      <c r="C551" s="53">
        <v>8</v>
      </c>
      <c r="D551" s="45">
        <v>476.72999999999979</v>
      </c>
      <c r="E551" s="45"/>
      <c r="F551" s="45"/>
      <c r="G551" s="45"/>
      <c r="H551" s="45"/>
      <c r="I551" s="45"/>
      <c r="J551" s="51"/>
      <c r="K551" s="53">
        <v>8</v>
      </c>
      <c r="L551" s="45">
        <v>476.06999999999988</v>
      </c>
      <c r="M551" s="45"/>
      <c r="N551" s="45"/>
      <c r="O551" s="45"/>
      <c r="P551" s="45"/>
      <c r="Q551" s="45"/>
      <c r="R551" s="51"/>
      <c r="S551" s="53">
        <v>8</v>
      </c>
      <c r="T551" s="45">
        <v>475.34999999999991</v>
      </c>
      <c r="U551" s="45"/>
      <c r="V551" s="45"/>
      <c r="W551" s="45"/>
      <c r="X551" s="45"/>
      <c r="Y551" s="45"/>
      <c r="Z551" s="51"/>
      <c r="AA551" s="53">
        <v>8</v>
      </c>
      <c r="AB551" s="45">
        <v>478.14999999999981</v>
      </c>
      <c r="AC551" s="45"/>
      <c r="AD551" s="45"/>
      <c r="AE551" s="45"/>
      <c r="AF551" s="45"/>
      <c r="AG551" s="45"/>
      <c r="AH551" s="51"/>
      <c r="AI551" s="53">
        <v>8</v>
      </c>
      <c r="AJ551" s="45">
        <v>475.9899999999999</v>
      </c>
      <c r="AK551" s="45"/>
      <c r="AL551" s="45"/>
      <c r="AM551" s="45"/>
      <c r="AN551" s="45"/>
      <c r="AO551" s="45"/>
      <c r="AP551" s="51"/>
    </row>
    <row r="552" spans="1:42" ht="21" customHeight="1" thickTop="1" thickBot="1" x14ac:dyDescent="0.35">
      <c r="A552" s="63"/>
      <c r="B552" s="66"/>
      <c r="C552" s="53">
        <v>9</v>
      </c>
      <c r="D552" s="45">
        <v>476.96999999999969</v>
      </c>
      <c r="E552" s="45"/>
      <c r="F552" s="45"/>
      <c r="G552" s="45"/>
      <c r="H552" s="45"/>
      <c r="I552" s="45"/>
      <c r="J552" s="51"/>
      <c r="K552" s="53">
        <v>9</v>
      </c>
      <c r="L552" s="45">
        <v>476.3499999999998</v>
      </c>
      <c r="M552" s="45"/>
      <c r="N552" s="45"/>
      <c r="O552" s="45"/>
      <c r="P552" s="45"/>
      <c r="Q552" s="45"/>
      <c r="R552" s="51"/>
      <c r="S552" s="53">
        <v>9</v>
      </c>
      <c r="T552" s="45">
        <v>476.08999999999992</v>
      </c>
      <c r="U552" s="45"/>
      <c r="V552" s="45"/>
      <c r="W552" s="45"/>
      <c r="X552" s="45"/>
      <c r="Y552" s="45"/>
      <c r="Z552" s="51"/>
      <c r="AA552" s="53">
        <v>9</v>
      </c>
      <c r="AB552" s="45">
        <v>477.3499999999998</v>
      </c>
      <c r="AC552" s="45"/>
      <c r="AD552" s="45"/>
      <c r="AE552" s="45"/>
      <c r="AF552" s="45"/>
      <c r="AG552" s="45"/>
      <c r="AH552" s="51"/>
      <c r="AI552" s="53">
        <v>9</v>
      </c>
      <c r="AJ552" s="45">
        <v>475.34999999999991</v>
      </c>
      <c r="AK552" s="45"/>
      <c r="AL552" s="45"/>
      <c r="AM552" s="45"/>
      <c r="AN552" s="45"/>
      <c r="AO552" s="45"/>
      <c r="AP552" s="51"/>
    </row>
    <row r="553" spans="1:42" ht="21" customHeight="1" thickTop="1" thickBot="1" x14ac:dyDescent="0.35">
      <c r="A553" s="63"/>
      <c r="B553" s="66"/>
      <c r="C553" s="53">
        <v>10</v>
      </c>
      <c r="D553" s="45">
        <v>477.74999999999977</v>
      </c>
      <c r="E553" s="45"/>
      <c r="F553" s="45"/>
      <c r="G553" s="45"/>
      <c r="H553" s="45"/>
      <c r="I553" s="45"/>
      <c r="J553" s="51"/>
      <c r="K553" s="53">
        <v>10</v>
      </c>
      <c r="L553" s="45">
        <v>477.44999999999982</v>
      </c>
      <c r="M553" s="45"/>
      <c r="N553" s="45"/>
      <c r="O553" s="45"/>
      <c r="P553" s="45"/>
      <c r="Q553" s="45"/>
      <c r="R553" s="51"/>
      <c r="S553" s="53">
        <v>10</v>
      </c>
      <c r="T553" s="45">
        <v>475.34999999999991</v>
      </c>
      <c r="U553" s="45"/>
      <c r="V553" s="45"/>
      <c r="W553" s="45"/>
      <c r="X553" s="45"/>
      <c r="Y553" s="45"/>
      <c r="Z553" s="51"/>
      <c r="AA553" s="53">
        <v>10</v>
      </c>
      <c r="AB553" s="45">
        <v>477.56999999999982</v>
      </c>
      <c r="AC553" s="45"/>
      <c r="AD553" s="45"/>
      <c r="AE553" s="45"/>
      <c r="AF553" s="45"/>
      <c r="AG553" s="45"/>
      <c r="AH553" s="51"/>
      <c r="AI553" s="53">
        <v>10</v>
      </c>
      <c r="AJ553" s="45">
        <v>475.9899999999999</v>
      </c>
      <c r="AK553" s="45"/>
      <c r="AL553" s="45"/>
      <c r="AM553" s="45"/>
      <c r="AN553" s="45"/>
      <c r="AO553" s="45"/>
      <c r="AP553" s="51"/>
    </row>
    <row r="554" spans="1:42" ht="21" customHeight="1" thickTop="1" thickBot="1" x14ac:dyDescent="0.35">
      <c r="A554" s="63"/>
      <c r="B554" s="66"/>
      <c r="C554" s="53"/>
      <c r="D554" s="45"/>
      <c r="E554" s="45"/>
      <c r="F554" s="45"/>
      <c r="G554" s="45"/>
      <c r="H554" s="45"/>
      <c r="I554" s="45"/>
      <c r="J554" s="51"/>
      <c r="K554" s="53"/>
      <c r="L554" s="45"/>
      <c r="M554" s="45"/>
      <c r="N554" s="45"/>
      <c r="O554" s="45"/>
      <c r="P554" s="45"/>
      <c r="Q554" s="45"/>
      <c r="R554" s="51"/>
      <c r="S554" s="53"/>
      <c r="T554" s="45"/>
      <c r="U554" s="45"/>
      <c r="V554" s="45"/>
      <c r="W554" s="45"/>
      <c r="X554" s="45"/>
      <c r="Y554" s="45"/>
      <c r="Z554" s="51"/>
      <c r="AA554" s="53"/>
      <c r="AB554" s="45"/>
      <c r="AC554" s="45"/>
      <c r="AD554" s="45"/>
      <c r="AE554" s="45"/>
      <c r="AF554" s="45"/>
      <c r="AG554" s="45"/>
      <c r="AH554" s="51"/>
      <c r="AI554" s="53"/>
      <c r="AJ554" s="45"/>
      <c r="AK554" s="45"/>
      <c r="AL554" s="45"/>
      <c r="AM554" s="45"/>
      <c r="AN554" s="45"/>
      <c r="AO554" s="45"/>
      <c r="AP554" s="51"/>
    </row>
    <row r="555" spans="1:42" ht="21" customHeight="1" thickTop="1" thickBot="1" x14ac:dyDescent="0.35">
      <c r="A555" s="63"/>
      <c r="B555" s="66"/>
      <c r="C555" s="54" t="s">
        <v>16</v>
      </c>
      <c r="D555" s="49">
        <f>MIN(D544:D553)</f>
        <v>476.72999999999979</v>
      </c>
      <c r="E555" s="45"/>
      <c r="F555" s="55" t="s">
        <v>17</v>
      </c>
      <c r="G555" s="49" t="s">
        <v>18</v>
      </c>
      <c r="H555" s="49" t="s">
        <v>19</v>
      </c>
      <c r="I555" s="45"/>
      <c r="J555" s="51"/>
      <c r="K555" s="54" t="s">
        <v>16</v>
      </c>
      <c r="L555" s="49">
        <f>MIN(L544:L553)</f>
        <v>476.06999999999988</v>
      </c>
      <c r="M555" s="45"/>
      <c r="N555" s="55" t="s">
        <v>17</v>
      </c>
      <c r="O555" s="49" t="s">
        <v>18</v>
      </c>
      <c r="P555" s="49" t="s">
        <v>19</v>
      </c>
      <c r="Q555" s="45"/>
      <c r="R555" s="51"/>
      <c r="S555" s="54" t="s">
        <v>16</v>
      </c>
      <c r="T555" s="49">
        <f>MIN(T544:T553)</f>
        <v>475.34999999999991</v>
      </c>
      <c r="U555" s="45"/>
      <c r="V555" s="55" t="s">
        <v>17</v>
      </c>
      <c r="W555" s="49" t="s">
        <v>18</v>
      </c>
      <c r="X555" s="49" t="s">
        <v>19</v>
      </c>
      <c r="Y555" s="45"/>
      <c r="Z555" s="51"/>
      <c r="AA555" s="54" t="s">
        <v>16</v>
      </c>
      <c r="AB555" s="49">
        <f>MIN(AB544:AB553)</f>
        <v>477.1099999999999</v>
      </c>
      <c r="AC555" s="45"/>
      <c r="AD555" s="55" t="s">
        <v>17</v>
      </c>
      <c r="AE555" s="49" t="s">
        <v>18</v>
      </c>
      <c r="AF555" s="49" t="s">
        <v>19</v>
      </c>
      <c r="AG555" s="45"/>
      <c r="AH555" s="51"/>
      <c r="AI555" s="54" t="s">
        <v>16</v>
      </c>
      <c r="AJ555" s="49">
        <f>MIN(AJ544:AJ553)</f>
        <v>475.34999999999991</v>
      </c>
      <c r="AK555" s="45"/>
      <c r="AL555" s="55" t="s">
        <v>17</v>
      </c>
      <c r="AM555" s="49" t="s">
        <v>18</v>
      </c>
      <c r="AN555" s="49" t="s">
        <v>19</v>
      </c>
      <c r="AO555" s="45"/>
      <c r="AP555" s="51"/>
    </row>
    <row r="556" spans="1:42" ht="21" customHeight="1" thickTop="1" thickBot="1" x14ac:dyDescent="0.35">
      <c r="A556" s="63"/>
      <c r="B556" s="66"/>
      <c r="C556" s="54" t="s">
        <v>20</v>
      </c>
      <c r="D556" s="48">
        <f>AVERAGE(D544:D553)</f>
        <v>477.2699999999997</v>
      </c>
      <c r="E556" s="47"/>
      <c r="F556" s="48">
        <f>_xlfn.STDEV.S(D544:D553) / AVERAGE(D544:D553) * 100%</f>
        <v>7.0418968854905504E-4</v>
      </c>
      <c r="G556" s="48">
        <f t="array" ref="G556">MIN((D544:D553 - MIN(D544:D553,L544:L553,T544:T553,AB544:AB553,AJ544:AJ553))/MIN(D544:D553,L544:L553,T544:T553,AB544:AB553,AJ544:AJ553)*100%)</f>
        <v>2.9031240138842579E-3</v>
      </c>
      <c r="H556" s="48">
        <f t="array" ref="H556">AVERAGE((D544:D553 - MIN(D544:D553,L544:L553,T544:T553,AB544:AB553,AJ544:AJ553))/MIN(D544:D553,L544:L553,T544:T553,AB544:AB553,AJ544:AJ553)*100%)</f>
        <v>4.0391290627955819E-3</v>
      </c>
      <c r="I556" s="45"/>
      <c r="J556" s="51"/>
      <c r="K556" s="54" t="s">
        <v>20</v>
      </c>
      <c r="L556" s="48">
        <f>AVERAGE(L544:L553)</f>
        <v>477.07499999999982</v>
      </c>
      <c r="M556" s="47"/>
      <c r="N556" s="48">
        <f>_xlfn.STDEV.S(L544:L553) / AVERAGE(L544:L553) * 100%</f>
        <v>1.5811137432904846E-3</v>
      </c>
      <c r="O556" s="48">
        <f t="array" ref="O556">MIN((L544:L553 - MIN(D544:D553,L544:L553,T544:T553,AB544:AB553,AJ544:AJ553))/MIN(D544:D553,L544:L553,T544:T553,AB544:AB553,AJ544:AJ553)*100%)</f>
        <v>1.5146733985483762E-3</v>
      </c>
      <c r="P556" s="48">
        <f t="array" ref="P556">AVERAGE((L544:L553 - MIN(D544:D553,L544:L553,T544:T553,AB544:AB553,AJ544:AJ553))/MIN(D544:D553,L544:L553,T544:T553,AB544:AB553,AJ544:AJ553)*100%)</f>
        <v>3.6289050173554786E-3</v>
      </c>
      <c r="Q556" s="44"/>
      <c r="R556" s="51"/>
      <c r="S556" s="54" t="s">
        <v>20</v>
      </c>
      <c r="T556" s="48">
        <f>AVERAGE(T544:T553)</f>
        <v>476.14499999999987</v>
      </c>
      <c r="U556" s="47"/>
      <c r="V556" s="48">
        <f>_xlfn.STDEV.S(T544:T553) / AVERAGE(T544:T553) * 100%</f>
        <v>1.1590388568217664E-3</v>
      </c>
      <c r="W556" s="48">
        <f t="array" ref="W556">MIN((T544:T553 - MIN(D544:D553,L544:L553,T544:T553,AB544:AB553,AJ544:AJ553))/MIN(D544:D553,L544:L553,T544:T553,AB544:AB553,AJ544:AJ553)*100%)</f>
        <v>0</v>
      </c>
      <c r="X556" s="48">
        <f t="array" ref="X556">AVERAGE((T544:T553 - MIN(D544:D553,L544:L553,T544:T553,AB544:AB553,AJ544:AJ553))/MIN(D544:D553,L544:L553,T544:T553,AB544:AB553,AJ544:AJ553)*100%)</f>
        <v>1.6724518775638267E-3</v>
      </c>
      <c r="Y556" s="44"/>
      <c r="Z556" s="51"/>
      <c r="AA556" s="54" t="s">
        <v>20</v>
      </c>
      <c r="AB556" s="48">
        <f>AVERAGE(AB544:AB553)</f>
        <v>477.87999999999977</v>
      </c>
      <c r="AC556" s="47"/>
      <c r="AD556" s="48">
        <f>_xlfn.STDEV.S(AB544:AB553) / AVERAGE(AB544:AB553) * 100%</f>
        <v>1.3311587799408448E-3</v>
      </c>
      <c r="AE556" s="48">
        <f t="array" ref="AE556">MIN((AB544:AB553 - MIN(D544:D553,L544:L553,T544:T553,AB544:AB553,AJ544:AJ553))/MIN(D544:D553,L544:L553,T544:T553,AB544:AB553,AJ544:AJ553)*100%)</f>
        <v>3.7025349742294965E-3</v>
      </c>
      <c r="AF556" s="48">
        <f t="array" ref="AF556">AVERAGE((AB544:AB553 - MIN(D544:D553,L544:L553,T544:T553,AB544:AB553,AJ544:AJ553))/MIN(D544:D553,L544:L553,T544:T553,AB544:AB553,AJ544:AJ553)*100%)</f>
        <v>5.3223940254547158E-3</v>
      </c>
      <c r="AG556" s="44"/>
      <c r="AH556" s="51"/>
      <c r="AI556" s="54" t="s">
        <v>20</v>
      </c>
      <c r="AJ556" s="48">
        <f>AVERAGE(AJ544:AJ553)</f>
        <v>475.78699999999992</v>
      </c>
      <c r="AK556" s="47"/>
      <c r="AL556" s="48">
        <f>_xlfn.STDEV.S(AJ544:AJ553) / AVERAGE(AJ544:AJ553) * 100%</f>
        <v>7.0227651934020316E-4</v>
      </c>
      <c r="AM556" s="48">
        <f t="array" ref="AM556">MIN((AJ544:AJ553 - MIN(D544:D553,L544:L553,T544:T553,AB544:AB553,AJ544:AJ553))/MIN(D544:D553,L544:L553,T544:T553,AB544:AB553,AJ544:AJ553)*100%)</f>
        <v>0</v>
      </c>
      <c r="AN556" s="48">
        <f t="array" ref="AN556">AVERAGE((AJ544:AJ553 - MIN(D544:D553,L544:L553,T544:T553,AB544:AB553,AJ544:AJ553))/MIN(D544:D553,L544:L553,T544:T553,AB544:AB553,AJ544:AJ553)*100%)</f>
        <v>9.1932260439676135E-4</v>
      </c>
      <c r="AO556" s="44"/>
      <c r="AP556" s="51"/>
    </row>
    <row r="557" spans="1:42" ht="21" customHeight="1" thickTop="1" thickBot="1" x14ac:dyDescent="0.35">
      <c r="A557" s="63"/>
      <c r="B557" s="67"/>
      <c r="C557" s="53"/>
      <c r="D557" s="44"/>
      <c r="E557" s="44"/>
      <c r="F557" s="44"/>
      <c r="G557" s="44"/>
      <c r="H557" s="44"/>
      <c r="I557" s="44"/>
      <c r="J557" s="51"/>
      <c r="K557" s="53"/>
      <c r="L557" s="44"/>
      <c r="M557" s="44"/>
      <c r="N557" s="44"/>
      <c r="O557" s="44"/>
      <c r="P557" s="44"/>
      <c r="Q557" s="44"/>
      <c r="R557" s="51"/>
      <c r="S557" s="53"/>
      <c r="T557" s="44"/>
      <c r="U557" s="44"/>
      <c r="V557" s="44"/>
      <c r="W557" s="44"/>
      <c r="X557" s="44"/>
      <c r="Y557" s="44"/>
      <c r="Z557" s="51"/>
      <c r="AA557" s="53"/>
      <c r="AB557" s="44"/>
      <c r="AC557" s="44"/>
      <c r="AD557" s="44"/>
      <c r="AE557" s="44"/>
      <c r="AF557" s="44"/>
      <c r="AG557" s="44"/>
      <c r="AH557" s="51"/>
      <c r="AI557" s="53"/>
      <c r="AJ557" s="44"/>
      <c r="AK557" s="44"/>
      <c r="AL557" s="44"/>
      <c r="AM557" s="44"/>
      <c r="AN557" s="44"/>
      <c r="AO557" s="44"/>
      <c r="AP557" s="51"/>
    </row>
    <row r="558" spans="1:42" ht="21" customHeight="1" thickTop="1" thickBot="1" x14ac:dyDescent="0.35">
      <c r="A558" s="63"/>
      <c r="B558" s="65" t="s">
        <v>143</v>
      </c>
      <c r="C558" s="59" t="s">
        <v>8</v>
      </c>
      <c r="D558" s="46" t="s">
        <v>9</v>
      </c>
      <c r="E558" s="46" t="s">
        <v>10</v>
      </c>
      <c r="F558" s="46" t="s">
        <v>11</v>
      </c>
      <c r="G558" s="46" t="s">
        <v>12</v>
      </c>
      <c r="H558" s="46" t="s">
        <v>13</v>
      </c>
      <c r="I558" s="46" t="s">
        <v>14</v>
      </c>
      <c r="J558" s="60" t="s">
        <v>15</v>
      </c>
      <c r="K558" s="59" t="s">
        <v>8</v>
      </c>
      <c r="L558" s="46" t="s">
        <v>9</v>
      </c>
      <c r="M558" s="46" t="s">
        <v>10</v>
      </c>
      <c r="N558" s="46" t="s">
        <v>11</v>
      </c>
      <c r="O558" s="46" t="s">
        <v>12</v>
      </c>
      <c r="P558" s="46" t="s">
        <v>13</v>
      </c>
      <c r="Q558" s="46" t="s">
        <v>14</v>
      </c>
      <c r="R558" s="60" t="s">
        <v>15</v>
      </c>
      <c r="S558" s="59" t="s">
        <v>8</v>
      </c>
      <c r="T558" s="46" t="s">
        <v>9</v>
      </c>
      <c r="U558" s="46" t="s">
        <v>10</v>
      </c>
      <c r="V558" s="46" t="s">
        <v>11</v>
      </c>
      <c r="W558" s="46" t="s">
        <v>12</v>
      </c>
      <c r="X558" s="46" t="s">
        <v>13</v>
      </c>
      <c r="Y558" s="46" t="s">
        <v>14</v>
      </c>
      <c r="Z558" s="60" t="s">
        <v>15</v>
      </c>
      <c r="AA558" s="59" t="s">
        <v>8</v>
      </c>
      <c r="AB558" s="46" t="s">
        <v>9</v>
      </c>
      <c r="AC558" s="46" t="s">
        <v>10</v>
      </c>
      <c r="AD558" s="46" t="s">
        <v>11</v>
      </c>
      <c r="AE558" s="46" t="s">
        <v>12</v>
      </c>
      <c r="AF558" s="46" t="s">
        <v>13</v>
      </c>
      <c r="AG558" s="46" t="s">
        <v>14</v>
      </c>
      <c r="AH558" s="60" t="s">
        <v>15</v>
      </c>
      <c r="AI558" s="59" t="s">
        <v>8</v>
      </c>
      <c r="AJ558" s="46" t="s">
        <v>9</v>
      </c>
      <c r="AK558" s="46" t="s">
        <v>10</v>
      </c>
      <c r="AL558" s="46" t="s">
        <v>11</v>
      </c>
      <c r="AM558" s="46" t="s">
        <v>12</v>
      </c>
      <c r="AN558" s="46" t="s">
        <v>13</v>
      </c>
      <c r="AO558" s="46" t="s">
        <v>14</v>
      </c>
      <c r="AP558" s="60" t="s">
        <v>15</v>
      </c>
    </row>
    <row r="559" spans="1:42" ht="21" customHeight="1" thickTop="1" thickBot="1" x14ac:dyDescent="0.35">
      <c r="A559" s="63"/>
      <c r="B559" s="66"/>
      <c r="C559" s="52">
        <v>1</v>
      </c>
      <c r="D559" s="44">
        <v>514.43999999999983</v>
      </c>
      <c r="E559" s="44"/>
      <c r="F559" s="44"/>
      <c r="G559" s="44"/>
      <c r="H559" s="44"/>
      <c r="I559" s="44"/>
      <c r="J559" s="51"/>
      <c r="K559" s="52">
        <v>1</v>
      </c>
      <c r="L559" s="44">
        <v>515.14999999999986</v>
      </c>
      <c r="M559" s="44"/>
      <c r="N559" s="44"/>
      <c r="O559" s="44"/>
      <c r="P559" s="44"/>
      <c r="Q559" s="44"/>
      <c r="R559" s="51"/>
      <c r="S559" s="52">
        <v>1</v>
      </c>
      <c r="T559" s="44">
        <v>515.33999999999969</v>
      </c>
      <c r="U559" s="44"/>
      <c r="V559" s="44"/>
      <c r="W559" s="44"/>
      <c r="X559" s="44"/>
      <c r="Y559" s="44"/>
      <c r="Z559" s="51"/>
      <c r="AA559" s="52">
        <v>1</v>
      </c>
      <c r="AB559" s="44">
        <v>514.92999999999972</v>
      </c>
      <c r="AC559" s="44"/>
      <c r="AD559" s="44"/>
      <c r="AE559" s="44"/>
      <c r="AF559" s="44"/>
      <c r="AG559" s="44"/>
      <c r="AH559" s="51"/>
      <c r="AI559" s="52">
        <v>1</v>
      </c>
      <c r="AJ559" s="44">
        <v>513.70999999999981</v>
      </c>
      <c r="AK559" s="44"/>
      <c r="AL559" s="44"/>
      <c r="AM559" s="44"/>
      <c r="AN559" s="44"/>
      <c r="AO559" s="44"/>
      <c r="AP559" s="51"/>
    </row>
    <row r="560" spans="1:42" ht="21" customHeight="1" thickTop="1" thickBot="1" x14ac:dyDescent="0.35">
      <c r="A560" s="63"/>
      <c r="B560" s="66"/>
      <c r="C560" s="53">
        <v>2</v>
      </c>
      <c r="D560" s="45">
        <v>514.28999999999974</v>
      </c>
      <c r="E560" s="45"/>
      <c r="F560" s="45"/>
      <c r="G560" s="45"/>
      <c r="H560" s="45"/>
      <c r="I560" s="45"/>
      <c r="J560" s="51"/>
      <c r="K560" s="53">
        <v>2</v>
      </c>
      <c r="L560" s="45">
        <v>513.28999999999985</v>
      </c>
      <c r="M560" s="45"/>
      <c r="N560" s="45"/>
      <c r="O560" s="45"/>
      <c r="P560" s="45"/>
      <c r="Q560" s="45"/>
      <c r="R560" s="51"/>
      <c r="S560" s="53">
        <v>2</v>
      </c>
      <c r="T560" s="45">
        <v>513.93999999999971</v>
      </c>
      <c r="U560" s="45"/>
      <c r="V560" s="45"/>
      <c r="W560" s="45"/>
      <c r="X560" s="45"/>
      <c r="Y560" s="45"/>
      <c r="Z560" s="51"/>
      <c r="AA560" s="53">
        <v>2</v>
      </c>
      <c r="AB560" s="45">
        <v>513.34999999999968</v>
      </c>
      <c r="AC560" s="45"/>
      <c r="AD560" s="45"/>
      <c r="AE560" s="45"/>
      <c r="AF560" s="45"/>
      <c r="AG560" s="45"/>
      <c r="AH560" s="51"/>
      <c r="AI560" s="53">
        <v>2</v>
      </c>
      <c r="AJ560" s="45">
        <v>514.54999999999984</v>
      </c>
      <c r="AK560" s="45"/>
      <c r="AL560" s="45"/>
      <c r="AM560" s="45"/>
      <c r="AN560" s="45"/>
      <c r="AO560" s="45"/>
      <c r="AP560" s="51"/>
    </row>
    <row r="561" spans="1:42" ht="21" customHeight="1" thickTop="1" thickBot="1" x14ac:dyDescent="0.35">
      <c r="A561" s="63"/>
      <c r="B561" s="66"/>
      <c r="C561" s="53">
        <v>3</v>
      </c>
      <c r="D561" s="45">
        <v>513.45999999999981</v>
      </c>
      <c r="E561" s="45"/>
      <c r="F561" s="45"/>
      <c r="G561" s="44"/>
      <c r="H561" s="44"/>
      <c r="I561" s="44"/>
      <c r="J561" s="51"/>
      <c r="K561" s="53">
        <v>3</v>
      </c>
      <c r="L561" s="45">
        <v>514.28999999999985</v>
      </c>
      <c r="M561" s="45"/>
      <c r="N561" s="45"/>
      <c r="O561" s="44"/>
      <c r="P561" s="44"/>
      <c r="Q561" s="44"/>
      <c r="R561" s="51"/>
      <c r="S561" s="53">
        <v>3</v>
      </c>
      <c r="T561" s="45">
        <v>515.37999999999977</v>
      </c>
      <c r="U561" s="45"/>
      <c r="V561" s="45"/>
      <c r="W561" s="44"/>
      <c r="X561" s="44"/>
      <c r="Y561" s="44"/>
      <c r="Z561" s="51"/>
      <c r="AA561" s="53">
        <v>3</v>
      </c>
      <c r="AB561" s="45">
        <v>514.65999999999974</v>
      </c>
      <c r="AC561" s="45"/>
      <c r="AD561" s="45"/>
      <c r="AE561" s="44"/>
      <c r="AF561" s="44"/>
      <c r="AG561" s="44"/>
      <c r="AH561" s="51"/>
      <c r="AI561" s="53">
        <v>3</v>
      </c>
      <c r="AJ561" s="45">
        <v>514.63999999999976</v>
      </c>
      <c r="AK561" s="45"/>
      <c r="AL561" s="45"/>
      <c r="AM561" s="44"/>
      <c r="AN561" s="44"/>
      <c r="AO561" s="44"/>
      <c r="AP561" s="51"/>
    </row>
    <row r="562" spans="1:42" ht="21" customHeight="1" thickTop="1" thickBot="1" x14ac:dyDescent="0.35">
      <c r="A562" s="63"/>
      <c r="B562" s="66"/>
      <c r="C562" s="53">
        <v>4</v>
      </c>
      <c r="D562" s="45">
        <v>513.24999999999977</v>
      </c>
      <c r="E562" s="45"/>
      <c r="F562" s="45"/>
      <c r="G562" s="45"/>
      <c r="H562" s="45"/>
      <c r="I562" s="45"/>
      <c r="J562" s="51"/>
      <c r="K562" s="53">
        <v>4</v>
      </c>
      <c r="L562" s="45">
        <v>514.12999999999977</v>
      </c>
      <c r="M562" s="45"/>
      <c r="N562" s="45"/>
      <c r="O562" s="45"/>
      <c r="P562" s="45"/>
      <c r="Q562" s="45"/>
      <c r="R562" s="51"/>
      <c r="S562" s="53">
        <v>4</v>
      </c>
      <c r="T562" s="45">
        <v>514.8399999999998</v>
      </c>
      <c r="U562" s="45"/>
      <c r="V562" s="45"/>
      <c r="W562" s="45"/>
      <c r="X562" s="45"/>
      <c r="Y562" s="45"/>
      <c r="Z562" s="51"/>
      <c r="AA562" s="53">
        <v>4</v>
      </c>
      <c r="AB562" s="45">
        <v>515.56999999999982</v>
      </c>
      <c r="AC562" s="45"/>
      <c r="AD562" s="45"/>
      <c r="AE562" s="45"/>
      <c r="AF562" s="45"/>
      <c r="AG562" s="45"/>
      <c r="AH562" s="51"/>
      <c r="AI562" s="53">
        <v>4</v>
      </c>
      <c r="AJ562" s="45">
        <v>514.39999999999986</v>
      </c>
      <c r="AK562" s="45"/>
      <c r="AL562" s="45"/>
      <c r="AM562" s="45"/>
      <c r="AN562" s="45"/>
      <c r="AO562" s="45"/>
      <c r="AP562" s="51"/>
    </row>
    <row r="563" spans="1:42" ht="21" customHeight="1" thickTop="1" thickBot="1" x14ac:dyDescent="0.35">
      <c r="A563" s="63"/>
      <c r="B563" s="66"/>
      <c r="C563" s="53">
        <v>5</v>
      </c>
      <c r="D563" s="45">
        <v>513.24999999999989</v>
      </c>
      <c r="E563" s="45"/>
      <c r="F563" s="45"/>
      <c r="G563" s="45"/>
      <c r="H563" s="45"/>
      <c r="I563" s="45"/>
      <c r="J563" s="51"/>
      <c r="K563" s="53">
        <v>5</v>
      </c>
      <c r="L563" s="45">
        <v>514.43999999999983</v>
      </c>
      <c r="M563" s="45"/>
      <c r="N563" s="45"/>
      <c r="O563" s="45"/>
      <c r="P563" s="45"/>
      <c r="Q563" s="45"/>
      <c r="R563" s="51"/>
      <c r="S563" s="53">
        <v>5</v>
      </c>
      <c r="T563" s="45">
        <v>514.19999999999982</v>
      </c>
      <c r="U563" s="45"/>
      <c r="V563" s="45"/>
      <c r="W563" s="45"/>
      <c r="X563" s="45"/>
      <c r="Y563" s="45"/>
      <c r="Z563" s="51"/>
      <c r="AA563" s="53">
        <v>5</v>
      </c>
      <c r="AB563" s="45">
        <v>513.44999999999982</v>
      </c>
      <c r="AC563" s="45"/>
      <c r="AD563" s="45"/>
      <c r="AE563" s="45"/>
      <c r="AF563" s="45"/>
      <c r="AG563" s="45"/>
      <c r="AH563" s="51"/>
      <c r="AI563" s="53">
        <v>5</v>
      </c>
      <c r="AJ563" s="45">
        <v>514.15999999999985</v>
      </c>
      <c r="AK563" s="45"/>
      <c r="AL563" s="45"/>
      <c r="AM563" s="45"/>
      <c r="AN563" s="45"/>
      <c r="AO563" s="45"/>
      <c r="AP563" s="51"/>
    </row>
    <row r="564" spans="1:42" ht="21" customHeight="1" thickTop="1" thickBot="1" x14ac:dyDescent="0.35">
      <c r="A564" s="63"/>
      <c r="B564" s="66"/>
      <c r="C564" s="53">
        <v>6</v>
      </c>
      <c r="D564" s="45">
        <v>513.34999999999968</v>
      </c>
      <c r="E564" s="45"/>
      <c r="F564" s="45"/>
      <c r="G564" s="45"/>
      <c r="H564" s="45"/>
      <c r="I564" s="45"/>
      <c r="J564" s="51"/>
      <c r="K564" s="53">
        <v>6</v>
      </c>
      <c r="L564" s="45">
        <v>515.27999999999975</v>
      </c>
      <c r="M564" s="45"/>
      <c r="N564" s="45"/>
      <c r="O564" s="45"/>
      <c r="P564" s="45"/>
      <c r="Q564" s="45"/>
      <c r="R564" s="51"/>
      <c r="S564" s="53">
        <v>6</v>
      </c>
      <c r="T564" s="45">
        <v>513.98999999999978</v>
      </c>
      <c r="U564" s="45"/>
      <c r="V564" s="45"/>
      <c r="W564" s="45"/>
      <c r="X564" s="45"/>
      <c r="Y564" s="45"/>
      <c r="Z564" s="51"/>
      <c r="AA564" s="53">
        <v>6</v>
      </c>
      <c r="AB564" s="45">
        <v>513.32999999999981</v>
      </c>
      <c r="AC564" s="45"/>
      <c r="AD564" s="45"/>
      <c r="AE564" s="45"/>
      <c r="AF564" s="45"/>
      <c r="AG564" s="45"/>
      <c r="AH564" s="51"/>
      <c r="AI564" s="53">
        <v>6</v>
      </c>
      <c r="AJ564" s="45">
        <v>513.51999999999987</v>
      </c>
      <c r="AK564" s="45"/>
      <c r="AL564" s="45"/>
      <c r="AM564" s="45"/>
      <c r="AN564" s="45"/>
      <c r="AO564" s="45"/>
      <c r="AP564" s="51"/>
    </row>
    <row r="565" spans="1:42" ht="21" customHeight="1" thickTop="1" thickBot="1" x14ac:dyDescent="0.35">
      <c r="A565" s="63"/>
      <c r="B565" s="66"/>
      <c r="C565" s="53">
        <v>7</v>
      </c>
      <c r="D565" s="45">
        <v>513.29999999999973</v>
      </c>
      <c r="E565" s="45"/>
      <c r="F565" s="45"/>
      <c r="G565" s="45"/>
      <c r="H565" s="45"/>
      <c r="I565" s="45"/>
      <c r="J565" s="51"/>
      <c r="K565" s="53">
        <v>7</v>
      </c>
      <c r="L565" s="45">
        <v>514.22999999999979</v>
      </c>
      <c r="M565" s="45"/>
      <c r="N565" s="45"/>
      <c r="O565" s="45"/>
      <c r="P565" s="45"/>
      <c r="Q565" s="45"/>
      <c r="R565" s="51"/>
      <c r="S565" s="53">
        <v>7</v>
      </c>
      <c r="T565" s="45">
        <v>515.28999999999974</v>
      </c>
      <c r="U565" s="45"/>
      <c r="V565" s="45"/>
      <c r="W565" s="45"/>
      <c r="X565" s="45"/>
      <c r="Y565" s="45"/>
      <c r="Z565" s="51"/>
      <c r="AA565" s="53">
        <v>7</v>
      </c>
      <c r="AB565" s="45">
        <v>514.47999999999979</v>
      </c>
      <c r="AC565" s="45"/>
      <c r="AD565" s="45"/>
      <c r="AE565" s="45"/>
      <c r="AF565" s="45"/>
      <c r="AG565" s="45"/>
      <c r="AH565" s="51"/>
      <c r="AI565" s="53">
        <v>7</v>
      </c>
      <c r="AJ565" s="45">
        <v>514.15999999999985</v>
      </c>
      <c r="AK565" s="45"/>
      <c r="AL565" s="45"/>
      <c r="AM565" s="45"/>
      <c r="AN565" s="45"/>
      <c r="AO565" s="45"/>
      <c r="AP565" s="51"/>
    </row>
    <row r="566" spans="1:42" ht="21" customHeight="1" thickTop="1" thickBot="1" x14ac:dyDescent="0.35">
      <c r="A566" s="63"/>
      <c r="B566" s="66"/>
      <c r="C566" s="53">
        <v>8</v>
      </c>
      <c r="D566" s="45">
        <v>513.2199999999998</v>
      </c>
      <c r="E566" s="45"/>
      <c r="F566" s="45"/>
      <c r="G566" s="45"/>
      <c r="H566" s="45"/>
      <c r="I566" s="45"/>
      <c r="J566" s="51"/>
      <c r="K566" s="53">
        <v>8</v>
      </c>
      <c r="L566" s="45">
        <v>514.5899999999998</v>
      </c>
      <c r="M566" s="45"/>
      <c r="N566" s="45"/>
      <c r="O566" s="45"/>
      <c r="P566" s="45"/>
      <c r="Q566" s="45"/>
      <c r="R566" s="51"/>
      <c r="S566" s="53">
        <v>8</v>
      </c>
      <c r="T566" s="45">
        <v>516.87999999999977</v>
      </c>
      <c r="U566" s="45"/>
      <c r="V566" s="45"/>
      <c r="W566" s="45"/>
      <c r="X566" s="45"/>
      <c r="Y566" s="45"/>
      <c r="Z566" s="51"/>
      <c r="AA566" s="53">
        <v>8</v>
      </c>
      <c r="AB566" s="45">
        <v>513.54999999999973</v>
      </c>
      <c r="AC566" s="45"/>
      <c r="AD566" s="45"/>
      <c r="AE566" s="45"/>
      <c r="AF566" s="45"/>
      <c r="AG566" s="45"/>
      <c r="AH566" s="51"/>
      <c r="AI566" s="53">
        <v>8</v>
      </c>
      <c r="AJ566" s="45">
        <v>514.63999999999987</v>
      </c>
      <c r="AK566" s="45"/>
      <c r="AL566" s="45"/>
      <c r="AM566" s="45"/>
      <c r="AN566" s="45"/>
      <c r="AO566" s="45"/>
      <c r="AP566" s="51"/>
    </row>
    <row r="567" spans="1:42" ht="21" customHeight="1" thickTop="1" thickBot="1" x14ac:dyDescent="0.35">
      <c r="A567" s="63"/>
      <c r="B567" s="66"/>
      <c r="C567" s="53">
        <v>9</v>
      </c>
      <c r="D567" s="45">
        <v>514.39999999999975</v>
      </c>
      <c r="E567" s="45"/>
      <c r="F567" s="45"/>
      <c r="G567" s="45"/>
      <c r="H567" s="45"/>
      <c r="I567" s="45"/>
      <c r="J567" s="51"/>
      <c r="K567" s="53">
        <v>9</v>
      </c>
      <c r="L567" s="45">
        <v>513.83999999999969</v>
      </c>
      <c r="M567" s="45"/>
      <c r="N567" s="45"/>
      <c r="O567" s="45"/>
      <c r="P567" s="45"/>
      <c r="Q567" s="45"/>
      <c r="R567" s="51"/>
      <c r="S567" s="53">
        <v>9</v>
      </c>
      <c r="T567" s="45">
        <v>515.06999999999982</v>
      </c>
      <c r="U567" s="45"/>
      <c r="V567" s="45"/>
      <c r="W567" s="45"/>
      <c r="X567" s="45"/>
      <c r="Y567" s="45"/>
      <c r="Z567" s="51"/>
      <c r="AA567" s="53">
        <v>9</v>
      </c>
      <c r="AB567" s="45">
        <v>514.72999999999979</v>
      </c>
      <c r="AC567" s="45"/>
      <c r="AD567" s="45"/>
      <c r="AE567" s="45"/>
      <c r="AF567" s="45"/>
      <c r="AG567" s="45"/>
      <c r="AH567" s="51"/>
      <c r="AI567" s="53">
        <v>9</v>
      </c>
      <c r="AJ567" s="45">
        <v>514.63999999999976</v>
      </c>
      <c r="AK567" s="45"/>
      <c r="AL567" s="45"/>
      <c r="AM567" s="45"/>
      <c r="AN567" s="45"/>
      <c r="AO567" s="45"/>
      <c r="AP567" s="51"/>
    </row>
    <row r="568" spans="1:42" ht="21" customHeight="1" thickTop="1" thickBot="1" x14ac:dyDescent="0.35">
      <c r="A568" s="63"/>
      <c r="B568" s="66"/>
      <c r="C568" s="53">
        <v>10</v>
      </c>
      <c r="D568" s="45">
        <v>514.12999999999977</v>
      </c>
      <c r="E568" s="45"/>
      <c r="F568" s="45"/>
      <c r="G568" s="45"/>
      <c r="H568" s="45"/>
      <c r="I568" s="45"/>
      <c r="J568" s="51"/>
      <c r="K568" s="53">
        <v>10</v>
      </c>
      <c r="L568" s="45">
        <v>514.22999999999979</v>
      </c>
      <c r="M568" s="45"/>
      <c r="N568" s="45"/>
      <c r="O568" s="45"/>
      <c r="P568" s="45"/>
      <c r="Q568" s="45"/>
      <c r="R568" s="51"/>
      <c r="S568" s="53">
        <v>10</v>
      </c>
      <c r="T568" s="45">
        <v>515.3299999999997</v>
      </c>
      <c r="U568" s="45"/>
      <c r="V568" s="45"/>
      <c r="W568" s="45"/>
      <c r="X568" s="45"/>
      <c r="Y568" s="45"/>
      <c r="Z568" s="51"/>
      <c r="AA568" s="53">
        <v>10</v>
      </c>
      <c r="AB568" s="45">
        <v>514.43999999999983</v>
      </c>
      <c r="AC568" s="45"/>
      <c r="AD568" s="45"/>
      <c r="AE568" s="45"/>
      <c r="AF568" s="45"/>
      <c r="AG568" s="45"/>
      <c r="AH568" s="51"/>
      <c r="AI568" s="53">
        <v>10</v>
      </c>
      <c r="AJ568" s="45">
        <v>514.38999999999987</v>
      </c>
      <c r="AK568" s="45"/>
      <c r="AL568" s="45"/>
      <c r="AM568" s="45"/>
      <c r="AN568" s="45"/>
      <c r="AO568" s="45"/>
      <c r="AP568" s="51"/>
    </row>
    <row r="569" spans="1:42" ht="21" customHeight="1" thickTop="1" thickBot="1" x14ac:dyDescent="0.35">
      <c r="A569" s="63"/>
      <c r="B569" s="66"/>
      <c r="C569" s="53"/>
      <c r="D569" s="45"/>
      <c r="E569" s="45"/>
      <c r="F569" s="45"/>
      <c r="G569" s="45"/>
      <c r="H569" s="45"/>
      <c r="I569" s="45"/>
      <c r="J569" s="51"/>
      <c r="K569" s="53"/>
      <c r="L569" s="45"/>
      <c r="M569" s="45"/>
      <c r="N569" s="45"/>
      <c r="O569" s="45"/>
      <c r="P569" s="45"/>
      <c r="Q569" s="45"/>
      <c r="R569" s="51"/>
      <c r="S569" s="53"/>
      <c r="T569" s="45"/>
      <c r="U569" s="45"/>
      <c r="V569" s="45"/>
      <c r="W569" s="45"/>
      <c r="X569" s="45"/>
      <c r="Y569" s="45"/>
      <c r="Z569" s="51"/>
      <c r="AA569" s="53"/>
      <c r="AB569" s="45"/>
      <c r="AC569" s="45"/>
      <c r="AD569" s="45"/>
      <c r="AE569" s="45"/>
      <c r="AF569" s="45"/>
      <c r="AG569" s="45"/>
      <c r="AH569" s="51"/>
      <c r="AI569" s="53"/>
      <c r="AJ569" s="45"/>
      <c r="AK569" s="45"/>
      <c r="AL569" s="45"/>
      <c r="AM569" s="45"/>
      <c r="AN569" s="45"/>
      <c r="AO569" s="45"/>
      <c r="AP569" s="51"/>
    </row>
    <row r="570" spans="1:42" ht="21" customHeight="1" thickTop="1" thickBot="1" x14ac:dyDescent="0.35">
      <c r="A570" s="63"/>
      <c r="B570" s="66"/>
      <c r="C570" s="54" t="s">
        <v>16</v>
      </c>
      <c r="D570" s="49">
        <f>MIN(D559:D568)</f>
        <v>513.2199999999998</v>
      </c>
      <c r="E570" s="45"/>
      <c r="F570" s="55" t="s">
        <v>17</v>
      </c>
      <c r="G570" s="49" t="s">
        <v>18</v>
      </c>
      <c r="H570" s="49" t="s">
        <v>19</v>
      </c>
      <c r="I570" s="45"/>
      <c r="J570" s="51"/>
      <c r="K570" s="54" t="s">
        <v>16</v>
      </c>
      <c r="L570" s="49">
        <f>MIN(L559:L568)</f>
        <v>513.28999999999985</v>
      </c>
      <c r="M570" s="45"/>
      <c r="N570" s="55" t="s">
        <v>17</v>
      </c>
      <c r="O570" s="49" t="s">
        <v>18</v>
      </c>
      <c r="P570" s="49" t="s">
        <v>19</v>
      </c>
      <c r="Q570" s="45"/>
      <c r="R570" s="51"/>
      <c r="S570" s="54" t="s">
        <v>16</v>
      </c>
      <c r="T570" s="49">
        <f>MIN(T559:T568)</f>
        <v>513.93999999999971</v>
      </c>
      <c r="U570" s="45"/>
      <c r="V570" s="55" t="s">
        <v>17</v>
      </c>
      <c r="W570" s="49" t="s">
        <v>18</v>
      </c>
      <c r="X570" s="49" t="s">
        <v>19</v>
      </c>
      <c r="Y570" s="45"/>
      <c r="Z570" s="51"/>
      <c r="AA570" s="54" t="s">
        <v>16</v>
      </c>
      <c r="AB570" s="49">
        <f>MIN(AB559:AB568)</f>
        <v>513.32999999999981</v>
      </c>
      <c r="AC570" s="45"/>
      <c r="AD570" s="55" t="s">
        <v>17</v>
      </c>
      <c r="AE570" s="49" t="s">
        <v>18</v>
      </c>
      <c r="AF570" s="49" t="s">
        <v>19</v>
      </c>
      <c r="AG570" s="45"/>
      <c r="AH570" s="51"/>
      <c r="AI570" s="54" t="s">
        <v>16</v>
      </c>
      <c r="AJ570" s="49">
        <f>MIN(AJ559:AJ568)</f>
        <v>513.51999999999987</v>
      </c>
      <c r="AK570" s="45"/>
      <c r="AL570" s="55" t="s">
        <v>17</v>
      </c>
      <c r="AM570" s="49" t="s">
        <v>18</v>
      </c>
      <c r="AN570" s="49" t="s">
        <v>19</v>
      </c>
      <c r="AO570" s="45"/>
      <c r="AP570" s="51"/>
    </row>
    <row r="571" spans="1:42" ht="21" customHeight="1" thickTop="1" thickBot="1" x14ac:dyDescent="0.35">
      <c r="A571" s="63"/>
      <c r="B571" s="66"/>
      <c r="C571" s="54" t="s">
        <v>20</v>
      </c>
      <c r="D571" s="48">
        <f>AVERAGE(D559:D568)</f>
        <v>513.70899999999983</v>
      </c>
      <c r="E571" s="47"/>
      <c r="F571" s="48">
        <f>_xlfn.STDEV.S(D559:D568) / AVERAGE(D559:D568) * 100%</f>
        <v>1.0352141662826496E-3</v>
      </c>
      <c r="G571" s="48">
        <f t="array" ref="G571">MIN((D559:D568 - MIN(D559:D568,L559:L568,T559:T568,AB559:AB568,AJ559:AJ568))/MIN(D559:D568,L559:L568,T559:T568,AB559:AB568,AJ559:AJ568)*100%)</f>
        <v>0</v>
      </c>
      <c r="H571" s="48">
        <f t="array" ref="H571">AVERAGE((D559:D568 - MIN(D559:D568,L559:L568,T559:T568,AB559:AB568,AJ559:AJ568))/MIN(D559:D568,L559:L568,T559:T568,AB559:AB568,AJ559:AJ568)*100%)</f>
        <v>9.5280776275276911E-4</v>
      </c>
      <c r="I571" s="45"/>
      <c r="J571" s="51"/>
      <c r="K571" s="54" t="s">
        <v>20</v>
      </c>
      <c r="L571" s="48">
        <f>AVERAGE(L559:L568)</f>
        <v>514.34699999999975</v>
      </c>
      <c r="M571" s="47"/>
      <c r="N571" s="48">
        <f>_xlfn.STDEV.S(L559:L568) / AVERAGE(L559:L568) * 100%</f>
        <v>1.1290225010702683E-3</v>
      </c>
      <c r="O571" s="48">
        <f t="array" ref="O571">MIN((L559:L568 - MIN(D559:D568,L559:L568,T559:T568,AB559:AB568,AJ559:AJ568))/MIN(D559:D568,L559:L568,T559:T568,AB559:AB568,AJ559:AJ568)*100%)</f>
        <v>1.3639374926941673E-4</v>
      </c>
      <c r="P571" s="48">
        <f t="array" ref="P571">AVERAGE((L559:L568 - MIN(D559:D568,L559:L568,T559:T568,AB559:AB568,AJ559:AJ568))/MIN(D559:D568,L559:L568,T559:T568,AB559:AB568,AJ559:AJ568)*100%)</f>
        <v>2.1959393632360359E-3</v>
      </c>
      <c r="Q571" s="44"/>
      <c r="R571" s="51"/>
      <c r="S571" s="54" t="s">
        <v>20</v>
      </c>
      <c r="T571" s="48">
        <f>AVERAGE(T559:T568)</f>
        <v>515.02599999999973</v>
      </c>
      <c r="U571" s="47"/>
      <c r="V571" s="48">
        <f>_xlfn.STDEV.S(T559:T568) / AVERAGE(T559:T568) * 100%</f>
        <v>1.6870937192051518E-3</v>
      </c>
      <c r="W571" s="48">
        <f t="array" ref="W571">MIN((T559:T568 - MIN(D559:D568,L559:L568,T559:T568,AB559:AB568,AJ559:AJ568))/MIN(D559:D568,L559:L568,T559:T568,AB559:AB568,AJ559:AJ568)*100%)</f>
        <v>1.4029071353414012E-3</v>
      </c>
      <c r="X571" s="48">
        <f t="array" ref="X571">AVERAGE((T559:T568 - MIN(D559:D568,L559:L568,T559:T568,AB559:AB568,AJ559:AJ568))/MIN(D559:D568,L559:L568,T559:T568,AB559:AB568,AJ559:AJ568)*100%)</f>
        <v>3.5189587311483597E-3</v>
      </c>
      <c r="Y571" s="44"/>
      <c r="Z571" s="51"/>
      <c r="AA571" s="54" t="s">
        <v>20</v>
      </c>
      <c r="AB571" s="48">
        <f>AVERAGE(AB559:AB568)</f>
        <v>514.24899999999968</v>
      </c>
      <c r="AC571" s="47"/>
      <c r="AD571" s="48">
        <f>_xlfn.STDEV.S(AB559:AB568) / AVERAGE(AB559:AB568) * 100%</f>
        <v>1.5172028617053276E-3</v>
      </c>
      <c r="AE571" s="48">
        <f t="array" ref="AE571">MIN((AB559:AB568 - MIN(D559:D568,L559:L568,T559:T568,AB559:AB568,AJ559:AJ568))/MIN(D559:D568,L559:L568,T559:T568,AB559:AB568,AJ559:AJ568)*100%)</f>
        <v>2.1433303456609969E-4</v>
      </c>
      <c r="AF571" s="48">
        <f t="array" ref="AF571">AVERAGE((AB559:AB568 - MIN(D559:D568,L559:L568,T559:T568,AB559:AB568,AJ559:AJ568))/MIN(D559:D568,L559:L568,T559:T568,AB559:AB568,AJ559:AJ568)*100%)</f>
        <v>2.0049881142589414E-3</v>
      </c>
      <c r="AG571" s="44"/>
      <c r="AH571" s="51"/>
      <c r="AI571" s="54" t="s">
        <v>20</v>
      </c>
      <c r="AJ571" s="48">
        <f>AVERAGE(AJ559:AJ568)</f>
        <v>514.28099999999972</v>
      </c>
      <c r="AK571" s="47"/>
      <c r="AL571" s="48">
        <f>_xlfn.STDEV.S(AJ559:AJ568) / AVERAGE(AJ559:AJ568) * 100%</f>
        <v>7.7222602579616977E-4</v>
      </c>
      <c r="AM571" s="48">
        <f t="array" ref="AM571">MIN((AJ559:AJ568 - MIN(D559:D568,L559:L568,T559:T568,AB559:AB568,AJ559:AJ568))/MIN(D559:D568,L559:L568,T559:T568,AB559:AB568,AJ559:AJ568)*100%)</f>
        <v>5.8454463972578688E-4</v>
      </c>
      <c r="AN571" s="48">
        <f t="array" ref="AN571">AVERAGE((AJ559:AJ568 - MIN(D559:D568,L559:L568,T559:T568,AB559:AB568,AJ559:AJ568))/MIN(D559:D568,L559:L568,T559:T568,AB559:AB568,AJ559:AJ568)*100%)</f>
        <v>2.0673395424964649E-3</v>
      </c>
      <c r="AO571" s="44"/>
      <c r="AP571" s="51"/>
    </row>
    <row r="572" spans="1:42" ht="21" customHeight="1" thickTop="1" thickBot="1" x14ac:dyDescent="0.35">
      <c r="A572" s="63"/>
      <c r="B572" s="67"/>
      <c r="C572" s="53"/>
      <c r="D572" s="44"/>
      <c r="E572" s="44"/>
      <c r="F572" s="44"/>
      <c r="G572" s="44"/>
      <c r="H572" s="44"/>
      <c r="I572" s="44"/>
      <c r="J572" s="51"/>
      <c r="K572" s="53"/>
      <c r="L572" s="44"/>
      <c r="M572" s="44"/>
      <c r="N572" s="44"/>
      <c r="O572" s="44"/>
      <c r="P572" s="44"/>
      <c r="Q572" s="44"/>
      <c r="R572" s="51"/>
      <c r="S572" s="53"/>
      <c r="T572" s="44"/>
      <c r="U572" s="44"/>
      <c r="V572" s="44"/>
      <c r="W572" s="44"/>
      <c r="X572" s="44"/>
      <c r="Y572" s="44"/>
      <c r="Z572" s="51"/>
      <c r="AA572" s="53"/>
      <c r="AB572" s="44"/>
      <c r="AC572" s="44"/>
      <c r="AD572" s="44"/>
      <c r="AE572" s="44"/>
      <c r="AF572" s="44"/>
      <c r="AG572" s="44"/>
      <c r="AH572" s="51"/>
      <c r="AI572" s="53"/>
      <c r="AJ572" s="44"/>
      <c r="AK572" s="44"/>
      <c r="AL572" s="44"/>
      <c r="AM572" s="44"/>
      <c r="AN572" s="44"/>
      <c r="AO572" s="44"/>
      <c r="AP572" s="51"/>
    </row>
    <row r="573" spans="1:42" ht="21" customHeight="1" thickTop="1" thickBot="1" x14ac:dyDescent="0.35">
      <c r="A573" s="63"/>
      <c r="B573" s="65" t="s">
        <v>144</v>
      </c>
      <c r="C573" s="59" t="s">
        <v>8</v>
      </c>
      <c r="D573" s="46" t="s">
        <v>9</v>
      </c>
      <c r="E573" s="46" t="s">
        <v>10</v>
      </c>
      <c r="F573" s="46" t="s">
        <v>11</v>
      </c>
      <c r="G573" s="46" t="s">
        <v>12</v>
      </c>
      <c r="H573" s="46" t="s">
        <v>13</v>
      </c>
      <c r="I573" s="46" t="s">
        <v>14</v>
      </c>
      <c r="J573" s="60" t="s">
        <v>15</v>
      </c>
      <c r="K573" s="59" t="s">
        <v>8</v>
      </c>
      <c r="L573" s="46" t="s">
        <v>9</v>
      </c>
      <c r="M573" s="46" t="s">
        <v>10</v>
      </c>
      <c r="N573" s="46" t="s">
        <v>11</v>
      </c>
      <c r="O573" s="46" t="s">
        <v>12</v>
      </c>
      <c r="P573" s="46" t="s">
        <v>13</v>
      </c>
      <c r="Q573" s="46" t="s">
        <v>14</v>
      </c>
      <c r="R573" s="60" t="s">
        <v>15</v>
      </c>
      <c r="S573" s="59" t="s">
        <v>8</v>
      </c>
      <c r="T573" s="46" t="s">
        <v>9</v>
      </c>
      <c r="U573" s="46" t="s">
        <v>10</v>
      </c>
      <c r="V573" s="46" t="s">
        <v>11</v>
      </c>
      <c r="W573" s="46" t="s">
        <v>12</v>
      </c>
      <c r="X573" s="46" t="s">
        <v>13</v>
      </c>
      <c r="Y573" s="46" t="s">
        <v>14</v>
      </c>
      <c r="Z573" s="60" t="s">
        <v>15</v>
      </c>
      <c r="AA573" s="59" t="s">
        <v>8</v>
      </c>
      <c r="AB573" s="46" t="s">
        <v>9</v>
      </c>
      <c r="AC573" s="46" t="s">
        <v>10</v>
      </c>
      <c r="AD573" s="46" t="s">
        <v>11</v>
      </c>
      <c r="AE573" s="46" t="s">
        <v>12</v>
      </c>
      <c r="AF573" s="46" t="s">
        <v>13</v>
      </c>
      <c r="AG573" s="46" t="s">
        <v>14</v>
      </c>
      <c r="AH573" s="60" t="s">
        <v>15</v>
      </c>
      <c r="AI573" s="59" t="s">
        <v>8</v>
      </c>
      <c r="AJ573" s="46" t="s">
        <v>9</v>
      </c>
      <c r="AK573" s="46" t="s">
        <v>10</v>
      </c>
      <c r="AL573" s="46" t="s">
        <v>11</v>
      </c>
      <c r="AM573" s="46" t="s">
        <v>12</v>
      </c>
      <c r="AN573" s="46" t="s">
        <v>13</v>
      </c>
      <c r="AO573" s="46" t="s">
        <v>14</v>
      </c>
      <c r="AP573" s="60" t="s">
        <v>15</v>
      </c>
    </row>
    <row r="574" spans="1:42" ht="21" customHeight="1" thickTop="1" thickBot="1" x14ac:dyDescent="0.35">
      <c r="A574" s="63"/>
      <c r="B574" s="66"/>
      <c r="C574" s="52">
        <v>1</v>
      </c>
      <c r="D574" s="44">
        <v>540.93999999999971</v>
      </c>
      <c r="E574" s="44"/>
      <c r="F574" s="44"/>
      <c r="G574" s="44"/>
      <c r="H574" s="44"/>
      <c r="I574" s="44"/>
      <c r="J574" s="51"/>
      <c r="K574" s="52">
        <v>1</v>
      </c>
      <c r="L574" s="44">
        <v>540.86999999999978</v>
      </c>
      <c r="M574" s="44"/>
      <c r="N574" s="44"/>
      <c r="O574" s="44"/>
      <c r="P574" s="44"/>
      <c r="Q574" s="44"/>
      <c r="R574" s="51"/>
      <c r="S574" s="52">
        <v>1</v>
      </c>
      <c r="T574" s="44">
        <v>540.69999999999982</v>
      </c>
      <c r="U574" s="44"/>
      <c r="V574" s="44"/>
      <c r="W574" s="44"/>
      <c r="X574" s="44"/>
      <c r="Y574" s="44"/>
      <c r="Z574" s="51"/>
      <c r="AA574" s="52">
        <v>1</v>
      </c>
      <c r="AB574" s="44">
        <v>542.38999999999987</v>
      </c>
      <c r="AC574" s="44"/>
      <c r="AD574" s="44"/>
      <c r="AE574" s="44"/>
      <c r="AF574" s="44"/>
      <c r="AG574" s="44"/>
      <c r="AH574" s="51"/>
      <c r="AI574" s="52">
        <v>1</v>
      </c>
      <c r="AJ574" s="44">
        <v>540.61999999999989</v>
      </c>
      <c r="AK574" s="44"/>
      <c r="AL574" s="44"/>
      <c r="AM574" s="44"/>
      <c r="AN574" s="44"/>
      <c r="AO574" s="44"/>
      <c r="AP574" s="51"/>
    </row>
    <row r="575" spans="1:42" ht="21" customHeight="1" thickTop="1" thickBot="1" x14ac:dyDescent="0.35">
      <c r="A575" s="63"/>
      <c r="B575" s="66"/>
      <c r="C575" s="53">
        <v>2</v>
      </c>
      <c r="D575" s="45">
        <v>540.13999999999987</v>
      </c>
      <c r="E575" s="45"/>
      <c r="F575" s="45"/>
      <c r="G575" s="45"/>
      <c r="H575" s="45"/>
      <c r="I575" s="45"/>
      <c r="J575" s="51"/>
      <c r="K575" s="53">
        <v>2</v>
      </c>
      <c r="L575" s="45">
        <v>541.11999999999989</v>
      </c>
      <c r="M575" s="45"/>
      <c r="N575" s="45"/>
      <c r="O575" s="45"/>
      <c r="P575" s="45"/>
      <c r="Q575" s="45"/>
      <c r="R575" s="51"/>
      <c r="S575" s="53">
        <v>2</v>
      </c>
      <c r="T575" s="45">
        <v>541.4699999999998</v>
      </c>
      <c r="U575" s="45"/>
      <c r="V575" s="45"/>
      <c r="W575" s="45"/>
      <c r="X575" s="45"/>
      <c r="Y575" s="45"/>
      <c r="Z575" s="51"/>
      <c r="AA575" s="53">
        <v>2</v>
      </c>
      <c r="AB575" s="45">
        <v>540.6999999999997</v>
      </c>
      <c r="AC575" s="45"/>
      <c r="AD575" s="45"/>
      <c r="AE575" s="45"/>
      <c r="AF575" s="45"/>
      <c r="AG575" s="45"/>
      <c r="AH575" s="51"/>
      <c r="AI575" s="53">
        <v>2</v>
      </c>
      <c r="AJ575" s="45">
        <v>540.99999999999989</v>
      </c>
      <c r="AK575" s="45"/>
      <c r="AL575" s="45"/>
      <c r="AM575" s="45"/>
      <c r="AN575" s="45"/>
      <c r="AO575" s="45"/>
      <c r="AP575" s="51"/>
    </row>
    <row r="576" spans="1:42" ht="21" customHeight="1" thickTop="1" thickBot="1" x14ac:dyDescent="0.35">
      <c r="A576" s="63"/>
      <c r="B576" s="66"/>
      <c r="C576" s="53">
        <v>3</v>
      </c>
      <c r="D576" s="45">
        <v>540.65999999999974</v>
      </c>
      <c r="E576" s="45"/>
      <c r="F576" s="45"/>
      <c r="G576" s="44"/>
      <c r="H576" s="44"/>
      <c r="I576" s="44"/>
      <c r="J576" s="51"/>
      <c r="K576" s="53">
        <v>3</v>
      </c>
      <c r="L576" s="45">
        <v>541.49999999999977</v>
      </c>
      <c r="M576" s="45"/>
      <c r="N576" s="45"/>
      <c r="O576" s="44"/>
      <c r="P576" s="44"/>
      <c r="Q576" s="44"/>
      <c r="R576" s="51"/>
      <c r="S576" s="53">
        <v>3</v>
      </c>
      <c r="T576" s="45">
        <v>541.61999999999978</v>
      </c>
      <c r="U576" s="45"/>
      <c r="V576" s="45"/>
      <c r="W576" s="44"/>
      <c r="X576" s="44"/>
      <c r="Y576" s="44"/>
      <c r="Z576" s="51"/>
      <c r="AA576" s="53">
        <v>3</v>
      </c>
      <c r="AB576" s="45">
        <v>541.16999999999985</v>
      </c>
      <c r="AC576" s="45"/>
      <c r="AD576" s="45"/>
      <c r="AE576" s="44"/>
      <c r="AF576" s="44"/>
      <c r="AG576" s="44"/>
      <c r="AH576" s="51"/>
      <c r="AI576" s="53">
        <v>3</v>
      </c>
      <c r="AJ576" s="45">
        <v>539.82999999999993</v>
      </c>
      <c r="AK576" s="45"/>
      <c r="AL576" s="45"/>
      <c r="AM576" s="44"/>
      <c r="AN576" s="44"/>
      <c r="AO576" s="44"/>
      <c r="AP576" s="51"/>
    </row>
    <row r="577" spans="1:42" ht="21" customHeight="1" thickTop="1" thickBot="1" x14ac:dyDescent="0.35">
      <c r="A577" s="63"/>
      <c r="B577" s="66"/>
      <c r="C577" s="53">
        <v>4</v>
      </c>
      <c r="D577" s="45">
        <v>540.16999999999973</v>
      </c>
      <c r="E577" s="45"/>
      <c r="F577" s="45"/>
      <c r="G577" s="45"/>
      <c r="H577" s="45"/>
      <c r="I577" s="45"/>
      <c r="J577" s="51"/>
      <c r="K577" s="53">
        <v>4</v>
      </c>
      <c r="L577" s="45">
        <v>542.32999999999981</v>
      </c>
      <c r="M577" s="45"/>
      <c r="N577" s="45"/>
      <c r="O577" s="45"/>
      <c r="P577" s="45"/>
      <c r="Q577" s="45"/>
      <c r="R577" s="51"/>
      <c r="S577" s="53">
        <v>4</v>
      </c>
      <c r="T577" s="45">
        <v>540.8599999999999</v>
      </c>
      <c r="U577" s="45"/>
      <c r="V577" s="45"/>
      <c r="W577" s="45"/>
      <c r="X577" s="45"/>
      <c r="Y577" s="45"/>
      <c r="Z577" s="51"/>
      <c r="AA577" s="53">
        <v>4</v>
      </c>
      <c r="AB577" s="45">
        <v>540.52999999999975</v>
      </c>
      <c r="AC577" s="45"/>
      <c r="AD577" s="45"/>
      <c r="AE577" s="45"/>
      <c r="AF577" s="45"/>
      <c r="AG577" s="45"/>
      <c r="AH577" s="51"/>
      <c r="AI577" s="53">
        <v>4</v>
      </c>
      <c r="AJ577" s="45">
        <v>540.65</v>
      </c>
      <c r="AK577" s="45"/>
      <c r="AL577" s="45"/>
      <c r="AM577" s="45"/>
      <c r="AN577" s="45"/>
      <c r="AO577" s="45"/>
      <c r="AP577" s="51"/>
    </row>
    <row r="578" spans="1:42" ht="21" customHeight="1" thickTop="1" thickBot="1" x14ac:dyDescent="0.35">
      <c r="A578" s="63"/>
      <c r="B578" s="66"/>
      <c r="C578" s="53">
        <v>5</v>
      </c>
      <c r="D578" s="45">
        <v>540.69999999999982</v>
      </c>
      <c r="E578" s="45"/>
      <c r="F578" s="45"/>
      <c r="G578" s="45"/>
      <c r="H578" s="45"/>
      <c r="I578" s="45"/>
      <c r="J578" s="51"/>
      <c r="K578" s="53">
        <v>5</v>
      </c>
      <c r="L578" s="45">
        <v>541.5999999999998</v>
      </c>
      <c r="M578" s="45"/>
      <c r="N578" s="45"/>
      <c r="O578" s="45"/>
      <c r="P578" s="45"/>
      <c r="Q578" s="45"/>
      <c r="R578" s="51"/>
      <c r="S578" s="53">
        <v>5</v>
      </c>
      <c r="T578" s="45">
        <v>540.9799999999999</v>
      </c>
      <c r="U578" s="45"/>
      <c r="V578" s="45"/>
      <c r="W578" s="45"/>
      <c r="X578" s="45"/>
      <c r="Y578" s="45"/>
      <c r="Z578" s="51"/>
      <c r="AA578" s="53">
        <v>5</v>
      </c>
      <c r="AB578" s="45">
        <v>541.37999999999977</v>
      </c>
      <c r="AC578" s="45"/>
      <c r="AD578" s="45"/>
      <c r="AE578" s="45"/>
      <c r="AF578" s="45"/>
      <c r="AG578" s="45"/>
      <c r="AH578" s="51"/>
      <c r="AI578" s="53">
        <v>5</v>
      </c>
      <c r="AJ578" s="45">
        <v>540.62</v>
      </c>
      <c r="AK578" s="45"/>
      <c r="AL578" s="45"/>
      <c r="AM578" s="45"/>
      <c r="AN578" s="45"/>
      <c r="AO578" s="45"/>
      <c r="AP578" s="51"/>
    </row>
    <row r="579" spans="1:42" ht="21" customHeight="1" thickTop="1" thickBot="1" x14ac:dyDescent="0.35">
      <c r="A579" s="63"/>
      <c r="B579" s="66"/>
      <c r="C579" s="53">
        <v>6</v>
      </c>
      <c r="D579" s="45">
        <v>540.86999999999978</v>
      </c>
      <c r="E579" s="45"/>
      <c r="F579" s="45"/>
      <c r="G579" s="45"/>
      <c r="H579" s="45"/>
      <c r="I579" s="45"/>
      <c r="J579" s="51"/>
      <c r="K579" s="53">
        <v>6</v>
      </c>
      <c r="L579" s="45">
        <v>540.4699999999998</v>
      </c>
      <c r="M579" s="45"/>
      <c r="N579" s="45"/>
      <c r="O579" s="45"/>
      <c r="P579" s="45"/>
      <c r="Q579" s="45"/>
      <c r="R579" s="51"/>
      <c r="S579" s="53">
        <v>6</v>
      </c>
      <c r="T579" s="45">
        <v>541.65999999999985</v>
      </c>
      <c r="U579" s="45"/>
      <c r="V579" s="45"/>
      <c r="W579" s="45"/>
      <c r="X579" s="45"/>
      <c r="Y579" s="45"/>
      <c r="Z579" s="51"/>
      <c r="AA579" s="53">
        <v>6</v>
      </c>
      <c r="AB579" s="45">
        <v>540.39999999999975</v>
      </c>
      <c r="AC579" s="45"/>
      <c r="AD579" s="45"/>
      <c r="AE579" s="45"/>
      <c r="AF579" s="45"/>
      <c r="AG579" s="45"/>
      <c r="AH579" s="51"/>
      <c r="AI579" s="53">
        <v>6</v>
      </c>
      <c r="AJ579" s="45">
        <v>540.29999999999984</v>
      </c>
      <c r="AK579" s="45"/>
      <c r="AL579" s="45"/>
      <c r="AM579" s="45"/>
      <c r="AN579" s="45"/>
      <c r="AO579" s="45"/>
      <c r="AP579" s="51"/>
    </row>
    <row r="580" spans="1:42" ht="21" customHeight="1" thickTop="1" thickBot="1" x14ac:dyDescent="0.35">
      <c r="A580" s="63"/>
      <c r="B580" s="66"/>
      <c r="C580" s="53">
        <v>7</v>
      </c>
      <c r="D580" s="45">
        <v>540.0999999999998</v>
      </c>
      <c r="E580" s="45"/>
      <c r="F580" s="45"/>
      <c r="G580" s="45"/>
      <c r="H580" s="45"/>
      <c r="I580" s="45"/>
      <c r="J580" s="51"/>
      <c r="K580" s="53">
        <v>7</v>
      </c>
      <c r="L580" s="45">
        <v>540.36999999999989</v>
      </c>
      <c r="M580" s="45"/>
      <c r="N580" s="45"/>
      <c r="O580" s="45"/>
      <c r="P580" s="45"/>
      <c r="Q580" s="45"/>
      <c r="R580" s="51"/>
      <c r="S580" s="53">
        <v>7</v>
      </c>
      <c r="T580" s="45">
        <v>543.2199999999998</v>
      </c>
      <c r="U580" s="45"/>
      <c r="V580" s="45"/>
      <c r="W580" s="45"/>
      <c r="X580" s="45"/>
      <c r="Y580" s="45"/>
      <c r="Z580" s="51"/>
      <c r="AA580" s="53">
        <v>7</v>
      </c>
      <c r="AB580" s="45">
        <v>540.7199999999998</v>
      </c>
      <c r="AC580" s="45"/>
      <c r="AD580" s="45"/>
      <c r="AE580" s="45"/>
      <c r="AF580" s="45"/>
      <c r="AG580" s="45"/>
      <c r="AH580" s="51"/>
      <c r="AI580" s="53">
        <v>7</v>
      </c>
      <c r="AJ580" s="45">
        <v>541.02999999999986</v>
      </c>
      <c r="AK580" s="45"/>
      <c r="AL580" s="45"/>
      <c r="AM580" s="45"/>
      <c r="AN580" s="45"/>
      <c r="AO580" s="45"/>
      <c r="AP580" s="51"/>
    </row>
    <row r="581" spans="1:42" ht="21" customHeight="1" thickTop="1" thickBot="1" x14ac:dyDescent="0.35">
      <c r="A581" s="63"/>
      <c r="B581" s="66"/>
      <c r="C581" s="53">
        <v>8</v>
      </c>
      <c r="D581" s="45">
        <v>540.16999999999973</v>
      </c>
      <c r="E581" s="45"/>
      <c r="F581" s="45"/>
      <c r="G581" s="45"/>
      <c r="H581" s="45"/>
      <c r="I581" s="45"/>
      <c r="J581" s="51"/>
      <c r="K581" s="53">
        <v>8</v>
      </c>
      <c r="L581" s="45">
        <v>540.23999999999978</v>
      </c>
      <c r="M581" s="45"/>
      <c r="N581" s="45"/>
      <c r="O581" s="45"/>
      <c r="P581" s="45"/>
      <c r="Q581" s="45"/>
      <c r="R581" s="51"/>
      <c r="S581" s="53">
        <v>8</v>
      </c>
      <c r="T581" s="45">
        <v>540.77999999999986</v>
      </c>
      <c r="U581" s="45"/>
      <c r="V581" s="45"/>
      <c r="W581" s="45"/>
      <c r="X581" s="45"/>
      <c r="Y581" s="45"/>
      <c r="Z581" s="51"/>
      <c r="AA581" s="53">
        <v>8</v>
      </c>
      <c r="AB581" s="45">
        <v>542.05999999999983</v>
      </c>
      <c r="AC581" s="45"/>
      <c r="AD581" s="45"/>
      <c r="AE581" s="45"/>
      <c r="AF581" s="45"/>
      <c r="AG581" s="45"/>
      <c r="AH581" s="51"/>
      <c r="AI581" s="53">
        <v>8</v>
      </c>
      <c r="AJ581" s="45">
        <v>540.25</v>
      </c>
      <c r="AK581" s="45"/>
      <c r="AL581" s="45"/>
      <c r="AM581" s="45"/>
      <c r="AN581" s="45"/>
      <c r="AO581" s="45"/>
      <c r="AP581" s="51"/>
    </row>
    <row r="582" spans="1:42" ht="21" customHeight="1" thickTop="1" thickBot="1" x14ac:dyDescent="0.35">
      <c r="A582" s="63"/>
      <c r="B582" s="66"/>
      <c r="C582" s="53">
        <v>9</v>
      </c>
      <c r="D582" s="45">
        <v>540.8499999999998</v>
      </c>
      <c r="E582" s="45"/>
      <c r="F582" s="45"/>
      <c r="G582" s="45"/>
      <c r="H582" s="45"/>
      <c r="I582" s="45"/>
      <c r="J582" s="51"/>
      <c r="K582" s="53">
        <v>9</v>
      </c>
      <c r="L582" s="45">
        <v>540.31999999999982</v>
      </c>
      <c r="M582" s="45"/>
      <c r="N582" s="45"/>
      <c r="O582" s="45"/>
      <c r="P582" s="45"/>
      <c r="Q582" s="45"/>
      <c r="R582" s="51"/>
      <c r="S582" s="53">
        <v>9</v>
      </c>
      <c r="T582" s="45">
        <v>541.50999999999988</v>
      </c>
      <c r="U582" s="45"/>
      <c r="V582" s="45"/>
      <c r="W582" s="45"/>
      <c r="X582" s="45"/>
      <c r="Y582" s="45"/>
      <c r="Z582" s="51"/>
      <c r="AA582" s="53">
        <v>9</v>
      </c>
      <c r="AB582" s="45">
        <v>541.75999999999976</v>
      </c>
      <c r="AC582" s="45"/>
      <c r="AD582" s="45"/>
      <c r="AE582" s="45"/>
      <c r="AF582" s="45"/>
      <c r="AG582" s="45"/>
      <c r="AH582" s="51"/>
      <c r="AI582" s="53">
        <v>9</v>
      </c>
      <c r="AJ582" s="45">
        <v>539.58999999999992</v>
      </c>
      <c r="AK582" s="45"/>
      <c r="AL582" s="45"/>
      <c r="AM582" s="45"/>
      <c r="AN582" s="45"/>
      <c r="AO582" s="45"/>
      <c r="AP582" s="51"/>
    </row>
    <row r="583" spans="1:42" ht="21" customHeight="1" thickTop="1" thickBot="1" x14ac:dyDescent="0.35">
      <c r="A583" s="63"/>
      <c r="B583" s="66"/>
      <c r="C583" s="53">
        <v>10</v>
      </c>
      <c r="D583" s="45">
        <v>540.86999999999978</v>
      </c>
      <c r="E583" s="45"/>
      <c r="F583" s="45"/>
      <c r="G583" s="45"/>
      <c r="H583" s="45"/>
      <c r="I583" s="45"/>
      <c r="J583" s="51"/>
      <c r="K583" s="53">
        <v>10</v>
      </c>
      <c r="L583" s="45">
        <v>540.61999999999989</v>
      </c>
      <c r="M583" s="45"/>
      <c r="N583" s="45"/>
      <c r="O583" s="45"/>
      <c r="P583" s="45"/>
      <c r="Q583" s="45"/>
      <c r="R583" s="51"/>
      <c r="S583" s="53">
        <v>10</v>
      </c>
      <c r="T583" s="45">
        <v>543.23999999999967</v>
      </c>
      <c r="U583" s="45"/>
      <c r="V583" s="45"/>
      <c r="W583" s="45"/>
      <c r="X583" s="45"/>
      <c r="Y583" s="45"/>
      <c r="Z583" s="51"/>
      <c r="AA583" s="53">
        <v>10</v>
      </c>
      <c r="AB583" s="45">
        <v>542.8399999999998</v>
      </c>
      <c r="AC583" s="45"/>
      <c r="AD583" s="45"/>
      <c r="AE583" s="45"/>
      <c r="AF583" s="45"/>
      <c r="AG583" s="45"/>
      <c r="AH583" s="51"/>
      <c r="AI583" s="53">
        <v>10</v>
      </c>
      <c r="AJ583" s="45">
        <v>540.84999999999991</v>
      </c>
      <c r="AK583" s="45"/>
      <c r="AL583" s="45"/>
      <c r="AM583" s="45"/>
      <c r="AN583" s="45"/>
      <c r="AO583" s="45"/>
      <c r="AP583" s="51"/>
    </row>
    <row r="584" spans="1:42" ht="21" customHeight="1" thickTop="1" thickBot="1" x14ac:dyDescent="0.35">
      <c r="A584" s="63"/>
      <c r="B584" s="66"/>
      <c r="C584" s="53"/>
      <c r="D584" s="45"/>
      <c r="E584" s="45"/>
      <c r="F584" s="45"/>
      <c r="G584" s="45"/>
      <c r="H584" s="45"/>
      <c r="I584" s="45"/>
      <c r="J584" s="51"/>
      <c r="K584" s="53"/>
      <c r="L584" s="45"/>
      <c r="M584" s="45"/>
      <c r="N584" s="45"/>
      <c r="O584" s="45"/>
      <c r="P584" s="45"/>
      <c r="Q584" s="45"/>
      <c r="R584" s="51"/>
      <c r="S584" s="53"/>
      <c r="T584" s="45"/>
      <c r="U584" s="45"/>
      <c r="V584" s="45"/>
      <c r="W584" s="45"/>
      <c r="X584" s="45"/>
      <c r="Y584" s="45"/>
      <c r="Z584" s="51"/>
      <c r="AA584" s="53"/>
      <c r="AB584" s="45"/>
      <c r="AC584" s="45"/>
      <c r="AD584" s="45"/>
      <c r="AE584" s="45"/>
      <c r="AF584" s="45"/>
      <c r="AG584" s="45"/>
      <c r="AH584" s="51"/>
      <c r="AI584" s="53"/>
      <c r="AJ584" s="45"/>
      <c r="AK584" s="45"/>
      <c r="AL584" s="45"/>
      <c r="AM584" s="45"/>
      <c r="AN584" s="45"/>
      <c r="AO584" s="45"/>
      <c r="AP584" s="51"/>
    </row>
    <row r="585" spans="1:42" ht="21" customHeight="1" thickTop="1" thickBot="1" x14ac:dyDescent="0.35">
      <c r="A585" s="63"/>
      <c r="B585" s="66"/>
      <c r="C585" s="54" t="s">
        <v>16</v>
      </c>
      <c r="D585" s="49">
        <f>MIN(D574:D583)</f>
        <v>540.0999999999998</v>
      </c>
      <c r="E585" s="45"/>
      <c r="F585" s="55" t="s">
        <v>17</v>
      </c>
      <c r="G585" s="49" t="s">
        <v>18</v>
      </c>
      <c r="H585" s="49" t="s">
        <v>19</v>
      </c>
      <c r="I585" s="45"/>
      <c r="J585" s="51"/>
      <c r="K585" s="54" t="s">
        <v>16</v>
      </c>
      <c r="L585" s="49">
        <f>MIN(L574:L583)</f>
        <v>540.23999999999978</v>
      </c>
      <c r="M585" s="45"/>
      <c r="N585" s="55" t="s">
        <v>17</v>
      </c>
      <c r="O585" s="49" t="s">
        <v>18</v>
      </c>
      <c r="P585" s="49" t="s">
        <v>19</v>
      </c>
      <c r="Q585" s="45"/>
      <c r="R585" s="51"/>
      <c r="S585" s="54" t="s">
        <v>16</v>
      </c>
      <c r="T585" s="49">
        <f>MIN(T574:T583)</f>
        <v>540.69999999999982</v>
      </c>
      <c r="U585" s="45"/>
      <c r="V585" s="55" t="s">
        <v>17</v>
      </c>
      <c r="W585" s="49" t="s">
        <v>18</v>
      </c>
      <c r="X585" s="49" t="s">
        <v>19</v>
      </c>
      <c r="Y585" s="45"/>
      <c r="Z585" s="51"/>
      <c r="AA585" s="54" t="s">
        <v>16</v>
      </c>
      <c r="AB585" s="49">
        <f>MIN(AB574:AB583)</f>
        <v>540.39999999999975</v>
      </c>
      <c r="AC585" s="45"/>
      <c r="AD585" s="55" t="s">
        <v>17</v>
      </c>
      <c r="AE585" s="49" t="s">
        <v>18</v>
      </c>
      <c r="AF585" s="49" t="s">
        <v>19</v>
      </c>
      <c r="AG585" s="45"/>
      <c r="AH585" s="51"/>
      <c r="AI585" s="54" t="s">
        <v>16</v>
      </c>
      <c r="AJ585" s="49">
        <f>MIN(AJ574:AJ583)</f>
        <v>539.58999999999992</v>
      </c>
      <c r="AK585" s="45"/>
      <c r="AL585" s="55" t="s">
        <v>17</v>
      </c>
      <c r="AM585" s="49" t="s">
        <v>18</v>
      </c>
      <c r="AN585" s="49" t="s">
        <v>19</v>
      </c>
      <c r="AO585" s="45"/>
      <c r="AP585" s="51"/>
    </row>
    <row r="586" spans="1:42" ht="21" customHeight="1" thickTop="1" thickBot="1" x14ac:dyDescent="0.35">
      <c r="A586" s="63"/>
      <c r="B586" s="66"/>
      <c r="C586" s="54" t="s">
        <v>20</v>
      </c>
      <c r="D586" s="48">
        <f>AVERAGE(D574:D583)</f>
        <v>540.5469999999998</v>
      </c>
      <c r="E586" s="47"/>
      <c r="F586" s="48">
        <f>_xlfn.STDEV.S(D574:D583) / AVERAGE(D574:D583) * 100%</f>
        <v>6.5864582549528402E-4</v>
      </c>
      <c r="G586" s="48">
        <f t="array" ref="G586">MIN((D574:D583 - MIN(D574:D583,L574:L583,T574:T583,AB574:AB583,AJ574:AJ583))/MIN(D574:D583,L574:L583,T574:T583,AB574:AB583,AJ574:AJ583)*100%)</f>
        <v>9.451620674954638E-4</v>
      </c>
      <c r="H586" s="48">
        <f t="array" ref="H586">AVERAGE((D574:D583 - MIN(D574:D583,L574:L583,T574:T583,AB574:AB583,AJ574:AJ583))/MIN(D574:D583,L574:L583,T574:T583,AB574:AB583,AJ574:AJ583)*100%)</f>
        <v>1.7735688207710619E-3</v>
      </c>
      <c r="I586" s="45"/>
      <c r="J586" s="51"/>
      <c r="K586" s="54" t="s">
        <v>20</v>
      </c>
      <c r="L586" s="48">
        <f>AVERAGE(L574:L583)</f>
        <v>540.94399999999973</v>
      </c>
      <c r="M586" s="47"/>
      <c r="N586" s="48">
        <f>_xlfn.STDEV.S(L574:L583) / AVERAGE(L574:L583) * 100%</f>
        <v>1.2690029202270391E-3</v>
      </c>
      <c r="O586" s="48">
        <f t="array" ref="O586">MIN((L574:L583 - MIN(D574:D583,L574:L583,T574:T583,AB574:AB583,AJ574:AJ583))/MIN(D574:D583,L574:L583,T574:T583,AB574:AB583,AJ574:AJ583)*100%)</f>
        <v>1.2046183213177851E-3</v>
      </c>
      <c r="P586" s="48">
        <f t="array" ref="P586">AVERAGE((L574:L583 - MIN(D574:D583,L574:L583,T574:T583,AB574:AB583,AJ574:AJ583))/MIN(D574:D583,L574:L583,T574:T583,AB574:AB583,AJ574:AJ583)*100%)</f>
        <v>2.5093126262530916E-3</v>
      </c>
      <c r="Q586" s="44"/>
      <c r="R586" s="51"/>
      <c r="S586" s="54" t="s">
        <v>20</v>
      </c>
      <c r="T586" s="48">
        <f>AVERAGE(T574:T583)</f>
        <v>541.60399999999993</v>
      </c>
      <c r="U586" s="47"/>
      <c r="V586" s="48">
        <f>_xlfn.STDEV.S(T574:T583) / AVERAGE(T574:T583) * 100%</f>
        <v>1.7141566041181605E-3</v>
      </c>
      <c r="W586" s="48">
        <f t="array" ref="W586">MIN((T574:T583 - MIN(D574:D583,L574:L583,T574:T583,AB574:AB583,AJ574:AJ583))/MIN(D574:D583,L574:L583,T574:T583,AB574:AB583,AJ574:AJ583)*100%)</f>
        <v>2.0571174410198485E-3</v>
      </c>
      <c r="X586" s="48">
        <f t="array" ref="X586">AVERAGE((T574:T583 - MIN(D574:D583,L574:L583,T574:T583,AB574:AB583,AJ574:AJ583))/MIN(D574:D583,L574:L583,T574:T583,AB574:AB583,AJ574:AJ583)*100%)</f>
        <v>3.7324635371298728E-3</v>
      </c>
      <c r="Y586" s="44"/>
      <c r="Z586" s="51"/>
      <c r="AA586" s="54" t="s">
        <v>20</v>
      </c>
      <c r="AB586" s="48">
        <f>AVERAGE(AB574:AB583)</f>
        <v>541.39499999999975</v>
      </c>
      <c r="AC586" s="47"/>
      <c r="AD586" s="48">
        <f>_xlfn.STDEV.S(AB574:AB583) / AVERAGE(AB574:AB583) * 100%</f>
        <v>1.5553115044246327E-3</v>
      </c>
      <c r="AE586" s="48">
        <f t="array" ref="AE586">MIN((AB574:AB583 - MIN(D574:D583,L574:L583,T574:T583,AB574:AB583,AJ574:AJ583))/MIN(D574:D583,L574:L583,T574:T583,AB574:AB583,AJ574:AJ583)*100%)</f>
        <v>1.5011397542575508E-3</v>
      </c>
      <c r="AF586" s="48">
        <f t="array" ref="AF586">AVERAGE((AB574:AB583 - MIN(D574:D583,L574:L583,T574:T583,AB574:AB583,AJ574:AJ583))/MIN(D574:D583,L574:L583,T574:T583,AB574:AB583,AJ574:AJ583)*100%)</f>
        <v>3.3451324153521574E-3</v>
      </c>
      <c r="AG586" s="44"/>
      <c r="AH586" s="51"/>
      <c r="AI586" s="54" t="s">
        <v>20</v>
      </c>
      <c r="AJ586" s="48">
        <f>AVERAGE(AJ574:AJ583)</f>
        <v>540.47399999999993</v>
      </c>
      <c r="AK586" s="47"/>
      <c r="AL586" s="48">
        <f>_xlfn.STDEV.S(AJ574:AJ583) / AVERAGE(AJ574:AJ583) * 100%</f>
        <v>8.8893126935507875E-4</v>
      </c>
      <c r="AM586" s="48">
        <f t="array" ref="AM586">MIN((AJ574:AJ583 - MIN(D574:D583,L574:L583,T574:T583,AB574:AB583,AJ574:AJ583))/MIN(D574:D583,L574:L583,T574:T583,AB574:AB583,AJ574:AJ583)*100%)</f>
        <v>0</v>
      </c>
      <c r="AN586" s="48">
        <f t="array" ref="AN586">AVERAGE((AJ574:AJ583 - MIN(D574:D583,L574:L583,T574:T583,AB574:AB583,AJ574:AJ583))/MIN(D574:D583,L574:L583,T574:T583,AB574:AB583,AJ574:AJ583)*100%)</f>
        <v>1.6382809169925374E-3</v>
      </c>
      <c r="AO586" s="44"/>
      <c r="AP586" s="51"/>
    </row>
    <row r="587" spans="1:42" ht="21" customHeight="1" thickTop="1" thickBot="1" x14ac:dyDescent="0.35">
      <c r="A587" s="63"/>
      <c r="B587" s="67"/>
      <c r="C587" s="53"/>
      <c r="D587" s="44"/>
      <c r="E587" s="44"/>
      <c r="F587" s="44"/>
      <c r="G587" s="44"/>
      <c r="H587" s="44"/>
      <c r="I587" s="44"/>
      <c r="J587" s="51"/>
      <c r="K587" s="53"/>
      <c r="L587" s="44"/>
      <c r="M587" s="44"/>
      <c r="N587" s="44"/>
      <c r="O587" s="44"/>
      <c r="P587" s="44"/>
      <c r="Q587" s="44"/>
      <c r="R587" s="51"/>
      <c r="S587" s="53"/>
      <c r="T587" s="44"/>
      <c r="U587" s="44"/>
      <c r="V587" s="44"/>
      <c r="W587" s="44"/>
      <c r="X587" s="44"/>
      <c r="Y587" s="44"/>
      <c r="Z587" s="51"/>
      <c r="AA587" s="53"/>
      <c r="AB587" s="44"/>
      <c r="AC587" s="44"/>
      <c r="AD587" s="44"/>
      <c r="AE587" s="44"/>
      <c r="AF587" s="44"/>
      <c r="AG587" s="44"/>
      <c r="AH587" s="51"/>
      <c r="AI587" s="53"/>
      <c r="AJ587" s="44"/>
      <c r="AK587" s="44"/>
      <c r="AL587" s="44"/>
      <c r="AM587" s="44"/>
      <c r="AN587" s="44"/>
      <c r="AO587" s="44"/>
      <c r="AP587" s="51"/>
    </row>
    <row r="588" spans="1:42" ht="21" customHeight="1" thickTop="1" thickBot="1" x14ac:dyDescent="0.35">
      <c r="A588" s="63"/>
      <c r="B588" s="65" t="s">
        <v>145</v>
      </c>
      <c r="C588" s="59" t="s">
        <v>8</v>
      </c>
      <c r="D588" s="46" t="s">
        <v>9</v>
      </c>
      <c r="E588" s="46" t="s">
        <v>10</v>
      </c>
      <c r="F588" s="46" t="s">
        <v>11</v>
      </c>
      <c r="G588" s="46" t="s">
        <v>12</v>
      </c>
      <c r="H588" s="46" t="s">
        <v>13</v>
      </c>
      <c r="I588" s="46" t="s">
        <v>14</v>
      </c>
      <c r="J588" s="60" t="s">
        <v>15</v>
      </c>
      <c r="K588" s="59" t="s">
        <v>8</v>
      </c>
      <c r="L588" s="46" t="s">
        <v>9</v>
      </c>
      <c r="M588" s="46" t="s">
        <v>10</v>
      </c>
      <c r="N588" s="46" t="s">
        <v>11</v>
      </c>
      <c r="O588" s="46" t="s">
        <v>12</v>
      </c>
      <c r="P588" s="46" t="s">
        <v>13</v>
      </c>
      <c r="Q588" s="46" t="s">
        <v>14</v>
      </c>
      <c r="R588" s="60" t="s">
        <v>15</v>
      </c>
      <c r="S588" s="59" t="s">
        <v>8</v>
      </c>
      <c r="T588" s="46" t="s">
        <v>9</v>
      </c>
      <c r="U588" s="46" t="s">
        <v>10</v>
      </c>
      <c r="V588" s="46" t="s">
        <v>11</v>
      </c>
      <c r="W588" s="46" t="s">
        <v>12</v>
      </c>
      <c r="X588" s="46" t="s">
        <v>13</v>
      </c>
      <c r="Y588" s="46" t="s">
        <v>14</v>
      </c>
      <c r="Z588" s="60" t="s">
        <v>15</v>
      </c>
      <c r="AA588" s="59" t="s">
        <v>8</v>
      </c>
      <c r="AB588" s="46" t="s">
        <v>9</v>
      </c>
      <c r="AC588" s="46" t="s">
        <v>10</v>
      </c>
      <c r="AD588" s="46" t="s">
        <v>11</v>
      </c>
      <c r="AE588" s="46" t="s">
        <v>12</v>
      </c>
      <c r="AF588" s="46" t="s">
        <v>13</v>
      </c>
      <c r="AG588" s="46" t="s">
        <v>14</v>
      </c>
      <c r="AH588" s="60" t="s">
        <v>15</v>
      </c>
      <c r="AI588" s="59" t="s">
        <v>8</v>
      </c>
      <c r="AJ588" s="46" t="s">
        <v>9</v>
      </c>
      <c r="AK588" s="46" t="s">
        <v>10</v>
      </c>
      <c r="AL588" s="46" t="s">
        <v>11</v>
      </c>
      <c r="AM588" s="46" t="s">
        <v>12</v>
      </c>
      <c r="AN588" s="46" t="s">
        <v>13</v>
      </c>
      <c r="AO588" s="46" t="s">
        <v>14</v>
      </c>
      <c r="AP588" s="60" t="s">
        <v>15</v>
      </c>
    </row>
    <row r="589" spans="1:42" ht="21" customHeight="1" thickTop="1" thickBot="1" x14ac:dyDescent="0.35">
      <c r="A589" s="63"/>
      <c r="B589" s="66"/>
      <c r="C589" s="52">
        <v>1</v>
      </c>
      <c r="D589" s="44">
        <v>552.64999999999975</v>
      </c>
      <c r="E589" s="44"/>
      <c r="F589" s="44"/>
      <c r="G589" s="44"/>
      <c r="H589" s="44"/>
      <c r="I589" s="44"/>
      <c r="J589" s="51"/>
      <c r="K589" s="52">
        <v>1</v>
      </c>
      <c r="L589" s="44">
        <v>553.15999999999985</v>
      </c>
      <c r="M589" s="44"/>
      <c r="N589" s="44"/>
      <c r="O589" s="44"/>
      <c r="P589" s="44"/>
      <c r="Q589" s="44"/>
      <c r="R589" s="51"/>
      <c r="S589" s="52">
        <v>1</v>
      </c>
      <c r="T589" s="44">
        <v>553.36999999999978</v>
      </c>
      <c r="U589" s="44"/>
      <c r="V589" s="44"/>
      <c r="W589" s="44"/>
      <c r="X589" s="44"/>
      <c r="Y589" s="44"/>
      <c r="Z589" s="51"/>
      <c r="AA589" s="52">
        <v>1</v>
      </c>
      <c r="AB589" s="44">
        <v>554.8299999999997</v>
      </c>
      <c r="AC589" s="44"/>
      <c r="AD589" s="44"/>
      <c r="AE589" s="44"/>
      <c r="AF589" s="44"/>
      <c r="AG589" s="44"/>
      <c r="AH589" s="51"/>
      <c r="AI589" s="52">
        <v>1</v>
      </c>
      <c r="AJ589" s="44">
        <v>553.1099999999999</v>
      </c>
      <c r="AK589" s="44"/>
      <c r="AL589" s="44"/>
      <c r="AM589" s="44"/>
      <c r="AN589" s="44"/>
      <c r="AO589" s="44"/>
      <c r="AP589" s="51"/>
    </row>
    <row r="590" spans="1:42" ht="21" customHeight="1" thickTop="1" thickBot="1" x14ac:dyDescent="0.35">
      <c r="A590" s="63"/>
      <c r="B590" s="66"/>
      <c r="C590" s="53">
        <v>2</v>
      </c>
      <c r="D590" s="45">
        <v>552.93999999999983</v>
      </c>
      <c r="E590" s="45"/>
      <c r="F590" s="45"/>
      <c r="G590" s="45"/>
      <c r="H590" s="45"/>
      <c r="I590" s="45"/>
      <c r="J590" s="51"/>
      <c r="K590" s="53">
        <v>2</v>
      </c>
      <c r="L590" s="45">
        <v>554.30999999999983</v>
      </c>
      <c r="M590" s="45"/>
      <c r="N590" s="45"/>
      <c r="O590" s="45"/>
      <c r="P590" s="45"/>
      <c r="Q590" s="45"/>
      <c r="R590" s="51"/>
      <c r="S590" s="53">
        <v>2</v>
      </c>
      <c r="T590" s="45">
        <v>556.77999999999975</v>
      </c>
      <c r="U590" s="45"/>
      <c r="V590" s="45"/>
      <c r="W590" s="45"/>
      <c r="X590" s="45"/>
      <c r="Y590" s="45"/>
      <c r="Z590" s="51"/>
      <c r="AA590" s="53">
        <v>2</v>
      </c>
      <c r="AB590" s="45">
        <v>553.13999999999976</v>
      </c>
      <c r="AC590" s="45"/>
      <c r="AD590" s="45"/>
      <c r="AE590" s="45"/>
      <c r="AF590" s="45"/>
      <c r="AG590" s="45"/>
      <c r="AH590" s="51"/>
      <c r="AI590" s="53">
        <v>2</v>
      </c>
      <c r="AJ590" s="45">
        <v>552.16</v>
      </c>
      <c r="AK590" s="45"/>
      <c r="AL590" s="45"/>
      <c r="AM590" s="45"/>
      <c r="AN590" s="45"/>
      <c r="AO590" s="45"/>
      <c r="AP590" s="51"/>
    </row>
    <row r="591" spans="1:42" ht="21" customHeight="1" thickTop="1" thickBot="1" x14ac:dyDescent="0.35">
      <c r="A591" s="63"/>
      <c r="B591" s="66"/>
      <c r="C591" s="53">
        <v>3</v>
      </c>
      <c r="D591" s="45">
        <v>553.29999999999973</v>
      </c>
      <c r="E591" s="45"/>
      <c r="F591" s="45"/>
      <c r="G591" s="44"/>
      <c r="H591" s="44"/>
      <c r="I591" s="44"/>
      <c r="J591" s="51"/>
      <c r="K591" s="53">
        <v>3</v>
      </c>
      <c r="L591" s="45">
        <v>553.3399999999998</v>
      </c>
      <c r="M591" s="45"/>
      <c r="N591" s="45"/>
      <c r="O591" s="44"/>
      <c r="P591" s="44"/>
      <c r="Q591" s="44"/>
      <c r="R591" s="51"/>
      <c r="S591" s="53">
        <v>3</v>
      </c>
      <c r="T591" s="45">
        <v>554.03999999999985</v>
      </c>
      <c r="U591" s="45"/>
      <c r="V591" s="45"/>
      <c r="W591" s="44"/>
      <c r="X591" s="44"/>
      <c r="Y591" s="44"/>
      <c r="Z591" s="51"/>
      <c r="AA591" s="53">
        <v>3</v>
      </c>
      <c r="AB591" s="45">
        <v>552.80999999999972</v>
      </c>
      <c r="AC591" s="45"/>
      <c r="AD591" s="45"/>
      <c r="AE591" s="44"/>
      <c r="AF591" s="44"/>
      <c r="AG591" s="44"/>
      <c r="AH591" s="51"/>
      <c r="AI591" s="53">
        <v>3</v>
      </c>
      <c r="AJ591" s="45">
        <v>553.43999999999994</v>
      </c>
      <c r="AK591" s="45"/>
      <c r="AL591" s="45"/>
      <c r="AM591" s="44"/>
      <c r="AN591" s="44"/>
      <c r="AO591" s="44"/>
      <c r="AP591" s="51"/>
    </row>
    <row r="592" spans="1:42" ht="21" customHeight="1" thickTop="1" thickBot="1" x14ac:dyDescent="0.35">
      <c r="A592" s="63"/>
      <c r="B592" s="66"/>
      <c r="C592" s="53">
        <v>4</v>
      </c>
      <c r="D592" s="45">
        <v>552.20999999999981</v>
      </c>
      <c r="E592" s="45"/>
      <c r="F592" s="45"/>
      <c r="G592" s="45"/>
      <c r="H592" s="45"/>
      <c r="I592" s="45"/>
      <c r="J592" s="51"/>
      <c r="K592" s="53">
        <v>4</v>
      </c>
      <c r="L592" s="45">
        <v>553.70999999999981</v>
      </c>
      <c r="M592" s="45"/>
      <c r="N592" s="45"/>
      <c r="O592" s="45"/>
      <c r="P592" s="45"/>
      <c r="Q592" s="45"/>
      <c r="R592" s="51"/>
      <c r="S592" s="53">
        <v>4</v>
      </c>
      <c r="T592" s="45">
        <v>552.78999999999974</v>
      </c>
      <c r="U592" s="45"/>
      <c r="V592" s="45"/>
      <c r="W592" s="45"/>
      <c r="X592" s="45"/>
      <c r="Y592" s="45"/>
      <c r="Z592" s="51"/>
      <c r="AA592" s="53">
        <v>4</v>
      </c>
      <c r="AB592" s="45">
        <v>552.78999999999985</v>
      </c>
      <c r="AC592" s="45"/>
      <c r="AD592" s="45"/>
      <c r="AE592" s="45"/>
      <c r="AF592" s="45"/>
      <c r="AG592" s="45"/>
      <c r="AH592" s="51"/>
      <c r="AI592" s="53">
        <v>4</v>
      </c>
      <c r="AJ592" s="45">
        <v>553.43999999999994</v>
      </c>
      <c r="AK592" s="45"/>
      <c r="AL592" s="45"/>
      <c r="AM592" s="45"/>
      <c r="AN592" s="45"/>
      <c r="AO592" s="45"/>
      <c r="AP592" s="51"/>
    </row>
    <row r="593" spans="1:42" ht="21" customHeight="1" thickTop="1" thickBot="1" x14ac:dyDescent="0.35">
      <c r="A593" s="63"/>
      <c r="B593" s="66"/>
      <c r="C593" s="53">
        <v>5</v>
      </c>
      <c r="D593" s="45">
        <v>552.7099999999997</v>
      </c>
      <c r="E593" s="45"/>
      <c r="F593" s="45"/>
      <c r="G593" s="45"/>
      <c r="H593" s="45"/>
      <c r="I593" s="45"/>
      <c r="J593" s="51"/>
      <c r="K593" s="53">
        <v>5</v>
      </c>
      <c r="L593" s="45">
        <v>553.55999999999983</v>
      </c>
      <c r="M593" s="45"/>
      <c r="N593" s="45"/>
      <c r="O593" s="45"/>
      <c r="P593" s="45"/>
      <c r="Q593" s="45"/>
      <c r="R593" s="51"/>
      <c r="S593" s="53">
        <v>5</v>
      </c>
      <c r="T593" s="45">
        <v>553.26999999999975</v>
      </c>
      <c r="U593" s="45"/>
      <c r="V593" s="45"/>
      <c r="W593" s="45"/>
      <c r="X593" s="45"/>
      <c r="Y593" s="45"/>
      <c r="Z593" s="51"/>
      <c r="AA593" s="53">
        <v>5</v>
      </c>
      <c r="AB593" s="45">
        <v>553.13999999999976</v>
      </c>
      <c r="AC593" s="45"/>
      <c r="AD593" s="45"/>
      <c r="AE593" s="45"/>
      <c r="AF593" s="45"/>
      <c r="AG593" s="45"/>
      <c r="AH593" s="51"/>
      <c r="AI593" s="53">
        <v>5</v>
      </c>
      <c r="AJ593" s="45">
        <v>552.92999999999995</v>
      </c>
      <c r="AK593" s="45"/>
      <c r="AL593" s="45"/>
      <c r="AM593" s="45"/>
      <c r="AN593" s="45"/>
      <c r="AO593" s="45"/>
      <c r="AP593" s="51"/>
    </row>
    <row r="594" spans="1:42" ht="21" customHeight="1" thickTop="1" thickBot="1" x14ac:dyDescent="0.35">
      <c r="A594" s="63"/>
      <c r="B594" s="66"/>
      <c r="C594" s="53">
        <v>6</v>
      </c>
      <c r="D594" s="45">
        <v>553.36999999999966</v>
      </c>
      <c r="E594" s="45"/>
      <c r="F594" s="45"/>
      <c r="G594" s="45"/>
      <c r="H594" s="45"/>
      <c r="I594" s="45"/>
      <c r="J594" s="51"/>
      <c r="K594" s="53">
        <v>6</v>
      </c>
      <c r="L594" s="45">
        <v>553.65999999999985</v>
      </c>
      <c r="M594" s="45"/>
      <c r="N594" s="45"/>
      <c r="O594" s="45"/>
      <c r="P594" s="45"/>
      <c r="Q594" s="45"/>
      <c r="R594" s="51"/>
      <c r="S594" s="53">
        <v>6</v>
      </c>
      <c r="T594" s="45">
        <v>554.39999999999986</v>
      </c>
      <c r="U594" s="45"/>
      <c r="V594" s="45"/>
      <c r="W594" s="45"/>
      <c r="X594" s="45"/>
      <c r="Y594" s="45"/>
      <c r="Z594" s="51"/>
      <c r="AA594" s="53">
        <v>6</v>
      </c>
      <c r="AB594" s="45">
        <v>552.85999999999979</v>
      </c>
      <c r="AC594" s="45"/>
      <c r="AD594" s="45"/>
      <c r="AE594" s="45"/>
      <c r="AF594" s="45"/>
      <c r="AG594" s="45"/>
      <c r="AH594" s="51"/>
      <c r="AI594" s="53">
        <v>6</v>
      </c>
      <c r="AJ594" s="45">
        <v>552.69999999999982</v>
      </c>
      <c r="AK594" s="45"/>
      <c r="AL594" s="45"/>
      <c r="AM594" s="45"/>
      <c r="AN594" s="45"/>
      <c r="AO594" s="45"/>
      <c r="AP594" s="51"/>
    </row>
    <row r="595" spans="1:42" ht="21" customHeight="1" thickTop="1" thickBot="1" x14ac:dyDescent="0.35">
      <c r="A595" s="63"/>
      <c r="B595" s="66"/>
      <c r="C595" s="53">
        <v>7</v>
      </c>
      <c r="D595" s="45">
        <v>552.91999999999973</v>
      </c>
      <c r="E595" s="45"/>
      <c r="F595" s="45"/>
      <c r="G595" s="45"/>
      <c r="H595" s="45"/>
      <c r="I595" s="45"/>
      <c r="J595" s="51"/>
      <c r="K595" s="53">
        <v>7</v>
      </c>
      <c r="L595" s="45">
        <v>553.50999999999988</v>
      </c>
      <c r="M595" s="45"/>
      <c r="N595" s="45"/>
      <c r="O595" s="45"/>
      <c r="P595" s="45"/>
      <c r="Q595" s="45"/>
      <c r="R595" s="51"/>
      <c r="S595" s="53">
        <v>7</v>
      </c>
      <c r="T595" s="45">
        <v>552.98999999999967</v>
      </c>
      <c r="U595" s="45"/>
      <c r="V595" s="45"/>
      <c r="W595" s="45"/>
      <c r="X595" s="45"/>
      <c r="Y595" s="45"/>
      <c r="Z595" s="51"/>
      <c r="AA595" s="53">
        <v>7</v>
      </c>
      <c r="AB595" s="45">
        <v>552.98999999999978</v>
      </c>
      <c r="AC595" s="45"/>
      <c r="AD595" s="45"/>
      <c r="AE595" s="45"/>
      <c r="AF595" s="45"/>
      <c r="AG595" s="45"/>
      <c r="AH595" s="51"/>
      <c r="AI595" s="53">
        <v>7</v>
      </c>
      <c r="AJ595" s="45">
        <v>553.32999999999993</v>
      </c>
      <c r="AK595" s="45"/>
      <c r="AL595" s="45"/>
      <c r="AM595" s="45"/>
      <c r="AN595" s="45"/>
      <c r="AO595" s="45"/>
      <c r="AP595" s="51"/>
    </row>
    <row r="596" spans="1:42" ht="21" customHeight="1" thickTop="1" thickBot="1" x14ac:dyDescent="0.35">
      <c r="A596" s="63"/>
      <c r="B596" s="66"/>
      <c r="C596" s="53">
        <v>8</v>
      </c>
      <c r="D596" s="45">
        <v>553.29999999999973</v>
      </c>
      <c r="E596" s="45"/>
      <c r="F596" s="45"/>
      <c r="G596" s="45"/>
      <c r="H596" s="45"/>
      <c r="I596" s="45"/>
      <c r="J596" s="51"/>
      <c r="K596" s="53">
        <v>8</v>
      </c>
      <c r="L596" s="45">
        <v>552.9499999999997</v>
      </c>
      <c r="M596" s="45"/>
      <c r="N596" s="45"/>
      <c r="O596" s="45"/>
      <c r="P596" s="45"/>
      <c r="Q596" s="45"/>
      <c r="R596" s="51"/>
      <c r="S596" s="53">
        <v>8</v>
      </c>
      <c r="T596" s="45">
        <v>553.43999999999983</v>
      </c>
      <c r="U596" s="45"/>
      <c r="V596" s="45"/>
      <c r="W596" s="45"/>
      <c r="X596" s="45"/>
      <c r="Y596" s="45"/>
      <c r="Z596" s="51"/>
      <c r="AA596" s="53">
        <v>8</v>
      </c>
      <c r="AB596" s="45">
        <v>552.97999999999979</v>
      </c>
      <c r="AC596" s="45"/>
      <c r="AD596" s="45"/>
      <c r="AE596" s="45"/>
      <c r="AF596" s="45"/>
      <c r="AG596" s="45"/>
      <c r="AH596" s="51"/>
      <c r="AI596" s="53">
        <v>8</v>
      </c>
      <c r="AJ596" s="45">
        <v>553.56999999999994</v>
      </c>
      <c r="AK596" s="45"/>
      <c r="AL596" s="45"/>
      <c r="AM596" s="45"/>
      <c r="AN596" s="45"/>
      <c r="AO596" s="45"/>
      <c r="AP596" s="51"/>
    </row>
    <row r="597" spans="1:42" ht="21" customHeight="1" thickTop="1" thickBot="1" x14ac:dyDescent="0.35">
      <c r="A597" s="63"/>
      <c r="B597" s="66"/>
      <c r="C597" s="53">
        <v>9</v>
      </c>
      <c r="D597" s="45">
        <v>552.81999999999982</v>
      </c>
      <c r="E597" s="45"/>
      <c r="F597" s="45"/>
      <c r="G597" s="45"/>
      <c r="H597" s="45"/>
      <c r="I597" s="45"/>
      <c r="J597" s="51"/>
      <c r="K597" s="53">
        <v>9</v>
      </c>
      <c r="L597" s="45">
        <v>553.59999999999968</v>
      </c>
      <c r="M597" s="45"/>
      <c r="N597" s="45"/>
      <c r="O597" s="45"/>
      <c r="P597" s="45"/>
      <c r="Q597" s="45"/>
      <c r="R597" s="51"/>
      <c r="S597" s="53">
        <v>9</v>
      </c>
      <c r="T597" s="45">
        <v>553.64999999999975</v>
      </c>
      <c r="U597" s="45"/>
      <c r="V597" s="45"/>
      <c r="W597" s="45"/>
      <c r="X597" s="45"/>
      <c r="Y597" s="45"/>
      <c r="Z597" s="51"/>
      <c r="AA597" s="53">
        <v>9</v>
      </c>
      <c r="AB597" s="45">
        <v>552.85999999999979</v>
      </c>
      <c r="AC597" s="45"/>
      <c r="AD597" s="45"/>
      <c r="AE597" s="45"/>
      <c r="AF597" s="45"/>
      <c r="AG597" s="45"/>
      <c r="AH597" s="51"/>
      <c r="AI597" s="53">
        <v>9</v>
      </c>
      <c r="AJ597" s="45">
        <v>553.57999999999993</v>
      </c>
      <c r="AK597" s="45"/>
      <c r="AL597" s="45"/>
      <c r="AM597" s="45"/>
      <c r="AN597" s="45"/>
      <c r="AO597" s="45"/>
      <c r="AP597" s="51"/>
    </row>
    <row r="598" spans="1:42" ht="21" customHeight="1" thickTop="1" thickBot="1" x14ac:dyDescent="0.35">
      <c r="A598" s="63"/>
      <c r="B598" s="66"/>
      <c r="C598" s="53">
        <v>10</v>
      </c>
      <c r="D598" s="45">
        <v>553.13999999999976</v>
      </c>
      <c r="E598" s="45"/>
      <c r="F598" s="45"/>
      <c r="G598" s="45"/>
      <c r="H598" s="45"/>
      <c r="I598" s="45"/>
      <c r="J598" s="51"/>
      <c r="K598" s="53">
        <v>10</v>
      </c>
      <c r="L598" s="45">
        <v>553.40999999999985</v>
      </c>
      <c r="M598" s="45"/>
      <c r="N598" s="45"/>
      <c r="O598" s="45"/>
      <c r="P598" s="45"/>
      <c r="Q598" s="45"/>
      <c r="R598" s="51"/>
      <c r="S598" s="53">
        <v>10</v>
      </c>
      <c r="T598" s="45">
        <v>554.58999999999969</v>
      </c>
      <c r="U598" s="45"/>
      <c r="V598" s="45"/>
      <c r="W598" s="45"/>
      <c r="X598" s="45"/>
      <c r="Y598" s="45"/>
      <c r="Z598" s="51"/>
      <c r="AA598" s="53">
        <v>10</v>
      </c>
      <c r="AB598" s="45">
        <v>552.79999999999973</v>
      </c>
      <c r="AC598" s="45"/>
      <c r="AD598" s="45"/>
      <c r="AE598" s="45"/>
      <c r="AF598" s="45"/>
      <c r="AG598" s="45"/>
      <c r="AH598" s="51"/>
      <c r="AI598" s="53">
        <v>10</v>
      </c>
      <c r="AJ598" s="45">
        <v>553.7299999999999</v>
      </c>
      <c r="AK598" s="45"/>
      <c r="AL598" s="45"/>
      <c r="AM598" s="45"/>
      <c r="AN598" s="45"/>
      <c r="AO598" s="45"/>
      <c r="AP598" s="51"/>
    </row>
    <row r="599" spans="1:42" ht="21" customHeight="1" thickTop="1" thickBot="1" x14ac:dyDescent="0.35">
      <c r="A599" s="63"/>
      <c r="B599" s="66"/>
      <c r="C599" s="53"/>
      <c r="D599" s="45"/>
      <c r="E599" s="45"/>
      <c r="F599" s="45"/>
      <c r="G599" s="45"/>
      <c r="H599" s="45"/>
      <c r="I599" s="45"/>
      <c r="J599" s="51"/>
      <c r="K599" s="53"/>
      <c r="L599" s="45"/>
      <c r="M599" s="45"/>
      <c r="N599" s="45"/>
      <c r="O599" s="45"/>
      <c r="P599" s="45"/>
      <c r="Q599" s="45"/>
      <c r="R599" s="51"/>
      <c r="S599" s="53"/>
      <c r="T599" s="45"/>
      <c r="U599" s="45"/>
      <c r="V599" s="45"/>
      <c r="W599" s="45"/>
      <c r="X599" s="45"/>
      <c r="Y599" s="45"/>
      <c r="Z599" s="51"/>
      <c r="AA599" s="53"/>
      <c r="AB599" s="45"/>
      <c r="AC599" s="45"/>
      <c r="AD599" s="45"/>
      <c r="AE599" s="45"/>
      <c r="AF599" s="45"/>
      <c r="AG599" s="45"/>
      <c r="AH599" s="51"/>
      <c r="AI599" s="53"/>
      <c r="AJ599" s="45"/>
      <c r="AK599" s="45"/>
      <c r="AL599" s="45"/>
      <c r="AM599" s="45"/>
      <c r="AN599" s="45"/>
      <c r="AO599" s="45"/>
      <c r="AP599" s="51"/>
    </row>
    <row r="600" spans="1:42" ht="21" customHeight="1" thickTop="1" thickBot="1" x14ac:dyDescent="0.35">
      <c r="A600" s="63"/>
      <c r="B600" s="66"/>
      <c r="C600" s="54" t="s">
        <v>16</v>
      </c>
      <c r="D600" s="49">
        <f>MIN(D589:D598)</f>
        <v>552.20999999999981</v>
      </c>
      <c r="E600" s="45"/>
      <c r="F600" s="55" t="s">
        <v>17</v>
      </c>
      <c r="G600" s="49" t="s">
        <v>18</v>
      </c>
      <c r="H600" s="49" t="s">
        <v>19</v>
      </c>
      <c r="I600" s="45"/>
      <c r="J600" s="51"/>
      <c r="K600" s="54" t="s">
        <v>16</v>
      </c>
      <c r="L600" s="49">
        <f>MIN(L589:L598)</f>
        <v>552.9499999999997</v>
      </c>
      <c r="M600" s="45"/>
      <c r="N600" s="55" t="s">
        <v>17</v>
      </c>
      <c r="O600" s="49" t="s">
        <v>18</v>
      </c>
      <c r="P600" s="49" t="s">
        <v>19</v>
      </c>
      <c r="Q600" s="45"/>
      <c r="R600" s="51"/>
      <c r="S600" s="54" t="s">
        <v>16</v>
      </c>
      <c r="T600" s="49">
        <f>MIN(T589:T598)</f>
        <v>552.78999999999974</v>
      </c>
      <c r="U600" s="45"/>
      <c r="V600" s="55" t="s">
        <v>17</v>
      </c>
      <c r="W600" s="49" t="s">
        <v>18</v>
      </c>
      <c r="X600" s="49" t="s">
        <v>19</v>
      </c>
      <c r="Y600" s="45"/>
      <c r="Z600" s="51"/>
      <c r="AA600" s="54" t="s">
        <v>16</v>
      </c>
      <c r="AB600" s="49">
        <f>MIN(AB589:AB598)</f>
        <v>552.78999999999985</v>
      </c>
      <c r="AC600" s="45"/>
      <c r="AD600" s="55" t="s">
        <v>17</v>
      </c>
      <c r="AE600" s="49" t="s">
        <v>18</v>
      </c>
      <c r="AF600" s="49" t="s">
        <v>19</v>
      </c>
      <c r="AG600" s="45"/>
      <c r="AH600" s="51"/>
      <c r="AI600" s="54" t="s">
        <v>16</v>
      </c>
      <c r="AJ600" s="49">
        <f>MIN(AJ589:AJ598)</f>
        <v>552.16</v>
      </c>
      <c r="AK600" s="45"/>
      <c r="AL600" s="55" t="s">
        <v>17</v>
      </c>
      <c r="AM600" s="49" t="s">
        <v>18</v>
      </c>
      <c r="AN600" s="49" t="s">
        <v>19</v>
      </c>
      <c r="AO600" s="45"/>
      <c r="AP600" s="51"/>
    </row>
    <row r="601" spans="1:42" ht="21" customHeight="1" thickTop="1" thickBot="1" x14ac:dyDescent="0.35">
      <c r="A601" s="63"/>
      <c r="B601" s="66"/>
      <c r="C601" s="54" t="s">
        <v>20</v>
      </c>
      <c r="D601" s="48">
        <f>AVERAGE(D589:D598)</f>
        <v>552.93599999999969</v>
      </c>
      <c r="E601" s="47"/>
      <c r="F601" s="48">
        <f>_xlfn.STDEV.S(D589:D598) / AVERAGE(D589:D598) * 100%</f>
        <v>6.5169479507145146E-4</v>
      </c>
      <c r="G601" s="48">
        <f t="array" ref="G601">MIN((D589:D598 - MIN(D589:D598,L589:L598,T589:T598,AB589:AB598,AJ589:AJ598))/MIN(D589:D598,L589:L598,T589:T598,AB589:AB598,AJ589:AJ598)*100%)</f>
        <v>9.0553462764127865E-5</v>
      </c>
      <c r="H601" s="48">
        <f t="array" ref="H601">AVERAGE((D589:D598 - MIN(D589:D598,L589:L598,T589:T598,AB589:AB598,AJ589:AJ598))/MIN(D589:D598,L589:L598,T589:T598,AB589:AB598,AJ589:AJ598)*100%)</f>
        <v>1.4053897421033453E-3</v>
      </c>
      <c r="I601" s="45"/>
      <c r="J601" s="51"/>
      <c r="K601" s="54" t="s">
        <v>20</v>
      </c>
      <c r="L601" s="48">
        <f>AVERAGE(L589:L598)</f>
        <v>553.52099999999984</v>
      </c>
      <c r="M601" s="47"/>
      <c r="N601" s="48">
        <f>_xlfn.STDEV.S(L589:L598) / AVERAGE(L589:L598) * 100%</f>
        <v>6.5606954553199882E-4</v>
      </c>
      <c r="O601" s="48">
        <f t="array" ref="O601">MIN((L589:L598 - MIN(D589:D598,L589:L598,T589:T598,AB589:AB598,AJ589:AJ598))/MIN(D589:D598,L589:L598,T589:T598,AB589:AB598,AJ589:AJ598)*100%)</f>
        <v>1.430744711677297E-3</v>
      </c>
      <c r="P601" s="48">
        <f t="array" ref="P601">AVERAGE((L589:L598 - MIN(D589:D598,L589:L598,T589:T598,AB589:AB598,AJ589:AJ598))/MIN(D589:D598,L589:L598,T589:T598,AB589:AB598,AJ589:AJ598)*100%)</f>
        <v>2.4648652564471215E-3</v>
      </c>
      <c r="Q601" s="44"/>
      <c r="R601" s="51"/>
      <c r="S601" s="54" t="s">
        <v>20</v>
      </c>
      <c r="T601" s="48">
        <f>AVERAGE(T589:T598)</f>
        <v>553.93199999999979</v>
      </c>
      <c r="U601" s="47"/>
      <c r="V601" s="48">
        <f>_xlfn.STDEV.S(T589:T598) / AVERAGE(T589:T598) * 100%</f>
        <v>2.0881941793040922E-3</v>
      </c>
      <c r="W601" s="48">
        <f t="array" ref="W601">MIN((T589:T598 - MIN(D589:D598,L589:L598,T589:T598,AB589:AB598,AJ589:AJ598))/MIN(D589:D598,L589:L598,T589:T598,AB589:AB598,AJ589:AJ598)*100%)</f>
        <v>1.140973630831223E-3</v>
      </c>
      <c r="X601" s="48">
        <f t="array" ref="X601">AVERAGE((T589:T598 - MIN(D589:D598,L589:L598,T589:T598,AB589:AB598,AJ589:AJ598))/MIN(D589:D598,L589:L598,T589:T598,AB589:AB598,AJ589:AJ598)*100%)</f>
        <v>3.2092147203705416E-3</v>
      </c>
      <c r="Y601" s="44"/>
      <c r="Z601" s="51"/>
      <c r="AA601" s="54" t="s">
        <v>20</v>
      </c>
      <c r="AB601" s="48">
        <f>AVERAGE(AB589:AB598)</f>
        <v>553.11999999999966</v>
      </c>
      <c r="AC601" s="47"/>
      <c r="AD601" s="48">
        <f>_xlfn.STDEV.S(AB589:AB598) / AVERAGE(AB589:AB598) * 100%</f>
        <v>1.111870374674417E-3</v>
      </c>
      <c r="AE601" s="48">
        <f t="array" ref="AE601">MIN((AB589:AB598 - MIN(D589:D598,L589:L598,T589:T598,AB589:AB598,AJ589:AJ598))/MIN(D589:D598,L589:L598,T589:T598,AB589:AB598,AJ589:AJ598)*100%)</f>
        <v>1.140973630831429E-3</v>
      </c>
      <c r="AF601" s="48">
        <f t="array" ref="AF601">AVERAGE((AB589:AB598 - MIN(D589:D598,L589:L598,T589:T598,AB589:AB598,AJ589:AJ598))/MIN(D589:D598,L589:L598,T589:T598,AB589:AB598,AJ589:AJ598)*100%)</f>
        <v>1.7386264850764229E-3</v>
      </c>
      <c r="AG601" s="44"/>
      <c r="AH601" s="51"/>
      <c r="AI601" s="54" t="s">
        <v>20</v>
      </c>
      <c r="AJ601" s="48">
        <f>AVERAGE(AJ589:AJ598)</f>
        <v>553.19899999999984</v>
      </c>
      <c r="AK601" s="47"/>
      <c r="AL601" s="48">
        <f>_xlfn.STDEV.S(AJ589:AJ598) / AVERAGE(AJ589:AJ598) * 100%</f>
        <v>8.7461775583526553E-4</v>
      </c>
      <c r="AM601" s="48">
        <f t="array" ref="AM601">MIN((AJ589:AJ598 - MIN(D589:D598,L589:L598,T589:T598,AB589:AB598,AJ589:AJ598))/MIN(D589:D598,L589:L598,T589:T598,AB589:AB598,AJ589:AJ598)*100%)</f>
        <v>0</v>
      </c>
      <c r="AN601" s="48">
        <f t="array" ref="AN601">AVERAGE((AJ589:AJ598 - MIN(D589:D598,L589:L598,T589:T598,AB589:AB598,AJ589:AJ598))/MIN(D589:D598,L589:L598,T589:T598,AB589:AB598,AJ589:AJ598)*100%)</f>
        <v>1.8817009562444823E-3</v>
      </c>
      <c r="AO601" s="44"/>
      <c r="AP601" s="51"/>
    </row>
    <row r="602" spans="1:42" ht="21" customHeight="1" thickTop="1" thickBot="1" x14ac:dyDescent="0.35">
      <c r="A602" s="64"/>
      <c r="B602" s="67"/>
      <c r="C602" s="53"/>
      <c r="D602" s="44"/>
      <c r="E602" s="44"/>
      <c r="F602" s="44"/>
      <c r="G602" s="44"/>
      <c r="H602" s="44"/>
      <c r="I602" s="44"/>
      <c r="J602" s="51"/>
      <c r="K602" s="53"/>
      <c r="L602" s="44"/>
      <c r="M602" s="44"/>
      <c r="N602" s="44"/>
      <c r="O602" s="44"/>
      <c r="P602" s="44"/>
      <c r="Q602" s="44"/>
      <c r="R602" s="51"/>
      <c r="S602" s="53"/>
      <c r="T602" s="44"/>
      <c r="U602" s="44"/>
      <c r="V602" s="44"/>
      <c r="W602" s="44"/>
      <c r="X602" s="44"/>
      <c r="Y602" s="44"/>
      <c r="Z602" s="51"/>
      <c r="AA602" s="53"/>
      <c r="AB602" s="44"/>
      <c r="AC602" s="44"/>
      <c r="AD602" s="44"/>
      <c r="AE602" s="44"/>
      <c r="AF602" s="44"/>
      <c r="AG602" s="44"/>
      <c r="AH602" s="51"/>
      <c r="AI602" s="53"/>
      <c r="AJ602" s="44"/>
      <c r="AK602" s="44"/>
      <c r="AL602" s="44"/>
      <c r="AM602" s="44"/>
      <c r="AN602" s="44"/>
      <c r="AO602" s="44"/>
      <c r="AP602" s="51"/>
    </row>
    <row r="603" spans="1:42" ht="14.5" customHeight="1" thickTop="1" x14ac:dyDescent="0.3"/>
  </sheetData>
  <mergeCells count="52">
    <mergeCell ref="A483:A602"/>
    <mergeCell ref="A1:A2"/>
    <mergeCell ref="AI1:AP2"/>
    <mergeCell ref="B453:B467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6:AH67"/>
  <sheetViews>
    <sheetView topLeftCell="B1" zoomScale="70" zoomScaleNormal="70" workbookViewId="0">
      <selection activeCell="Z66" sqref="Z66"/>
    </sheetView>
  </sheetViews>
  <sheetFormatPr defaultRowHeight="14" x14ac:dyDescent="0.3"/>
  <cols>
    <col min="2" max="2" width="17.58203125" customWidth="1"/>
    <col min="6" max="6" width="12.4140625" customWidth="1"/>
    <col min="8" max="8" width="12.33203125" customWidth="1"/>
    <col min="10" max="10" width="11.25" bestFit="1" customWidth="1"/>
    <col min="12" max="12" width="10.08203125" customWidth="1"/>
    <col min="14" max="14" width="13.6640625" customWidth="1"/>
    <col min="17" max="17" width="19.25" customWidth="1"/>
    <col min="18" max="18" width="8.83203125" customWidth="1"/>
    <col min="20" max="20" width="12" customWidth="1"/>
    <col min="24" max="24" width="15" customWidth="1"/>
    <col min="26" max="26" width="12.5" customWidth="1"/>
    <col min="30" max="30" width="16.58203125" customWidth="1"/>
  </cols>
  <sheetData>
    <row r="6" spans="2:34" ht="16" customHeight="1" thickBot="1" x14ac:dyDescent="0.35">
      <c r="F6" s="5"/>
    </row>
    <row r="7" spans="2:34" ht="25" customHeight="1" thickTop="1" thickBot="1" x14ac:dyDescent="0.35">
      <c r="B7" s="7" t="s">
        <v>146</v>
      </c>
      <c r="C7" s="7" t="s">
        <v>147</v>
      </c>
      <c r="D7" s="7" t="s">
        <v>148</v>
      </c>
      <c r="E7" s="7" t="s">
        <v>149</v>
      </c>
      <c r="F7" s="7" t="s">
        <v>150</v>
      </c>
      <c r="G7" s="8" t="s">
        <v>151</v>
      </c>
      <c r="H7" s="7" t="s">
        <v>152</v>
      </c>
      <c r="I7" s="7" t="s">
        <v>153</v>
      </c>
      <c r="J7" s="7" t="s">
        <v>154</v>
      </c>
      <c r="K7" s="7" t="s">
        <v>155</v>
      </c>
      <c r="L7" s="8" t="s">
        <v>156</v>
      </c>
      <c r="M7" s="7" t="s">
        <v>157</v>
      </c>
      <c r="O7" s="7" t="s">
        <v>146</v>
      </c>
      <c r="P7" s="7" t="s">
        <v>147</v>
      </c>
      <c r="Q7" s="7" t="s">
        <v>158</v>
      </c>
      <c r="R7" s="7" t="s">
        <v>159</v>
      </c>
      <c r="S7" s="7" t="s">
        <v>160</v>
      </c>
      <c r="T7" s="7" t="s">
        <v>161</v>
      </c>
      <c r="U7" s="7" t="s">
        <v>162</v>
      </c>
      <c r="V7" s="7" t="s">
        <v>163</v>
      </c>
      <c r="W7" s="7" t="s">
        <v>164</v>
      </c>
      <c r="Y7" s="7" t="s">
        <v>146</v>
      </c>
      <c r="Z7" s="7" t="s">
        <v>147</v>
      </c>
      <c r="AA7" s="7" t="s">
        <v>165</v>
      </c>
      <c r="AB7" s="7" t="s">
        <v>166</v>
      </c>
      <c r="AC7" s="7" t="s">
        <v>167</v>
      </c>
      <c r="AD7" s="7" t="s">
        <v>168</v>
      </c>
      <c r="AF7" s="7" t="s">
        <v>146</v>
      </c>
      <c r="AG7" s="7" t="s">
        <v>169</v>
      </c>
      <c r="AH7" s="7" t="s">
        <v>170</v>
      </c>
    </row>
    <row r="8" spans="2:34" ht="23.5" customHeight="1" thickTop="1" x14ac:dyDescent="0.3">
      <c r="B8" s="9" t="s">
        <v>171</v>
      </c>
      <c r="C8" s="10" t="s">
        <v>172</v>
      </c>
      <c r="D8" s="9">
        <v>7</v>
      </c>
      <c r="E8" s="9">
        <v>0.65</v>
      </c>
      <c r="F8" s="9">
        <v>1</v>
      </c>
      <c r="G8" s="9">
        <v>0.75</v>
      </c>
      <c r="H8" s="9">
        <v>2.5</v>
      </c>
      <c r="I8" s="9">
        <v>0.8</v>
      </c>
      <c r="J8" s="9">
        <v>0.9</v>
      </c>
      <c r="K8" s="9">
        <v>1</v>
      </c>
      <c r="L8" s="9">
        <v>1</v>
      </c>
      <c r="M8" s="9">
        <v>1.5</v>
      </c>
      <c r="O8" s="9" t="s">
        <v>173</v>
      </c>
      <c r="P8" s="10" t="s">
        <v>174</v>
      </c>
      <c r="Q8" s="9">
        <v>6</v>
      </c>
      <c r="R8" s="9">
        <v>6.5</v>
      </c>
      <c r="S8" s="9">
        <v>3</v>
      </c>
      <c r="T8" s="9">
        <v>6</v>
      </c>
      <c r="U8" s="9">
        <v>1.5</v>
      </c>
      <c r="V8" s="9">
        <v>7</v>
      </c>
      <c r="W8" s="9">
        <v>5</v>
      </c>
      <c r="Y8" s="9" t="s">
        <v>175</v>
      </c>
      <c r="Z8" s="10" t="s">
        <v>176</v>
      </c>
      <c r="AA8" s="9">
        <v>2.5</v>
      </c>
      <c r="AB8" s="9">
        <v>1</v>
      </c>
      <c r="AC8" s="9">
        <v>2</v>
      </c>
      <c r="AD8" s="9">
        <v>2</v>
      </c>
      <c r="AF8" s="9" t="s">
        <v>177</v>
      </c>
      <c r="AG8" s="9" t="s">
        <v>178</v>
      </c>
      <c r="AH8" s="9">
        <v>10.4</v>
      </c>
    </row>
    <row r="9" spans="2:34" ht="23.5" customHeight="1" thickBot="1" x14ac:dyDescent="0.35">
      <c r="B9" s="9" t="s">
        <v>179</v>
      </c>
      <c r="C9" s="10" t="s">
        <v>180</v>
      </c>
      <c r="D9" s="9">
        <v>8.1</v>
      </c>
      <c r="E9" s="9">
        <v>0.9</v>
      </c>
      <c r="F9" s="9">
        <v>1.25</v>
      </c>
      <c r="G9" s="9">
        <v>0.75</v>
      </c>
      <c r="H9" s="9">
        <v>2.5</v>
      </c>
      <c r="I9" s="9">
        <v>0.8</v>
      </c>
      <c r="J9" s="9">
        <v>1</v>
      </c>
      <c r="K9" s="9">
        <v>1</v>
      </c>
      <c r="L9" s="9">
        <v>1.3</v>
      </c>
      <c r="M9" s="9">
        <v>1.5</v>
      </c>
      <c r="O9" s="11" t="s">
        <v>181</v>
      </c>
      <c r="P9" s="12" t="s">
        <v>182</v>
      </c>
      <c r="Q9" s="11">
        <v>7</v>
      </c>
      <c r="R9" s="11">
        <v>7.5</v>
      </c>
      <c r="S9" s="11">
        <v>3</v>
      </c>
      <c r="T9" s="11">
        <v>8</v>
      </c>
      <c r="U9" s="11">
        <v>2.5</v>
      </c>
      <c r="V9" s="11">
        <v>9</v>
      </c>
      <c r="W9" s="11">
        <v>6</v>
      </c>
      <c r="Y9" s="11" t="s">
        <v>183</v>
      </c>
      <c r="Z9" s="12" t="s">
        <v>184</v>
      </c>
      <c r="AA9" s="11">
        <v>3.5</v>
      </c>
      <c r="AB9" s="11">
        <v>1.25</v>
      </c>
      <c r="AC9" s="11">
        <v>3</v>
      </c>
      <c r="AD9" s="11">
        <v>2</v>
      </c>
      <c r="AF9" s="9" t="s">
        <v>185</v>
      </c>
      <c r="AG9" s="9" t="s">
        <v>186</v>
      </c>
      <c r="AH9" s="9">
        <v>12.5</v>
      </c>
    </row>
    <row r="10" spans="2:34" ht="15" customHeight="1" thickTop="1" thickBot="1" x14ac:dyDescent="0.35">
      <c r="B10" s="11" t="s">
        <v>187</v>
      </c>
      <c r="C10" s="12" t="s">
        <v>188</v>
      </c>
      <c r="D10" s="11">
        <v>9.25</v>
      </c>
      <c r="E10" s="11">
        <v>0.9</v>
      </c>
      <c r="F10" s="11">
        <v>1.25</v>
      </c>
      <c r="G10" s="11">
        <v>0.57499999999999996</v>
      </c>
      <c r="H10" s="11">
        <v>3</v>
      </c>
      <c r="I10" s="11">
        <v>0.9</v>
      </c>
      <c r="J10" s="11">
        <v>1</v>
      </c>
      <c r="K10" s="11">
        <v>1.2</v>
      </c>
      <c r="L10" s="11">
        <v>1.4</v>
      </c>
      <c r="M10" s="11">
        <v>2.5</v>
      </c>
      <c r="AF10" s="11" t="s">
        <v>189</v>
      </c>
      <c r="AG10" s="11" t="s">
        <v>190</v>
      </c>
      <c r="AH10" s="11">
        <v>15.2</v>
      </c>
    </row>
    <row r="11" spans="2:34" ht="14.5" customHeight="1" thickTop="1" x14ac:dyDescent="0.3"/>
    <row r="12" spans="2:34" ht="14.5" customHeight="1" thickBot="1" x14ac:dyDescent="0.35"/>
    <row r="13" spans="2:34" ht="16.5" customHeight="1" thickTop="1" thickBot="1" x14ac:dyDescent="0.35">
      <c r="P13" s="27" t="s">
        <v>191</v>
      </c>
      <c r="Q13" s="27" t="s">
        <v>192</v>
      </c>
      <c r="R13" s="27" t="s">
        <v>193</v>
      </c>
    </row>
    <row r="14" spans="2:34" ht="15.5" customHeight="1" thickTop="1" x14ac:dyDescent="0.3">
      <c r="P14" s="88" t="s">
        <v>194</v>
      </c>
      <c r="Q14" s="28" t="s">
        <v>148</v>
      </c>
      <c r="R14" s="28">
        <v>5</v>
      </c>
    </row>
    <row r="15" spans="2:34" ht="16" customHeight="1" x14ac:dyDescent="0.3">
      <c r="P15" s="86"/>
      <c r="Q15" s="28" t="s">
        <v>195</v>
      </c>
      <c r="R15" s="28">
        <v>2</v>
      </c>
    </row>
    <row r="16" spans="2:34" ht="16" customHeight="1" x14ac:dyDescent="0.3">
      <c r="P16" s="86"/>
      <c r="Q16" s="28" t="s">
        <v>196</v>
      </c>
      <c r="R16" s="28">
        <v>2</v>
      </c>
    </row>
    <row r="17" spans="16:18" ht="16" customHeight="1" x14ac:dyDescent="0.3">
      <c r="P17" s="86"/>
      <c r="Q17" s="29" t="s">
        <v>151</v>
      </c>
      <c r="R17" s="28">
        <v>1</v>
      </c>
    </row>
    <row r="18" spans="16:18" ht="15" customHeight="1" x14ac:dyDescent="0.3">
      <c r="P18" s="86"/>
      <c r="Q18" s="28" t="s">
        <v>152</v>
      </c>
      <c r="R18" s="28">
        <v>1</v>
      </c>
    </row>
    <row r="19" spans="16:18" ht="15" customHeight="1" x14ac:dyDescent="0.3">
      <c r="P19" s="86"/>
      <c r="Q19" s="28" t="s">
        <v>153</v>
      </c>
      <c r="R19" s="28">
        <v>1</v>
      </c>
    </row>
    <row r="20" spans="16:18" ht="16" customHeight="1" x14ac:dyDescent="0.3">
      <c r="P20" s="86"/>
      <c r="Q20" s="29" t="s">
        <v>156</v>
      </c>
      <c r="R20" s="28">
        <v>1</v>
      </c>
    </row>
    <row r="21" spans="16:18" ht="15" customHeight="1" x14ac:dyDescent="0.3">
      <c r="P21" s="87"/>
      <c r="Q21" s="32" t="s">
        <v>197</v>
      </c>
      <c r="R21" s="32">
        <v>1</v>
      </c>
    </row>
    <row r="22" spans="16:18" ht="15" customHeight="1" x14ac:dyDescent="0.3">
      <c r="P22" s="85" t="s">
        <v>198</v>
      </c>
      <c r="Q22" s="28" t="s">
        <v>158</v>
      </c>
      <c r="R22" s="28">
        <v>1</v>
      </c>
    </row>
    <row r="23" spans="16:18" ht="15" customHeight="1" x14ac:dyDescent="0.3">
      <c r="P23" s="86"/>
      <c r="Q23" s="28" t="s">
        <v>159</v>
      </c>
      <c r="R23" s="28">
        <v>1</v>
      </c>
    </row>
    <row r="24" spans="16:18" ht="15" customHeight="1" x14ac:dyDescent="0.3">
      <c r="P24" s="86"/>
      <c r="Q24" s="28" t="s">
        <v>160</v>
      </c>
      <c r="R24" s="28">
        <v>1</v>
      </c>
    </row>
    <row r="25" spans="16:18" ht="15" customHeight="1" x14ac:dyDescent="0.3">
      <c r="P25" s="86"/>
      <c r="Q25" s="28" t="s">
        <v>199</v>
      </c>
      <c r="R25" s="28">
        <v>1</v>
      </c>
    </row>
    <row r="26" spans="16:18" ht="15" customHeight="1" x14ac:dyDescent="0.3">
      <c r="P26" s="86"/>
      <c r="Q26" s="28" t="s">
        <v>200</v>
      </c>
      <c r="R26" s="28">
        <v>1</v>
      </c>
    </row>
    <row r="27" spans="16:18" ht="15" customHeight="1" x14ac:dyDescent="0.3">
      <c r="P27" s="86"/>
      <c r="Q27" s="28" t="s">
        <v>201</v>
      </c>
      <c r="R27" s="28">
        <v>1</v>
      </c>
    </row>
    <row r="28" spans="16:18" ht="15" customHeight="1" x14ac:dyDescent="0.3">
      <c r="P28" s="87"/>
      <c r="Q28" s="32" t="s">
        <v>164</v>
      </c>
      <c r="R28" s="32">
        <v>1</v>
      </c>
    </row>
    <row r="29" spans="16:18" ht="15" customHeight="1" x14ac:dyDescent="0.3">
      <c r="P29" s="85" t="s">
        <v>202</v>
      </c>
      <c r="Q29" s="28" t="s">
        <v>203</v>
      </c>
      <c r="R29" s="28">
        <v>1</v>
      </c>
    </row>
    <row r="30" spans="16:18" ht="16" customHeight="1" x14ac:dyDescent="0.3">
      <c r="P30" s="86"/>
      <c r="Q30" s="28" t="s">
        <v>166</v>
      </c>
      <c r="R30" s="28">
        <v>1</v>
      </c>
    </row>
    <row r="31" spans="16:18" ht="15" customHeight="1" x14ac:dyDescent="0.3">
      <c r="P31" s="86"/>
      <c r="Q31" s="28" t="s">
        <v>167</v>
      </c>
      <c r="R31" s="28">
        <v>1</v>
      </c>
    </row>
    <row r="32" spans="16:18" ht="15" customHeight="1" x14ac:dyDescent="0.3">
      <c r="P32" s="87"/>
      <c r="Q32" s="32" t="s">
        <v>168</v>
      </c>
      <c r="R32" s="32">
        <v>1</v>
      </c>
    </row>
    <row r="33" spans="2:30" ht="16" customHeight="1" thickBot="1" x14ac:dyDescent="0.35">
      <c r="P33" s="30" t="s">
        <v>204</v>
      </c>
      <c r="Q33" s="31" t="s">
        <v>170</v>
      </c>
      <c r="R33" s="31">
        <v>1</v>
      </c>
    </row>
    <row r="34" spans="2:30" ht="14.5" customHeight="1" thickTop="1" x14ac:dyDescent="0.3"/>
    <row r="40" spans="2:30" ht="14.5" customHeight="1" thickBot="1" x14ac:dyDescent="0.35"/>
    <row r="41" spans="2:30" ht="16" customHeight="1" thickTop="1" thickBot="1" x14ac:dyDescent="0.35">
      <c r="B41" s="82" t="s">
        <v>205</v>
      </c>
      <c r="C41" s="82" t="s">
        <v>206</v>
      </c>
      <c r="D41" s="83"/>
      <c r="E41" s="83"/>
      <c r="F41" s="82" t="s">
        <v>207</v>
      </c>
      <c r="H41" s="82" t="s">
        <v>205</v>
      </c>
      <c r="I41" s="82" t="s">
        <v>206</v>
      </c>
      <c r="J41" s="83"/>
      <c r="K41" s="83"/>
      <c r="L41" s="82" t="s">
        <v>207</v>
      </c>
      <c r="N41" s="82" t="s">
        <v>205</v>
      </c>
      <c r="O41" s="82" t="s">
        <v>206</v>
      </c>
      <c r="P41" s="83"/>
      <c r="Q41" s="83"/>
      <c r="R41" s="82" t="s">
        <v>207</v>
      </c>
      <c r="T41" s="82" t="s">
        <v>205</v>
      </c>
      <c r="U41" s="82" t="s">
        <v>206</v>
      </c>
      <c r="V41" s="83"/>
      <c r="W41" s="83"/>
      <c r="X41" s="82" t="s">
        <v>207</v>
      </c>
      <c r="Z41" s="82" t="s">
        <v>205</v>
      </c>
      <c r="AA41" s="82" t="s">
        <v>206</v>
      </c>
      <c r="AB41" s="83"/>
      <c r="AC41" s="83"/>
      <c r="AD41" s="82" t="s">
        <v>207</v>
      </c>
    </row>
    <row r="42" spans="2:30" ht="16" customHeight="1" thickBot="1" x14ac:dyDescent="0.35">
      <c r="B42" s="84"/>
      <c r="C42" s="2" t="s">
        <v>178</v>
      </c>
      <c r="D42" s="2" t="s">
        <v>186</v>
      </c>
      <c r="E42" s="2" t="s">
        <v>190</v>
      </c>
      <c r="F42" s="84"/>
      <c r="H42" s="84"/>
      <c r="I42" s="2" t="s">
        <v>178</v>
      </c>
      <c r="J42" s="2" t="s">
        <v>186</v>
      </c>
      <c r="K42" s="2" t="s">
        <v>190</v>
      </c>
      <c r="L42" s="84"/>
      <c r="N42" s="84"/>
      <c r="O42" s="2" t="s">
        <v>178</v>
      </c>
      <c r="P42" s="2" t="s">
        <v>186</v>
      </c>
      <c r="Q42" s="2" t="s">
        <v>190</v>
      </c>
      <c r="R42" s="84"/>
      <c r="T42" s="84"/>
      <c r="U42" s="2" t="s">
        <v>178</v>
      </c>
      <c r="V42" s="2" t="s">
        <v>186</v>
      </c>
      <c r="W42" s="2" t="s">
        <v>190</v>
      </c>
      <c r="X42" s="84"/>
      <c r="Z42" s="84"/>
      <c r="AA42" s="2" t="s">
        <v>178</v>
      </c>
      <c r="AB42" s="2" t="s">
        <v>186</v>
      </c>
      <c r="AC42" s="2" t="s">
        <v>190</v>
      </c>
      <c r="AD42" s="84"/>
    </row>
    <row r="43" spans="2:30" ht="15.5" customHeight="1" x14ac:dyDescent="0.3">
      <c r="B43" s="1">
        <v>2009400678</v>
      </c>
      <c r="C43" s="1">
        <v>0</v>
      </c>
      <c r="D43" s="1">
        <v>1</v>
      </c>
      <c r="E43" s="1">
        <v>0</v>
      </c>
      <c r="F43" s="3">
        <v>45481</v>
      </c>
      <c r="H43" s="1">
        <v>2009589930</v>
      </c>
      <c r="I43" s="1">
        <v>0</v>
      </c>
      <c r="J43" s="1">
        <v>0</v>
      </c>
      <c r="K43" s="1">
        <v>1</v>
      </c>
      <c r="L43" s="3">
        <v>45484</v>
      </c>
      <c r="N43" s="1">
        <v>2009568523</v>
      </c>
      <c r="O43" s="1">
        <v>1</v>
      </c>
      <c r="P43" s="1">
        <v>2</v>
      </c>
      <c r="Q43" s="1">
        <v>0</v>
      </c>
      <c r="R43" s="3">
        <v>45487</v>
      </c>
      <c r="T43" s="1">
        <v>2009718494</v>
      </c>
      <c r="U43" s="1">
        <v>2</v>
      </c>
      <c r="V43" s="1">
        <v>1</v>
      </c>
      <c r="W43" s="1">
        <v>0</v>
      </c>
      <c r="X43" s="3">
        <v>45490</v>
      </c>
      <c r="Z43" s="1">
        <v>2009726412</v>
      </c>
      <c r="AA43" s="1">
        <v>1</v>
      </c>
      <c r="AB43" s="1">
        <v>2</v>
      </c>
      <c r="AC43" s="1">
        <v>0</v>
      </c>
      <c r="AD43" s="3">
        <v>45498</v>
      </c>
    </row>
    <row r="44" spans="2:30" ht="15.5" customHeight="1" x14ac:dyDescent="0.3">
      <c r="B44" s="1">
        <v>2009514290</v>
      </c>
      <c r="C44" s="1">
        <v>1</v>
      </c>
      <c r="D44" s="1">
        <v>0</v>
      </c>
      <c r="E44" s="1">
        <v>0</v>
      </c>
      <c r="F44" s="3">
        <v>45481</v>
      </c>
      <c r="H44" s="1">
        <v>2009592774</v>
      </c>
      <c r="I44" s="1">
        <v>2</v>
      </c>
      <c r="J44" s="1">
        <v>1</v>
      </c>
      <c r="K44" s="1">
        <v>0</v>
      </c>
      <c r="L44" s="3">
        <v>45484</v>
      </c>
      <c r="N44" s="1">
        <v>2009568526</v>
      </c>
      <c r="O44" s="1">
        <v>0</v>
      </c>
      <c r="P44" s="1">
        <v>0</v>
      </c>
      <c r="Q44" s="1">
        <v>1</v>
      </c>
      <c r="R44" s="3">
        <v>45487</v>
      </c>
      <c r="T44" s="1">
        <v>2009718498</v>
      </c>
      <c r="U44" s="1">
        <v>0</v>
      </c>
      <c r="V44" s="1">
        <v>1</v>
      </c>
      <c r="W44" s="1">
        <v>1</v>
      </c>
      <c r="X44" s="3">
        <v>45490</v>
      </c>
      <c r="Z44" s="1">
        <v>2009726541</v>
      </c>
      <c r="AA44" s="1">
        <v>1</v>
      </c>
      <c r="AB44" s="1">
        <v>0</v>
      </c>
      <c r="AC44" s="1">
        <v>0</v>
      </c>
      <c r="AD44" s="3">
        <v>45499</v>
      </c>
    </row>
    <row r="45" spans="2:30" ht="16" customHeight="1" thickBot="1" x14ac:dyDescent="0.35">
      <c r="B45" s="4">
        <v>2009554726</v>
      </c>
      <c r="C45" s="4">
        <v>0</v>
      </c>
      <c r="D45" s="4">
        <v>0</v>
      </c>
      <c r="E45" s="4">
        <v>1</v>
      </c>
      <c r="F45" s="6">
        <v>45482</v>
      </c>
      <c r="H45" s="1">
        <v>2009755589</v>
      </c>
      <c r="I45" s="1">
        <v>0</v>
      </c>
      <c r="J45" s="1">
        <v>1</v>
      </c>
      <c r="K45" s="1">
        <v>0</v>
      </c>
      <c r="L45" s="3">
        <v>45485</v>
      </c>
      <c r="N45" s="1">
        <v>2009568527</v>
      </c>
      <c r="O45" s="1">
        <v>0</v>
      </c>
      <c r="P45" s="1">
        <v>0</v>
      </c>
      <c r="Q45" s="1">
        <v>1</v>
      </c>
      <c r="R45" s="3">
        <v>45488</v>
      </c>
      <c r="T45" s="1">
        <v>2009718514</v>
      </c>
      <c r="U45" s="1">
        <v>1</v>
      </c>
      <c r="V45" s="1">
        <v>1</v>
      </c>
      <c r="W45" s="1">
        <v>0</v>
      </c>
      <c r="X45" s="3">
        <v>45491</v>
      </c>
      <c r="Z45" s="1">
        <v>2009725456</v>
      </c>
      <c r="AA45" s="1">
        <v>0</v>
      </c>
      <c r="AB45" s="1">
        <v>3</v>
      </c>
      <c r="AC45" s="1">
        <v>0</v>
      </c>
      <c r="AD45" s="3">
        <v>45499</v>
      </c>
    </row>
    <row r="46" spans="2:30" ht="16.5" customHeight="1" thickTop="1" thickBot="1" x14ac:dyDescent="0.35">
      <c r="H46" s="4">
        <v>2009539585</v>
      </c>
      <c r="I46" s="4">
        <v>0</v>
      </c>
      <c r="J46" s="4">
        <v>0</v>
      </c>
      <c r="K46" s="4">
        <v>1</v>
      </c>
      <c r="L46" s="6">
        <v>45486</v>
      </c>
      <c r="N46" s="1">
        <v>2009539583</v>
      </c>
      <c r="O46" s="1">
        <v>0</v>
      </c>
      <c r="P46" s="1">
        <v>1</v>
      </c>
      <c r="Q46" s="1">
        <v>0</v>
      </c>
      <c r="R46" s="3">
        <v>45489</v>
      </c>
      <c r="T46" s="1">
        <v>2009718522</v>
      </c>
      <c r="U46" s="1">
        <v>1</v>
      </c>
      <c r="V46" s="1">
        <v>0</v>
      </c>
      <c r="W46" s="1">
        <v>0</v>
      </c>
      <c r="X46" s="3">
        <v>45491</v>
      </c>
      <c r="Z46" s="1">
        <v>2009725644</v>
      </c>
      <c r="AA46" s="1">
        <v>0</v>
      </c>
      <c r="AB46" s="1">
        <v>0</v>
      </c>
      <c r="AC46" s="1">
        <v>2</v>
      </c>
      <c r="AD46" s="3">
        <v>45499</v>
      </c>
    </row>
    <row r="47" spans="2:30" ht="16" customHeight="1" thickTop="1" x14ac:dyDescent="0.3">
      <c r="N47" s="1">
        <v>2009686959</v>
      </c>
      <c r="O47" s="1">
        <v>1</v>
      </c>
      <c r="P47" s="1">
        <v>0</v>
      </c>
      <c r="Q47" s="1">
        <v>0</v>
      </c>
      <c r="R47" s="3">
        <v>45490</v>
      </c>
      <c r="T47" s="1">
        <v>2009718531</v>
      </c>
      <c r="U47" s="1">
        <v>0</v>
      </c>
      <c r="V47" s="1">
        <v>1</v>
      </c>
      <c r="W47" s="1">
        <v>1</v>
      </c>
      <c r="X47" s="3">
        <v>45491</v>
      </c>
      <c r="Z47" s="1">
        <v>2009726545</v>
      </c>
      <c r="AA47" s="1">
        <v>2</v>
      </c>
      <c r="AB47" s="1">
        <v>1</v>
      </c>
      <c r="AC47" s="1">
        <v>0</v>
      </c>
      <c r="AD47" s="3">
        <v>45500</v>
      </c>
    </row>
    <row r="48" spans="2:30" ht="15.5" customHeight="1" x14ac:dyDescent="0.3">
      <c r="H48" s="1"/>
      <c r="I48" s="1"/>
      <c r="J48" s="1"/>
      <c r="K48" s="1"/>
      <c r="L48" s="3"/>
      <c r="N48" s="1">
        <v>2009755589</v>
      </c>
      <c r="O48" s="1">
        <v>1</v>
      </c>
      <c r="P48" s="1">
        <v>0</v>
      </c>
      <c r="Q48" s="1">
        <v>0</v>
      </c>
      <c r="R48" s="3">
        <v>45490</v>
      </c>
      <c r="T48" s="1">
        <v>2009718532</v>
      </c>
      <c r="U48" s="1">
        <v>0</v>
      </c>
      <c r="V48" s="1">
        <v>3</v>
      </c>
      <c r="W48" s="1">
        <v>0</v>
      </c>
      <c r="X48" s="3">
        <v>45493</v>
      </c>
      <c r="Z48" s="1">
        <v>2009726895</v>
      </c>
      <c r="AA48" s="1">
        <v>0</v>
      </c>
      <c r="AB48" s="1">
        <v>0</v>
      </c>
      <c r="AC48" s="1">
        <v>1</v>
      </c>
      <c r="AD48" s="3">
        <v>45501</v>
      </c>
    </row>
    <row r="49" spans="8:30" ht="16" customHeight="1" thickBot="1" x14ac:dyDescent="0.35">
      <c r="H49" s="1"/>
      <c r="I49" s="1"/>
      <c r="J49" s="1"/>
      <c r="K49" s="1"/>
      <c r="L49" s="3"/>
      <c r="N49" s="4">
        <v>2009718494</v>
      </c>
      <c r="O49" s="4">
        <v>0</v>
      </c>
      <c r="P49" s="4">
        <v>1</v>
      </c>
      <c r="Q49" s="4">
        <v>0</v>
      </c>
      <c r="R49" s="6">
        <v>45490</v>
      </c>
      <c r="T49" s="4">
        <v>2009718534</v>
      </c>
      <c r="U49" s="4">
        <v>1</v>
      </c>
      <c r="V49" s="4">
        <v>0</v>
      </c>
      <c r="W49" s="4">
        <v>1</v>
      </c>
      <c r="X49" s="6">
        <v>45494</v>
      </c>
      <c r="Z49" s="1">
        <v>2009727566</v>
      </c>
      <c r="AA49" s="1">
        <v>0</v>
      </c>
      <c r="AB49" s="1">
        <v>2</v>
      </c>
      <c r="AC49" s="1">
        <v>0</v>
      </c>
      <c r="AD49" s="3">
        <v>45501</v>
      </c>
    </row>
    <row r="50" spans="8:30" ht="16" customHeight="1" thickTop="1" x14ac:dyDescent="0.3">
      <c r="H50" s="1"/>
      <c r="I50" s="1"/>
      <c r="J50" s="1"/>
      <c r="K50" s="1"/>
      <c r="L50" s="3"/>
      <c r="Z50" s="1">
        <v>2009727438</v>
      </c>
      <c r="AA50" s="1">
        <v>0</v>
      </c>
      <c r="AB50" s="1">
        <v>0</v>
      </c>
      <c r="AC50" s="1">
        <v>1</v>
      </c>
      <c r="AD50" s="3">
        <v>45503</v>
      </c>
    </row>
    <row r="51" spans="8:30" ht="15.5" customHeight="1" x14ac:dyDescent="0.3">
      <c r="H51" s="1"/>
      <c r="I51" s="1"/>
      <c r="J51" s="1"/>
      <c r="K51" s="1"/>
      <c r="L51" s="3"/>
      <c r="Z51" s="1">
        <v>2009727651</v>
      </c>
      <c r="AA51" s="1">
        <v>1</v>
      </c>
      <c r="AB51" s="1">
        <v>1</v>
      </c>
      <c r="AC51" s="1">
        <v>0</v>
      </c>
      <c r="AD51" s="3">
        <v>45505</v>
      </c>
    </row>
    <row r="52" spans="8:30" ht="15.5" customHeight="1" x14ac:dyDescent="0.3">
      <c r="H52" s="1"/>
      <c r="I52" s="1"/>
      <c r="J52" s="1"/>
      <c r="K52" s="1"/>
      <c r="L52" s="3"/>
      <c r="Z52" s="1">
        <v>2009727956</v>
      </c>
      <c r="AA52" s="1">
        <v>1</v>
      </c>
      <c r="AB52" s="1">
        <v>0</v>
      </c>
      <c r="AC52" s="1">
        <v>0</v>
      </c>
      <c r="AD52" s="3">
        <v>45506</v>
      </c>
    </row>
    <row r="53" spans="8:30" ht="16" customHeight="1" thickBot="1" x14ac:dyDescent="0.35">
      <c r="Z53" s="4">
        <v>2009728123</v>
      </c>
      <c r="AA53" s="4">
        <v>1</v>
      </c>
      <c r="AB53" s="4">
        <v>0</v>
      </c>
      <c r="AC53" s="4">
        <v>1</v>
      </c>
      <c r="AD53" s="6">
        <v>45506</v>
      </c>
    </row>
    <row r="54" spans="8:30" ht="14.5" customHeight="1" thickTop="1" x14ac:dyDescent="0.3"/>
    <row r="56" spans="8:30" ht="15.5" customHeight="1" x14ac:dyDescent="0.3">
      <c r="U56" s="1"/>
    </row>
    <row r="57" spans="8:30" ht="15.5" customHeight="1" x14ac:dyDescent="0.3">
      <c r="U57" s="1"/>
    </row>
    <row r="58" spans="8:30" ht="15.5" customHeight="1" x14ac:dyDescent="0.3">
      <c r="U58" s="1"/>
    </row>
    <row r="59" spans="8:30" ht="15.5" customHeight="1" x14ac:dyDescent="0.3">
      <c r="U59" s="1"/>
    </row>
    <row r="60" spans="8:30" ht="15.5" customHeight="1" x14ac:dyDescent="0.3">
      <c r="U60" s="1"/>
    </row>
    <row r="61" spans="8:30" ht="15.5" customHeight="1" x14ac:dyDescent="0.3">
      <c r="U61" s="1"/>
    </row>
    <row r="62" spans="8:30" ht="15.5" customHeight="1" x14ac:dyDescent="0.3">
      <c r="U62" s="1"/>
    </row>
    <row r="67" ht="16" customHeight="1" x14ac:dyDescent="0.3"/>
  </sheetData>
  <mergeCells count="18">
    <mergeCell ref="AD41:AD42"/>
    <mergeCell ref="P29:P32"/>
    <mergeCell ref="B41:B42"/>
    <mergeCell ref="H41:H42"/>
    <mergeCell ref="F41:F42"/>
    <mergeCell ref="Z41:Z42"/>
    <mergeCell ref="P14:P21"/>
    <mergeCell ref="P22:P28"/>
    <mergeCell ref="O41:Q41"/>
    <mergeCell ref="U41:W41"/>
    <mergeCell ref="N41:N42"/>
    <mergeCell ref="L41:L42"/>
    <mergeCell ref="R41:R42"/>
    <mergeCell ref="I41:K41"/>
    <mergeCell ref="T41:T42"/>
    <mergeCell ref="AA41:AC41"/>
    <mergeCell ref="X41:X42"/>
    <mergeCell ref="C41:E4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7:AX501"/>
  <sheetViews>
    <sheetView zoomScale="85" zoomScaleNormal="85" workbookViewId="0">
      <selection activeCell="Y15" sqref="Y15"/>
    </sheetView>
  </sheetViews>
  <sheetFormatPr defaultRowHeight="14" x14ac:dyDescent="0.3"/>
  <cols>
    <col min="1" max="1" width="10.1640625" bestFit="1" customWidth="1"/>
    <col min="2" max="2" width="34.4140625" customWidth="1"/>
    <col min="3" max="3" width="6.25" customWidth="1"/>
    <col min="4" max="4" width="6.75" customWidth="1"/>
    <col min="5" max="5" width="16.1640625" customWidth="1"/>
    <col min="6" max="7" width="6.58203125" customWidth="1"/>
    <col min="8" max="8" width="19.25" customWidth="1"/>
    <col min="9" max="9" width="6.5" customWidth="1"/>
    <col min="10" max="10" width="6.33203125" customWidth="1"/>
    <col min="11" max="11" width="17.4140625" customWidth="1"/>
    <col min="12" max="12" width="5.4140625" customWidth="1"/>
    <col min="13" max="13" width="6.5" customWidth="1"/>
    <col min="15" max="15" width="10.9140625" customWidth="1"/>
  </cols>
  <sheetData>
    <row r="17" spans="1:50" ht="14.5" customHeight="1" thickBot="1" x14ac:dyDescent="0.35"/>
    <row r="18" spans="1:50" ht="14.5" customHeight="1" thickTop="1" x14ac:dyDescent="0.3">
      <c r="A18" s="95" t="s">
        <v>25</v>
      </c>
      <c r="B18" s="97" t="s">
        <v>208</v>
      </c>
      <c r="C18" s="91" t="s">
        <v>209</v>
      </c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96" t="s">
        <v>210</v>
      </c>
      <c r="O18" s="92"/>
      <c r="P18" s="92"/>
      <c r="Q18" s="92"/>
      <c r="R18" s="92"/>
      <c r="S18" s="93"/>
      <c r="T18" s="91" t="s">
        <v>211</v>
      </c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3"/>
    </row>
    <row r="19" spans="1:50" x14ac:dyDescent="0.3">
      <c r="A19" s="76"/>
      <c r="B19" s="63"/>
      <c r="C19" s="66"/>
      <c r="D19" s="86"/>
      <c r="E19" s="86"/>
      <c r="F19" s="86"/>
      <c r="G19" s="86"/>
      <c r="H19" s="86"/>
      <c r="I19" s="86"/>
      <c r="J19" s="86"/>
      <c r="K19" s="86"/>
      <c r="L19" s="86"/>
      <c r="M19" s="63"/>
      <c r="N19" s="86"/>
      <c r="O19" s="86"/>
      <c r="P19" s="86"/>
      <c r="Q19" s="86"/>
      <c r="R19" s="86"/>
      <c r="S19" s="63"/>
      <c r="T19" s="6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63"/>
    </row>
    <row r="20" spans="1:50" ht="14.5" customHeight="1" thickBot="1" x14ac:dyDescent="0.35">
      <c r="A20" s="81"/>
      <c r="B20" s="64"/>
      <c r="C20" s="67"/>
      <c r="D20" s="94"/>
      <c r="E20" s="94"/>
      <c r="F20" s="94"/>
      <c r="G20" s="94"/>
      <c r="H20" s="94"/>
      <c r="I20" s="94"/>
      <c r="J20" s="94"/>
      <c r="K20" s="94"/>
      <c r="L20" s="94"/>
      <c r="M20" s="64"/>
      <c r="N20" s="94"/>
      <c r="O20" s="94"/>
      <c r="P20" s="94"/>
      <c r="Q20" s="94"/>
      <c r="R20" s="94"/>
      <c r="S20" s="64"/>
      <c r="T20" s="67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64"/>
    </row>
    <row r="21" spans="1:50" ht="33" customHeight="1" thickTop="1" thickBot="1" x14ac:dyDescent="0.35">
      <c r="A21" s="90">
        <v>1</v>
      </c>
      <c r="B21" s="89" t="s">
        <v>212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7"/>
      <c r="N21" s="24"/>
      <c r="O21" s="24"/>
      <c r="P21" s="24"/>
      <c r="Q21" s="24"/>
      <c r="R21" s="24"/>
      <c r="S21" s="17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17"/>
    </row>
    <row r="22" spans="1:50" ht="26" customHeight="1" thickTop="1" thickBot="1" x14ac:dyDescent="0.35">
      <c r="A22" s="63"/>
      <c r="B22" s="76"/>
      <c r="C22" s="24"/>
      <c r="D22" s="27" t="s">
        <v>191</v>
      </c>
      <c r="E22" s="27" t="s">
        <v>192</v>
      </c>
      <c r="F22" s="27" t="s">
        <v>193</v>
      </c>
      <c r="G22" s="27" t="s">
        <v>191</v>
      </c>
      <c r="H22" s="27" t="s">
        <v>192</v>
      </c>
      <c r="I22" s="27" t="s">
        <v>193</v>
      </c>
      <c r="J22" s="27" t="s">
        <v>191</v>
      </c>
      <c r="K22" s="27" t="s">
        <v>192</v>
      </c>
      <c r="L22" s="27" t="s">
        <v>193</v>
      </c>
      <c r="M22" s="17"/>
      <c r="N22" s="24"/>
      <c r="O22" s="24"/>
      <c r="P22" s="24"/>
      <c r="Q22" s="24"/>
      <c r="R22" s="24"/>
      <c r="S22" s="17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17"/>
    </row>
    <row r="23" spans="1:50" ht="23.5" customHeight="1" thickTop="1" thickBot="1" x14ac:dyDescent="0.35">
      <c r="A23" s="63"/>
      <c r="B23" s="76"/>
      <c r="C23" s="33"/>
      <c r="D23" s="88" t="s">
        <v>194</v>
      </c>
      <c r="E23" s="36" t="s">
        <v>148</v>
      </c>
      <c r="F23" s="36">
        <v>3</v>
      </c>
      <c r="G23" s="85" t="s">
        <v>198</v>
      </c>
      <c r="H23" s="36" t="s">
        <v>158</v>
      </c>
      <c r="I23" s="36">
        <v>1</v>
      </c>
      <c r="J23" s="85" t="s">
        <v>202</v>
      </c>
      <c r="K23" s="36" t="s">
        <v>203</v>
      </c>
      <c r="L23" s="36">
        <v>1</v>
      </c>
      <c r="M23" s="18"/>
      <c r="N23" s="13"/>
      <c r="O23" s="34"/>
      <c r="P23" s="34"/>
      <c r="Q23" s="34"/>
      <c r="S23" s="14"/>
      <c r="T23" s="13"/>
      <c r="AX23" s="14"/>
    </row>
    <row r="24" spans="1:50" ht="16" customHeight="1" thickTop="1" thickBot="1" x14ac:dyDescent="0.35">
      <c r="A24" s="63"/>
      <c r="B24" s="76"/>
      <c r="C24" s="25"/>
      <c r="D24" s="86"/>
      <c r="E24" s="36" t="s">
        <v>195</v>
      </c>
      <c r="F24" s="36">
        <v>1</v>
      </c>
      <c r="G24" s="86"/>
      <c r="H24" s="36" t="s">
        <v>159</v>
      </c>
      <c r="I24" s="36">
        <v>1</v>
      </c>
      <c r="J24" s="86"/>
      <c r="K24" s="36" t="s">
        <v>166</v>
      </c>
      <c r="L24" s="36">
        <v>1</v>
      </c>
      <c r="M24" s="18"/>
      <c r="O24" s="82" t="s">
        <v>205</v>
      </c>
      <c r="P24" s="82" t="s">
        <v>206</v>
      </c>
      <c r="Q24" s="83"/>
      <c r="R24" s="83"/>
      <c r="S24" s="14"/>
      <c r="Z24" s="23" t="s">
        <v>194</v>
      </c>
      <c r="AK24" s="23" t="s">
        <v>198</v>
      </c>
      <c r="AT24" s="23" t="s">
        <v>202</v>
      </c>
      <c r="AX24" s="14"/>
    </row>
    <row r="25" spans="1:50" ht="25" customHeight="1" thickTop="1" thickBot="1" x14ac:dyDescent="0.35">
      <c r="A25" s="63"/>
      <c r="B25" s="76"/>
      <c r="C25" s="25"/>
      <c r="D25" s="86"/>
      <c r="E25" s="36" t="s">
        <v>196</v>
      </c>
      <c r="F25" s="36">
        <v>1</v>
      </c>
      <c r="G25" s="86"/>
      <c r="H25" s="36" t="s">
        <v>160</v>
      </c>
      <c r="I25" s="36">
        <v>1</v>
      </c>
      <c r="J25" s="86"/>
      <c r="K25" s="36" t="s">
        <v>167</v>
      </c>
      <c r="L25" s="36">
        <v>1</v>
      </c>
      <c r="M25" s="18"/>
      <c r="O25" s="84"/>
      <c r="P25" s="2" t="s">
        <v>178</v>
      </c>
      <c r="Q25" s="2" t="s">
        <v>186</v>
      </c>
      <c r="R25" s="2" t="s">
        <v>190</v>
      </c>
      <c r="S25" s="14"/>
      <c r="U25" s="7" t="s">
        <v>146</v>
      </c>
      <c r="V25" s="7" t="s">
        <v>147</v>
      </c>
      <c r="W25" s="7" t="s">
        <v>148</v>
      </c>
      <c r="X25" s="7" t="s">
        <v>149</v>
      </c>
      <c r="Y25" s="7" t="s">
        <v>150</v>
      </c>
      <c r="Z25" s="8" t="s">
        <v>151</v>
      </c>
      <c r="AA25" s="7" t="s">
        <v>152</v>
      </c>
      <c r="AB25" s="7" t="s">
        <v>153</v>
      </c>
      <c r="AC25" s="7" t="s">
        <v>154</v>
      </c>
      <c r="AD25" s="7" t="s">
        <v>155</v>
      </c>
      <c r="AE25" s="8" t="s">
        <v>156</v>
      </c>
      <c r="AF25" s="7" t="s">
        <v>157</v>
      </c>
      <c r="AH25" s="7" t="s">
        <v>146</v>
      </c>
      <c r="AI25" s="7" t="s">
        <v>147</v>
      </c>
      <c r="AJ25" s="7" t="s">
        <v>158</v>
      </c>
      <c r="AK25" s="7" t="s">
        <v>159</v>
      </c>
      <c r="AL25" s="7" t="s">
        <v>160</v>
      </c>
      <c r="AM25" s="7" t="s">
        <v>161</v>
      </c>
      <c r="AN25" s="7" t="s">
        <v>162</v>
      </c>
      <c r="AO25" s="7" t="s">
        <v>163</v>
      </c>
      <c r="AP25" s="7" t="s">
        <v>164</v>
      </c>
      <c r="AR25" s="7" t="s">
        <v>146</v>
      </c>
      <c r="AS25" s="7" t="s">
        <v>147</v>
      </c>
      <c r="AT25" s="7" t="s">
        <v>165</v>
      </c>
      <c r="AU25" s="7" t="s">
        <v>166</v>
      </c>
      <c r="AV25" s="7" t="s">
        <v>167</v>
      </c>
      <c r="AW25" s="7" t="s">
        <v>168</v>
      </c>
      <c r="AX25" s="14"/>
    </row>
    <row r="26" spans="1:50" ht="23" customHeight="1" thickBot="1" x14ac:dyDescent="0.35">
      <c r="A26" s="63"/>
      <c r="B26" s="76"/>
      <c r="C26" s="25"/>
      <c r="D26" s="86"/>
      <c r="E26" s="1" t="s">
        <v>151</v>
      </c>
      <c r="F26" s="36">
        <v>1</v>
      </c>
      <c r="G26" s="86"/>
      <c r="H26" s="36" t="s">
        <v>199</v>
      </c>
      <c r="I26" s="36">
        <v>1</v>
      </c>
      <c r="J26" s="87"/>
      <c r="K26" s="38" t="s">
        <v>168</v>
      </c>
      <c r="L26" s="38">
        <v>1</v>
      </c>
      <c r="M26" s="18"/>
      <c r="O26" s="1">
        <v>1</v>
      </c>
      <c r="P26" s="1">
        <v>1</v>
      </c>
      <c r="Q26" s="1">
        <v>0</v>
      </c>
      <c r="R26" s="1">
        <v>0</v>
      </c>
      <c r="S26" s="14"/>
      <c r="U26" s="9" t="s">
        <v>171</v>
      </c>
      <c r="V26" s="10" t="s">
        <v>172</v>
      </c>
      <c r="W26" s="9">
        <v>7.89</v>
      </c>
      <c r="X26" s="9">
        <v>0.68</v>
      </c>
      <c r="Y26" s="9">
        <v>1.1200000000000001</v>
      </c>
      <c r="Z26" s="9">
        <v>0.62</v>
      </c>
      <c r="AA26" s="9">
        <v>2.5</v>
      </c>
      <c r="AB26" s="9">
        <v>0.83</v>
      </c>
      <c r="AC26" s="9">
        <v>0.95</v>
      </c>
      <c r="AD26" s="9">
        <v>1</v>
      </c>
      <c r="AE26" s="9">
        <v>1.25</v>
      </c>
      <c r="AF26" s="9">
        <v>1.5</v>
      </c>
      <c r="AH26" s="9" t="s">
        <v>173</v>
      </c>
      <c r="AI26" s="10" t="s">
        <v>174</v>
      </c>
      <c r="AJ26" s="9">
        <v>6.32</v>
      </c>
      <c r="AK26" s="9">
        <v>6.75</v>
      </c>
      <c r="AL26" s="9">
        <v>3</v>
      </c>
      <c r="AM26" s="9">
        <v>6.89</v>
      </c>
      <c r="AN26" s="9">
        <v>1.75</v>
      </c>
      <c r="AO26" s="9">
        <v>7.23</v>
      </c>
      <c r="AP26" s="9">
        <v>5.36</v>
      </c>
      <c r="AR26" s="9" t="s">
        <v>175</v>
      </c>
      <c r="AS26" s="10" t="s">
        <v>176</v>
      </c>
      <c r="AT26" s="9">
        <v>2.75</v>
      </c>
      <c r="AU26" s="9">
        <v>1.1200000000000001</v>
      </c>
      <c r="AV26" s="9">
        <v>2.35</v>
      </c>
      <c r="AW26" s="9">
        <v>2</v>
      </c>
      <c r="AX26" s="14"/>
    </row>
    <row r="27" spans="1:50" ht="23.5" customHeight="1" thickTop="1" thickBot="1" x14ac:dyDescent="0.35">
      <c r="A27" s="63"/>
      <c r="B27" s="76"/>
      <c r="C27" s="25"/>
      <c r="D27" s="86"/>
      <c r="E27" s="36" t="s">
        <v>152</v>
      </c>
      <c r="F27" s="36">
        <v>1</v>
      </c>
      <c r="G27" s="86"/>
      <c r="H27" s="36" t="s">
        <v>200</v>
      </c>
      <c r="I27" s="36">
        <v>1</v>
      </c>
      <c r="J27" s="39"/>
      <c r="K27" s="39"/>
      <c r="L27" s="39"/>
      <c r="M27" s="18"/>
      <c r="O27" s="1">
        <v>2</v>
      </c>
      <c r="P27" s="1">
        <v>0</v>
      </c>
      <c r="Q27" s="1">
        <v>1</v>
      </c>
      <c r="R27" s="1">
        <v>0</v>
      </c>
      <c r="S27" s="14"/>
      <c r="U27" s="9" t="s">
        <v>179</v>
      </c>
      <c r="V27" s="10" t="s">
        <v>180</v>
      </c>
      <c r="W27" s="9">
        <v>8.56</v>
      </c>
      <c r="X27" s="9">
        <v>0.75</v>
      </c>
      <c r="Y27" s="9">
        <v>1.03</v>
      </c>
      <c r="Z27" s="9">
        <v>0.75</v>
      </c>
      <c r="AA27" s="9">
        <v>2.5</v>
      </c>
      <c r="AB27" s="9">
        <v>0.8</v>
      </c>
      <c r="AC27" s="9">
        <v>1</v>
      </c>
      <c r="AD27" s="9">
        <v>1</v>
      </c>
      <c r="AE27" s="9">
        <v>1.3</v>
      </c>
      <c r="AF27" s="9">
        <v>1.5</v>
      </c>
      <c r="AH27" s="11" t="s">
        <v>181</v>
      </c>
      <c r="AI27" s="12" t="s">
        <v>182</v>
      </c>
      <c r="AJ27" s="11">
        <v>6.87</v>
      </c>
      <c r="AK27" s="11">
        <v>7.32</v>
      </c>
      <c r="AL27" s="11">
        <v>3</v>
      </c>
      <c r="AM27" s="11">
        <v>7.54</v>
      </c>
      <c r="AN27" s="11">
        <v>2.23</v>
      </c>
      <c r="AO27" s="11">
        <v>8.56</v>
      </c>
      <c r="AP27" s="11">
        <v>5.89</v>
      </c>
      <c r="AR27" s="11" t="s">
        <v>183</v>
      </c>
      <c r="AS27" s="12" t="s">
        <v>184</v>
      </c>
      <c r="AT27" s="11">
        <v>3.23</v>
      </c>
      <c r="AU27" s="11">
        <v>1.05</v>
      </c>
      <c r="AV27" s="11">
        <v>2.78</v>
      </c>
      <c r="AW27" s="11">
        <v>2</v>
      </c>
      <c r="AX27" s="14"/>
    </row>
    <row r="28" spans="1:50" ht="23" customHeight="1" thickTop="1" thickBot="1" x14ac:dyDescent="0.35">
      <c r="A28" s="63"/>
      <c r="B28" s="76"/>
      <c r="C28" s="25"/>
      <c r="D28" s="86"/>
      <c r="E28" s="36" t="s">
        <v>153</v>
      </c>
      <c r="F28" s="36">
        <v>1</v>
      </c>
      <c r="G28" s="86"/>
      <c r="H28" s="36" t="s">
        <v>201</v>
      </c>
      <c r="I28" s="36">
        <v>1</v>
      </c>
      <c r="J28" s="25"/>
      <c r="K28" s="25"/>
      <c r="L28" s="25"/>
      <c r="M28" s="18"/>
      <c r="O28" s="4">
        <v>3</v>
      </c>
      <c r="P28" s="4">
        <v>0</v>
      </c>
      <c r="Q28" s="4">
        <v>1</v>
      </c>
      <c r="R28" s="4">
        <v>1</v>
      </c>
      <c r="S28" s="14"/>
      <c r="U28" s="11" t="s">
        <v>187</v>
      </c>
      <c r="V28" s="12" t="s">
        <v>188</v>
      </c>
      <c r="W28" s="11">
        <v>9.02</v>
      </c>
      <c r="X28" s="11">
        <v>0.9</v>
      </c>
      <c r="Y28" s="11">
        <v>1.25</v>
      </c>
      <c r="Z28" s="11">
        <v>0.56999999999999995</v>
      </c>
      <c r="AA28" s="11">
        <v>2.85</v>
      </c>
      <c r="AB28" s="11">
        <v>0.89</v>
      </c>
      <c r="AC28" s="11">
        <v>1</v>
      </c>
      <c r="AD28" s="11">
        <v>1.1499999999999999</v>
      </c>
      <c r="AE28" s="11">
        <v>1.4</v>
      </c>
      <c r="AF28" s="11">
        <v>2.2999999999999998</v>
      </c>
      <c r="AX28" s="14"/>
    </row>
    <row r="29" spans="1:50" ht="23" customHeight="1" thickTop="1" thickBot="1" x14ac:dyDescent="0.35">
      <c r="A29" s="63"/>
      <c r="B29" s="76"/>
      <c r="C29" s="25"/>
      <c r="D29" s="86"/>
      <c r="E29" s="1" t="s">
        <v>156</v>
      </c>
      <c r="F29" s="36">
        <v>1</v>
      </c>
      <c r="G29" s="87"/>
      <c r="H29" s="38" t="s">
        <v>164</v>
      </c>
      <c r="I29" s="38">
        <v>1</v>
      </c>
      <c r="J29" s="36"/>
      <c r="K29" s="25"/>
      <c r="L29" s="25"/>
      <c r="M29" s="18"/>
      <c r="O29" s="1"/>
      <c r="P29" s="1"/>
      <c r="Q29" s="1"/>
      <c r="R29" s="1"/>
      <c r="S29" s="14"/>
      <c r="U29" s="9"/>
      <c r="V29" s="10"/>
      <c r="W29" s="9"/>
      <c r="X29" s="9"/>
      <c r="Y29" s="9"/>
      <c r="Z29" s="9"/>
      <c r="AA29" s="9"/>
      <c r="AB29" s="9"/>
      <c r="AC29" s="9"/>
      <c r="AD29" s="9"/>
      <c r="AE29" s="9"/>
      <c r="AF29" s="9"/>
      <c r="AX29" s="14"/>
    </row>
    <row r="30" spans="1:50" ht="23" customHeight="1" thickTop="1" thickBot="1" x14ac:dyDescent="0.35">
      <c r="A30" s="63"/>
      <c r="B30" s="76"/>
      <c r="C30" s="25"/>
      <c r="D30" s="87"/>
      <c r="E30" s="38" t="s">
        <v>197</v>
      </c>
      <c r="F30" s="38">
        <v>1</v>
      </c>
      <c r="G30" s="39"/>
      <c r="H30" s="39"/>
      <c r="I30" s="39"/>
      <c r="J30" s="36"/>
      <c r="K30" s="36"/>
      <c r="L30" s="25"/>
      <c r="M30" s="18"/>
      <c r="O30" s="1"/>
      <c r="P30" s="1"/>
      <c r="Q30" s="1"/>
      <c r="R30" s="1"/>
      <c r="S30" s="14"/>
      <c r="U30" s="9"/>
      <c r="V30" s="10"/>
      <c r="W30" s="9"/>
      <c r="X30" s="9"/>
      <c r="Y30" s="9"/>
      <c r="Z30" s="9"/>
      <c r="AA30" s="9"/>
      <c r="AB30" s="9"/>
      <c r="AC30" s="9"/>
      <c r="AD30" s="9"/>
      <c r="AE30" s="9"/>
      <c r="AF30" s="9"/>
      <c r="AX30" s="14"/>
    </row>
    <row r="31" spans="1:50" ht="22.5" customHeight="1" thickTop="1" x14ac:dyDescent="0.3">
      <c r="A31" s="63"/>
      <c r="B31" s="76"/>
      <c r="C31" s="25"/>
      <c r="D31" s="39"/>
      <c r="E31" s="39"/>
      <c r="F31" s="39"/>
      <c r="G31" s="25"/>
      <c r="H31" s="25"/>
      <c r="I31" s="25"/>
      <c r="J31" s="25"/>
      <c r="K31" s="25"/>
      <c r="L31" s="25"/>
      <c r="M31" s="18"/>
      <c r="O31" s="1"/>
      <c r="P31" s="1"/>
      <c r="Q31" s="1"/>
      <c r="R31" s="1"/>
      <c r="S31" s="14"/>
      <c r="AX31" s="14"/>
    </row>
    <row r="32" spans="1:50" ht="23" customHeight="1" thickBot="1" x14ac:dyDescent="0.35">
      <c r="A32" s="63"/>
      <c r="B32" s="81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19"/>
      <c r="N32" s="15"/>
      <c r="O32" s="15"/>
      <c r="P32" s="15"/>
      <c r="Q32" s="15"/>
      <c r="R32" s="15"/>
      <c r="S32" s="1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6"/>
    </row>
    <row r="33" spans="1:50" ht="33" customHeight="1" thickTop="1" thickBot="1" x14ac:dyDescent="0.35">
      <c r="A33" s="63"/>
      <c r="B33" s="89" t="s">
        <v>213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7"/>
      <c r="N33" s="24"/>
      <c r="O33" s="24"/>
      <c r="P33" s="24"/>
      <c r="Q33" s="24"/>
      <c r="R33" s="24"/>
      <c r="S33" s="17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17"/>
    </row>
    <row r="34" spans="1:50" ht="26" customHeight="1" thickTop="1" thickBot="1" x14ac:dyDescent="0.35">
      <c r="A34" s="63"/>
      <c r="B34" s="76"/>
      <c r="C34" s="24"/>
      <c r="D34" s="27" t="s">
        <v>191</v>
      </c>
      <c r="E34" s="27" t="s">
        <v>192</v>
      </c>
      <c r="F34" s="27" t="s">
        <v>193</v>
      </c>
      <c r="G34" s="27" t="s">
        <v>191</v>
      </c>
      <c r="H34" s="27" t="s">
        <v>192</v>
      </c>
      <c r="I34" s="27" t="s">
        <v>193</v>
      </c>
      <c r="J34" s="27" t="s">
        <v>191</v>
      </c>
      <c r="K34" s="27" t="s">
        <v>192</v>
      </c>
      <c r="L34" s="27" t="s">
        <v>193</v>
      </c>
      <c r="M34" s="17"/>
      <c r="N34" s="24"/>
      <c r="O34" s="24"/>
      <c r="P34" s="24"/>
      <c r="Q34" s="24"/>
      <c r="R34" s="24"/>
      <c r="S34" s="17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17"/>
    </row>
    <row r="35" spans="1:50" ht="23.5" customHeight="1" thickTop="1" thickBot="1" x14ac:dyDescent="0.35">
      <c r="A35" s="63"/>
      <c r="B35" s="76"/>
      <c r="C35" s="33"/>
      <c r="D35" s="88" t="s">
        <v>194</v>
      </c>
      <c r="E35" s="36" t="s">
        <v>148</v>
      </c>
      <c r="F35" s="36">
        <v>3</v>
      </c>
      <c r="G35" s="85" t="s">
        <v>198</v>
      </c>
      <c r="H35" s="36" t="s">
        <v>158</v>
      </c>
      <c r="I35" s="36">
        <v>1</v>
      </c>
      <c r="J35" s="85" t="s">
        <v>202</v>
      </c>
      <c r="K35" s="36" t="s">
        <v>203</v>
      </c>
      <c r="L35" s="36">
        <v>1</v>
      </c>
      <c r="M35" s="18"/>
      <c r="N35" s="13"/>
      <c r="O35" s="34"/>
      <c r="P35" s="34"/>
      <c r="Q35" s="34"/>
      <c r="S35" s="14"/>
      <c r="T35" s="13"/>
      <c r="AX35" s="14"/>
    </row>
    <row r="36" spans="1:50" ht="16" customHeight="1" thickTop="1" thickBot="1" x14ac:dyDescent="0.35">
      <c r="A36" s="63"/>
      <c r="B36" s="76"/>
      <c r="C36" s="25"/>
      <c r="D36" s="86"/>
      <c r="E36" s="36" t="s">
        <v>195</v>
      </c>
      <c r="F36" s="36">
        <v>1</v>
      </c>
      <c r="G36" s="86"/>
      <c r="H36" s="36" t="s">
        <v>159</v>
      </c>
      <c r="I36" s="36">
        <v>1</v>
      </c>
      <c r="J36" s="86"/>
      <c r="K36" s="36" t="s">
        <v>166</v>
      </c>
      <c r="L36" s="36">
        <v>1</v>
      </c>
      <c r="M36" s="18"/>
      <c r="O36" s="82" t="s">
        <v>205</v>
      </c>
      <c r="P36" s="82" t="s">
        <v>206</v>
      </c>
      <c r="Q36" s="83"/>
      <c r="R36" s="83"/>
      <c r="S36" s="14"/>
      <c r="Z36" s="23" t="s">
        <v>194</v>
      </c>
      <c r="AK36" s="23" t="s">
        <v>198</v>
      </c>
      <c r="AT36" s="23" t="s">
        <v>202</v>
      </c>
      <c r="AX36" s="14"/>
    </row>
    <row r="37" spans="1:50" ht="25" customHeight="1" thickTop="1" thickBot="1" x14ac:dyDescent="0.35">
      <c r="A37" s="63"/>
      <c r="B37" s="76"/>
      <c r="C37" s="25"/>
      <c r="D37" s="86"/>
      <c r="E37" s="36" t="s">
        <v>196</v>
      </c>
      <c r="F37" s="36">
        <v>1</v>
      </c>
      <c r="G37" s="86"/>
      <c r="H37" s="36" t="s">
        <v>159</v>
      </c>
      <c r="I37" s="36">
        <v>1</v>
      </c>
      <c r="J37" s="86"/>
      <c r="K37" s="36" t="s">
        <v>167</v>
      </c>
      <c r="L37" s="36">
        <v>1</v>
      </c>
      <c r="M37" s="18"/>
      <c r="O37" s="84"/>
      <c r="P37" s="2" t="s">
        <v>178</v>
      </c>
      <c r="Q37" s="2" t="s">
        <v>186</v>
      </c>
      <c r="R37" s="2" t="s">
        <v>190</v>
      </c>
      <c r="S37" s="14"/>
      <c r="U37" s="7" t="s">
        <v>146</v>
      </c>
      <c r="V37" s="7" t="s">
        <v>147</v>
      </c>
      <c r="W37" s="7" t="s">
        <v>148</v>
      </c>
      <c r="X37" s="7" t="s">
        <v>149</v>
      </c>
      <c r="Y37" s="7" t="s">
        <v>150</v>
      </c>
      <c r="Z37" s="8" t="s">
        <v>151</v>
      </c>
      <c r="AA37" s="7" t="s">
        <v>152</v>
      </c>
      <c r="AB37" s="7" t="s">
        <v>153</v>
      </c>
      <c r="AC37" s="7" t="s">
        <v>154</v>
      </c>
      <c r="AD37" s="7" t="s">
        <v>155</v>
      </c>
      <c r="AE37" s="8" t="s">
        <v>156</v>
      </c>
      <c r="AF37" s="7" t="s">
        <v>157</v>
      </c>
      <c r="AH37" s="7" t="s">
        <v>146</v>
      </c>
      <c r="AI37" s="7" t="s">
        <v>147</v>
      </c>
      <c r="AJ37" s="7" t="s">
        <v>158</v>
      </c>
      <c r="AK37" s="7" t="s">
        <v>159</v>
      </c>
      <c r="AL37" s="7" t="s">
        <v>160</v>
      </c>
      <c r="AM37" s="7" t="s">
        <v>161</v>
      </c>
      <c r="AN37" s="7" t="s">
        <v>162</v>
      </c>
      <c r="AO37" s="7" t="s">
        <v>163</v>
      </c>
      <c r="AP37" s="7" t="s">
        <v>164</v>
      </c>
      <c r="AR37" s="7" t="s">
        <v>146</v>
      </c>
      <c r="AS37" s="7" t="s">
        <v>147</v>
      </c>
      <c r="AT37" s="7" t="s">
        <v>165</v>
      </c>
      <c r="AU37" s="7" t="s">
        <v>166</v>
      </c>
      <c r="AV37" s="7" t="s">
        <v>167</v>
      </c>
      <c r="AW37" s="7" t="s">
        <v>168</v>
      </c>
      <c r="AX37" s="14"/>
    </row>
    <row r="38" spans="1:50" ht="23" customHeight="1" thickBot="1" x14ac:dyDescent="0.35">
      <c r="A38" s="63"/>
      <c r="B38" s="76"/>
      <c r="C38" s="25"/>
      <c r="D38" s="86"/>
      <c r="E38" s="1" t="s">
        <v>151</v>
      </c>
      <c r="F38" s="36">
        <v>1</v>
      </c>
      <c r="G38" s="86"/>
      <c r="H38" s="36" t="s">
        <v>199</v>
      </c>
      <c r="I38" s="36">
        <v>1</v>
      </c>
      <c r="J38" s="87"/>
      <c r="K38" s="38" t="s">
        <v>168</v>
      </c>
      <c r="L38" s="38">
        <v>1</v>
      </c>
      <c r="M38" s="18"/>
      <c r="O38" s="1">
        <v>1</v>
      </c>
      <c r="P38" s="1">
        <v>1</v>
      </c>
      <c r="Q38" s="1">
        <v>2</v>
      </c>
      <c r="R38" s="1">
        <v>0</v>
      </c>
      <c r="S38" s="14"/>
      <c r="U38" s="9" t="s">
        <v>171</v>
      </c>
      <c r="V38" s="10" t="s">
        <v>172</v>
      </c>
      <c r="W38" s="9">
        <v>7.56</v>
      </c>
      <c r="X38" s="9">
        <v>0.72</v>
      </c>
      <c r="Y38" s="9">
        <v>1.1000000000000001</v>
      </c>
      <c r="Z38" s="9">
        <v>0.63</v>
      </c>
      <c r="AA38" s="9">
        <v>2.67</v>
      </c>
      <c r="AB38" s="9">
        <v>0.84</v>
      </c>
      <c r="AC38" s="9">
        <v>0.93</v>
      </c>
      <c r="AD38" s="9">
        <v>1.1200000000000001</v>
      </c>
      <c r="AE38" s="9">
        <v>1.25</v>
      </c>
      <c r="AF38" s="9">
        <v>1.89</v>
      </c>
      <c r="AH38" s="9" t="s">
        <v>173</v>
      </c>
      <c r="AI38" s="10" t="s">
        <v>174</v>
      </c>
      <c r="AJ38" s="9">
        <v>6.09</v>
      </c>
      <c r="AK38" s="9">
        <v>6.5</v>
      </c>
      <c r="AL38" s="9">
        <v>3</v>
      </c>
      <c r="AM38" s="9">
        <v>6.05</v>
      </c>
      <c r="AN38" s="9">
        <v>1.5</v>
      </c>
      <c r="AO38" s="9">
        <v>7.02</v>
      </c>
      <c r="AP38" s="9">
        <v>5</v>
      </c>
      <c r="AR38" s="9" t="s">
        <v>175</v>
      </c>
      <c r="AS38" s="10" t="s">
        <v>176</v>
      </c>
      <c r="AT38" s="9">
        <v>2.56</v>
      </c>
      <c r="AU38" s="9">
        <v>1.2</v>
      </c>
      <c r="AV38" s="9">
        <v>2.1</v>
      </c>
      <c r="AW38" s="9">
        <v>2</v>
      </c>
      <c r="AX38" s="14"/>
    </row>
    <row r="39" spans="1:50" ht="23.5" customHeight="1" thickTop="1" thickBot="1" x14ac:dyDescent="0.35">
      <c r="A39" s="63"/>
      <c r="B39" s="76"/>
      <c r="C39" s="25"/>
      <c r="D39" s="86"/>
      <c r="E39" s="36" t="s">
        <v>152</v>
      </c>
      <c r="F39" s="36">
        <v>1</v>
      </c>
      <c r="G39" s="86"/>
      <c r="H39" s="36" t="s">
        <v>200</v>
      </c>
      <c r="I39" s="36">
        <v>1</v>
      </c>
      <c r="J39" s="39"/>
      <c r="K39" s="39"/>
      <c r="L39" s="39"/>
      <c r="M39" s="18"/>
      <c r="O39" s="1">
        <v>2</v>
      </c>
      <c r="P39" s="1">
        <v>1</v>
      </c>
      <c r="Q39" s="1">
        <v>0</v>
      </c>
      <c r="R39" s="1">
        <v>0</v>
      </c>
      <c r="S39" s="14"/>
      <c r="U39" s="9" t="s">
        <v>179</v>
      </c>
      <c r="V39" s="10" t="s">
        <v>180</v>
      </c>
      <c r="W39" s="9">
        <v>8.32</v>
      </c>
      <c r="X39" s="9">
        <v>0.68</v>
      </c>
      <c r="Y39" s="9">
        <v>1.05</v>
      </c>
      <c r="Z39" s="9">
        <v>0.75</v>
      </c>
      <c r="AA39" s="9">
        <v>2.5</v>
      </c>
      <c r="AB39" s="9">
        <v>0.81</v>
      </c>
      <c r="AC39" s="9">
        <v>0.98</v>
      </c>
      <c r="AD39" s="9">
        <v>1</v>
      </c>
      <c r="AE39" s="9">
        <v>1.3</v>
      </c>
      <c r="AF39" s="9">
        <v>2.1</v>
      </c>
      <c r="AH39" s="11" t="s">
        <v>181</v>
      </c>
      <c r="AI39" s="12" t="s">
        <v>182</v>
      </c>
      <c r="AJ39" s="11">
        <v>6.95</v>
      </c>
      <c r="AK39" s="11">
        <v>7.45</v>
      </c>
      <c r="AL39" s="11">
        <v>3</v>
      </c>
      <c r="AM39" s="11">
        <v>7.98</v>
      </c>
      <c r="AN39" s="11">
        <v>2.4500000000000002</v>
      </c>
      <c r="AO39" s="11">
        <v>8.99</v>
      </c>
      <c r="AP39" s="11">
        <v>5.99</v>
      </c>
      <c r="AR39" s="11" t="s">
        <v>183</v>
      </c>
      <c r="AS39" s="12" t="s">
        <v>184</v>
      </c>
      <c r="AT39" s="11">
        <v>3.45</v>
      </c>
      <c r="AU39" s="11">
        <v>1.02</v>
      </c>
      <c r="AV39" s="11">
        <v>2.9</v>
      </c>
      <c r="AW39" s="11">
        <v>2</v>
      </c>
      <c r="AX39" s="14"/>
    </row>
    <row r="40" spans="1:50" ht="23" customHeight="1" thickTop="1" thickBot="1" x14ac:dyDescent="0.35">
      <c r="A40" s="63"/>
      <c r="B40" s="76"/>
      <c r="C40" s="25"/>
      <c r="D40" s="86"/>
      <c r="E40" s="36" t="s">
        <v>153</v>
      </c>
      <c r="F40" s="36">
        <v>1</v>
      </c>
      <c r="G40" s="86"/>
      <c r="H40" s="36" t="s">
        <v>201</v>
      </c>
      <c r="I40" s="36">
        <v>1</v>
      </c>
      <c r="J40" s="25"/>
      <c r="K40" s="25"/>
      <c r="L40" s="25"/>
      <c r="M40" s="18"/>
      <c r="O40" s="4">
        <v>3</v>
      </c>
      <c r="P40" s="4">
        <v>0</v>
      </c>
      <c r="Q40" s="4">
        <v>0</v>
      </c>
      <c r="R40" s="4">
        <v>1</v>
      </c>
      <c r="S40" s="14"/>
      <c r="U40" s="11" t="s">
        <v>187</v>
      </c>
      <c r="V40" s="12" t="s">
        <v>188</v>
      </c>
      <c r="W40" s="11">
        <v>9.15</v>
      </c>
      <c r="X40" s="11">
        <v>0.85</v>
      </c>
      <c r="Y40" s="11">
        <v>1.25</v>
      </c>
      <c r="Z40" s="11">
        <v>0.57999999999999996</v>
      </c>
      <c r="AA40" s="11">
        <v>2.92</v>
      </c>
      <c r="AB40" s="11">
        <v>0.88</v>
      </c>
      <c r="AC40" s="11">
        <v>1</v>
      </c>
      <c r="AD40" s="11">
        <v>1.2</v>
      </c>
      <c r="AE40" s="11">
        <v>1.4</v>
      </c>
      <c r="AF40" s="11">
        <v>2.4500000000000002</v>
      </c>
      <c r="AX40" s="14"/>
    </row>
    <row r="41" spans="1:50" ht="23" customHeight="1" thickTop="1" thickBot="1" x14ac:dyDescent="0.35">
      <c r="A41" s="63"/>
      <c r="B41" s="76"/>
      <c r="C41" s="25"/>
      <c r="D41" s="86"/>
      <c r="E41" s="1" t="s">
        <v>156</v>
      </c>
      <c r="F41" s="36">
        <v>1</v>
      </c>
      <c r="G41" s="87"/>
      <c r="H41" s="38" t="s">
        <v>164</v>
      </c>
      <c r="I41" s="38">
        <v>1</v>
      </c>
      <c r="J41" s="36"/>
      <c r="K41" s="25"/>
      <c r="L41" s="25"/>
      <c r="M41" s="18"/>
      <c r="O41" s="1"/>
      <c r="P41" s="1"/>
      <c r="Q41" s="1"/>
      <c r="R41" s="1"/>
      <c r="S41" s="14"/>
      <c r="U41" s="9"/>
      <c r="V41" s="10"/>
      <c r="W41" s="9"/>
      <c r="X41" s="9"/>
      <c r="Y41" s="9"/>
      <c r="Z41" s="9"/>
      <c r="AA41" s="9"/>
      <c r="AB41" s="9"/>
      <c r="AC41" s="9"/>
      <c r="AD41" s="9"/>
      <c r="AE41" s="9"/>
      <c r="AF41" s="9"/>
      <c r="AX41" s="14"/>
    </row>
    <row r="42" spans="1:50" ht="23" customHeight="1" thickTop="1" thickBot="1" x14ac:dyDescent="0.35">
      <c r="A42" s="63"/>
      <c r="B42" s="76"/>
      <c r="C42" s="25"/>
      <c r="D42" s="87"/>
      <c r="E42" s="38" t="s">
        <v>197</v>
      </c>
      <c r="F42" s="38">
        <v>1</v>
      </c>
      <c r="G42" s="39"/>
      <c r="H42" s="39"/>
      <c r="I42" s="39"/>
      <c r="J42" s="36"/>
      <c r="K42" s="36"/>
      <c r="L42" s="25"/>
      <c r="M42" s="18"/>
      <c r="O42" s="1"/>
      <c r="P42" s="1"/>
      <c r="Q42" s="1"/>
      <c r="R42" s="1"/>
      <c r="S42" s="14"/>
      <c r="U42" s="9"/>
      <c r="V42" s="10"/>
      <c r="W42" s="9"/>
      <c r="X42" s="9"/>
      <c r="Y42" s="9"/>
      <c r="Z42" s="9"/>
      <c r="AA42" s="9"/>
      <c r="AB42" s="9"/>
      <c r="AC42" s="9"/>
      <c r="AD42" s="9"/>
      <c r="AE42" s="9"/>
      <c r="AF42" s="9"/>
      <c r="AX42" s="14"/>
    </row>
    <row r="43" spans="1:50" ht="22.5" customHeight="1" thickTop="1" x14ac:dyDescent="0.3">
      <c r="A43" s="63"/>
      <c r="B43" s="76"/>
      <c r="C43" s="25"/>
      <c r="D43" s="39"/>
      <c r="E43" s="39"/>
      <c r="F43" s="39"/>
      <c r="G43" s="25"/>
      <c r="H43" s="25"/>
      <c r="I43" s="25"/>
      <c r="J43" s="25"/>
      <c r="K43" s="25"/>
      <c r="L43" s="25"/>
      <c r="M43" s="18"/>
      <c r="O43" s="1"/>
      <c r="P43" s="1"/>
      <c r="Q43" s="1"/>
      <c r="R43" s="1"/>
      <c r="S43" s="14"/>
      <c r="AX43" s="14"/>
    </row>
    <row r="44" spans="1:50" ht="23" customHeight="1" thickBot="1" x14ac:dyDescent="0.35">
      <c r="A44" s="63"/>
      <c r="B44" s="81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19"/>
      <c r="N44" s="15"/>
      <c r="O44" s="15"/>
      <c r="P44" s="15"/>
      <c r="Q44" s="15"/>
      <c r="R44" s="15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6"/>
    </row>
    <row r="45" spans="1:50" ht="33" customHeight="1" thickTop="1" thickBot="1" x14ac:dyDescent="0.35">
      <c r="A45" s="63"/>
      <c r="B45" s="89" t="s">
        <v>214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17"/>
      <c r="N45" s="24"/>
      <c r="O45" s="24"/>
      <c r="P45" s="24"/>
      <c r="Q45" s="24"/>
      <c r="R45" s="24"/>
      <c r="S45" s="17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17"/>
    </row>
    <row r="46" spans="1:50" ht="26" customHeight="1" thickTop="1" thickBot="1" x14ac:dyDescent="0.35">
      <c r="A46" s="63"/>
      <c r="B46" s="76"/>
      <c r="C46" s="24"/>
      <c r="D46" s="27" t="s">
        <v>191</v>
      </c>
      <c r="E46" s="27" t="s">
        <v>192</v>
      </c>
      <c r="F46" s="27" t="s">
        <v>193</v>
      </c>
      <c r="G46" s="27" t="s">
        <v>191</v>
      </c>
      <c r="H46" s="27" t="s">
        <v>192</v>
      </c>
      <c r="I46" s="27" t="s">
        <v>193</v>
      </c>
      <c r="J46" s="27" t="s">
        <v>191</v>
      </c>
      <c r="K46" s="27" t="s">
        <v>192</v>
      </c>
      <c r="L46" s="27" t="s">
        <v>193</v>
      </c>
      <c r="M46" s="17"/>
      <c r="N46" s="24"/>
      <c r="O46" s="24"/>
      <c r="P46" s="24"/>
      <c r="Q46" s="24"/>
      <c r="R46" s="24"/>
      <c r="S46" s="17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17"/>
    </row>
    <row r="47" spans="1:50" ht="23.5" customHeight="1" thickTop="1" thickBot="1" x14ac:dyDescent="0.35">
      <c r="A47" s="63"/>
      <c r="B47" s="76"/>
      <c r="C47" s="33"/>
      <c r="D47" s="88" t="s">
        <v>194</v>
      </c>
      <c r="E47" s="36" t="s">
        <v>148</v>
      </c>
      <c r="F47" s="36">
        <v>5</v>
      </c>
      <c r="G47" s="85" t="s">
        <v>198</v>
      </c>
      <c r="H47" s="36" t="s">
        <v>158</v>
      </c>
      <c r="I47" s="36">
        <v>1</v>
      </c>
      <c r="J47" s="85" t="s">
        <v>202</v>
      </c>
      <c r="K47" s="36" t="s">
        <v>203</v>
      </c>
      <c r="L47" s="36">
        <v>2</v>
      </c>
      <c r="M47" s="18"/>
      <c r="N47" s="13"/>
      <c r="O47" s="34"/>
      <c r="P47" s="34"/>
      <c r="Q47" s="34"/>
      <c r="S47" s="14"/>
      <c r="T47" s="13"/>
      <c r="AX47" s="14"/>
    </row>
    <row r="48" spans="1:50" ht="16" customHeight="1" thickTop="1" thickBot="1" x14ac:dyDescent="0.35">
      <c r="A48" s="63"/>
      <c r="B48" s="76"/>
      <c r="C48" s="25"/>
      <c r="D48" s="86"/>
      <c r="E48" s="36" t="s">
        <v>195</v>
      </c>
      <c r="F48" s="36">
        <v>1</v>
      </c>
      <c r="G48" s="86"/>
      <c r="H48" s="36" t="s">
        <v>159</v>
      </c>
      <c r="I48" s="36">
        <v>1</v>
      </c>
      <c r="J48" s="86"/>
      <c r="K48" s="36" t="s">
        <v>166</v>
      </c>
      <c r="L48" s="36">
        <v>1</v>
      </c>
      <c r="M48" s="18"/>
      <c r="O48" s="82" t="s">
        <v>205</v>
      </c>
      <c r="P48" s="82" t="s">
        <v>206</v>
      </c>
      <c r="Q48" s="83"/>
      <c r="R48" s="83"/>
      <c r="S48" s="14"/>
      <c r="Z48" s="23" t="s">
        <v>194</v>
      </c>
      <c r="AK48" s="23" t="s">
        <v>198</v>
      </c>
      <c r="AT48" s="23" t="s">
        <v>202</v>
      </c>
      <c r="AX48" s="14"/>
    </row>
    <row r="49" spans="1:50" ht="25" customHeight="1" thickTop="1" thickBot="1" x14ac:dyDescent="0.35">
      <c r="A49" s="63"/>
      <c r="B49" s="76"/>
      <c r="C49" s="25"/>
      <c r="D49" s="86"/>
      <c r="E49" s="36" t="s">
        <v>196</v>
      </c>
      <c r="F49" s="36">
        <v>1</v>
      </c>
      <c r="G49" s="86"/>
      <c r="H49" s="36" t="s">
        <v>160</v>
      </c>
      <c r="I49" s="36">
        <v>1</v>
      </c>
      <c r="J49" s="86"/>
      <c r="K49" s="36" t="s">
        <v>167</v>
      </c>
      <c r="L49" s="36">
        <v>1</v>
      </c>
      <c r="M49" s="18"/>
      <c r="O49" s="84"/>
      <c r="P49" s="2" t="s">
        <v>178</v>
      </c>
      <c r="Q49" s="2" t="s">
        <v>186</v>
      </c>
      <c r="R49" s="2" t="s">
        <v>190</v>
      </c>
      <c r="S49" s="14"/>
      <c r="U49" s="7" t="s">
        <v>146</v>
      </c>
      <c r="V49" s="7" t="s">
        <v>147</v>
      </c>
      <c r="W49" s="7" t="s">
        <v>148</v>
      </c>
      <c r="X49" s="7" t="s">
        <v>149</v>
      </c>
      <c r="Y49" s="7" t="s">
        <v>150</v>
      </c>
      <c r="Z49" s="8" t="s">
        <v>151</v>
      </c>
      <c r="AA49" s="7" t="s">
        <v>152</v>
      </c>
      <c r="AB49" s="7" t="s">
        <v>153</v>
      </c>
      <c r="AC49" s="7" t="s">
        <v>154</v>
      </c>
      <c r="AD49" s="7" t="s">
        <v>155</v>
      </c>
      <c r="AE49" s="8" t="s">
        <v>156</v>
      </c>
      <c r="AF49" s="7" t="s">
        <v>157</v>
      </c>
      <c r="AH49" s="7" t="s">
        <v>146</v>
      </c>
      <c r="AI49" s="7" t="s">
        <v>147</v>
      </c>
      <c r="AJ49" s="7" t="s">
        <v>158</v>
      </c>
      <c r="AK49" s="7" t="s">
        <v>159</v>
      </c>
      <c r="AL49" s="7" t="s">
        <v>160</v>
      </c>
      <c r="AM49" s="7" t="s">
        <v>161</v>
      </c>
      <c r="AN49" s="7" t="s">
        <v>162</v>
      </c>
      <c r="AO49" s="7" t="s">
        <v>163</v>
      </c>
      <c r="AP49" s="7" t="s">
        <v>164</v>
      </c>
      <c r="AR49" s="7" t="s">
        <v>146</v>
      </c>
      <c r="AS49" s="7" t="s">
        <v>147</v>
      </c>
      <c r="AT49" s="7" t="s">
        <v>165</v>
      </c>
      <c r="AU49" s="7" t="s">
        <v>166</v>
      </c>
      <c r="AV49" s="7" t="s">
        <v>167</v>
      </c>
      <c r="AW49" s="7" t="s">
        <v>168</v>
      </c>
      <c r="AX49" s="14"/>
    </row>
    <row r="50" spans="1:50" ht="23" customHeight="1" thickBot="1" x14ac:dyDescent="0.35">
      <c r="A50" s="63"/>
      <c r="B50" s="76"/>
      <c r="C50" s="25"/>
      <c r="D50" s="86"/>
      <c r="E50" s="1" t="s">
        <v>151</v>
      </c>
      <c r="F50" s="36">
        <v>1</v>
      </c>
      <c r="G50" s="86"/>
      <c r="H50" s="36" t="s">
        <v>199</v>
      </c>
      <c r="I50" s="36">
        <v>1</v>
      </c>
      <c r="J50" s="87"/>
      <c r="K50" s="38" t="s">
        <v>168</v>
      </c>
      <c r="L50" s="38">
        <v>1</v>
      </c>
      <c r="M50" s="18"/>
      <c r="O50" s="1">
        <v>1</v>
      </c>
      <c r="P50" s="1">
        <v>1</v>
      </c>
      <c r="Q50" s="1">
        <v>2</v>
      </c>
      <c r="R50" s="1">
        <v>0</v>
      </c>
      <c r="S50" s="14"/>
      <c r="U50" s="9" t="s">
        <v>171</v>
      </c>
      <c r="V50" s="10" t="s">
        <v>172</v>
      </c>
      <c r="W50" s="9">
        <v>7.09</v>
      </c>
      <c r="X50" s="9">
        <v>0.78</v>
      </c>
      <c r="Y50" s="9">
        <v>1.18</v>
      </c>
      <c r="Z50" s="9">
        <v>0.69</v>
      </c>
      <c r="AA50" s="9">
        <v>2.5</v>
      </c>
      <c r="AB50" s="9">
        <v>0.87</v>
      </c>
      <c r="AC50" s="9">
        <v>0.95</v>
      </c>
      <c r="AD50" s="9">
        <v>1.05</v>
      </c>
      <c r="AE50" s="9">
        <v>1.1000000000000001</v>
      </c>
      <c r="AF50" s="9">
        <v>1.5</v>
      </c>
      <c r="AH50" s="9" t="s">
        <v>173</v>
      </c>
      <c r="AI50" s="10" t="s">
        <v>174</v>
      </c>
      <c r="AJ50" s="9">
        <v>6.56</v>
      </c>
      <c r="AK50" s="9">
        <v>6.89</v>
      </c>
      <c r="AL50" s="9">
        <v>3</v>
      </c>
      <c r="AM50" s="9">
        <v>6.43</v>
      </c>
      <c r="AN50" s="9">
        <v>1.87</v>
      </c>
      <c r="AO50" s="9">
        <v>7.65</v>
      </c>
      <c r="AP50" s="9">
        <v>5.45</v>
      </c>
      <c r="AR50" s="9" t="s">
        <v>175</v>
      </c>
      <c r="AS50" s="10" t="s">
        <v>176</v>
      </c>
      <c r="AT50" s="9">
        <v>3.1</v>
      </c>
      <c r="AU50" s="9">
        <v>1.1499999999999999</v>
      </c>
      <c r="AV50" s="9">
        <v>2.5</v>
      </c>
      <c r="AW50" s="9">
        <v>2</v>
      </c>
      <c r="AX50" s="14"/>
    </row>
    <row r="51" spans="1:50" ht="23.5" customHeight="1" thickTop="1" thickBot="1" x14ac:dyDescent="0.35">
      <c r="A51" s="63"/>
      <c r="B51" s="76"/>
      <c r="C51" s="25"/>
      <c r="D51" s="86"/>
      <c r="E51" s="36" t="s">
        <v>152</v>
      </c>
      <c r="F51" s="36">
        <v>1</v>
      </c>
      <c r="G51" s="86"/>
      <c r="H51" s="36" t="s">
        <v>200</v>
      </c>
      <c r="I51" s="36">
        <v>1</v>
      </c>
      <c r="J51" s="39"/>
      <c r="K51" s="39"/>
      <c r="L51" s="39"/>
      <c r="M51" s="18"/>
      <c r="O51" s="1">
        <v>2</v>
      </c>
      <c r="P51" s="1">
        <v>1</v>
      </c>
      <c r="Q51" s="1">
        <v>0</v>
      </c>
      <c r="R51" s="1">
        <v>0</v>
      </c>
      <c r="S51" s="14"/>
      <c r="U51" s="9" t="s">
        <v>179</v>
      </c>
      <c r="V51" s="10" t="s">
        <v>180</v>
      </c>
      <c r="W51" s="9">
        <v>8.77</v>
      </c>
      <c r="X51" s="9">
        <v>0.65</v>
      </c>
      <c r="Y51" s="9">
        <v>1.02</v>
      </c>
      <c r="Z51" s="9">
        <v>0.61</v>
      </c>
      <c r="AA51" s="9">
        <v>2.73</v>
      </c>
      <c r="AB51" s="9">
        <v>0.83</v>
      </c>
      <c r="AC51" s="9">
        <v>0.99</v>
      </c>
      <c r="AD51" s="9">
        <v>1.18</v>
      </c>
      <c r="AE51" s="9">
        <v>1.22</v>
      </c>
      <c r="AF51" s="9">
        <v>2.23</v>
      </c>
      <c r="AH51" s="11" t="s">
        <v>181</v>
      </c>
      <c r="AI51" s="12" t="s">
        <v>182</v>
      </c>
      <c r="AJ51" s="11">
        <v>6.78</v>
      </c>
      <c r="AK51" s="11">
        <v>7.21</v>
      </c>
      <c r="AL51" s="11">
        <v>3</v>
      </c>
      <c r="AM51" s="11">
        <v>7.23</v>
      </c>
      <c r="AN51" s="11">
        <v>2.12</v>
      </c>
      <c r="AO51" s="11">
        <v>8.23</v>
      </c>
      <c r="AP51" s="11">
        <v>5.67</v>
      </c>
      <c r="AR51" s="11" t="s">
        <v>183</v>
      </c>
      <c r="AS51" s="12" t="s">
        <v>184</v>
      </c>
      <c r="AT51" s="11">
        <v>2.87</v>
      </c>
      <c r="AU51" s="11">
        <v>1.08</v>
      </c>
      <c r="AV51" s="11">
        <v>2.4300000000000002</v>
      </c>
      <c r="AW51" s="11">
        <v>2</v>
      </c>
      <c r="AX51" s="14"/>
    </row>
    <row r="52" spans="1:50" ht="23" customHeight="1" thickTop="1" thickBot="1" x14ac:dyDescent="0.35">
      <c r="A52" s="63"/>
      <c r="B52" s="76"/>
      <c r="C52" s="25"/>
      <c r="D52" s="86"/>
      <c r="E52" s="36" t="s">
        <v>153</v>
      </c>
      <c r="F52" s="36">
        <v>1</v>
      </c>
      <c r="G52" s="86"/>
      <c r="H52" s="36" t="s">
        <v>201</v>
      </c>
      <c r="I52" s="36">
        <v>1</v>
      </c>
      <c r="J52" s="25"/>
      <c r="K52" s="25"/>
      <c r="L52" s="25"/>
      <c r="M52" s="18"/>
      <c r="O52" s="4">
        <v>3</v>
      </c>
      <c r="P52" s="4">
        <v>0</v>
      </c>
      <c r="Q52" s="4">
        <v>0</v>
      </c>
      <c r="R52" s="4">
        <v>1</v>
      </c>
      <c r="S52" s="14"/>
      <c r="U52" s="11" t="s">
        <v>187</v>
      </c>
      <c r="V52" s="12" t="s">
        <v>188</v>
      </c>
      <c r="W52" s="11">
        <v>9.25</v>
      </c>
      <c r="X52" s="11">
        <v>0.9</v>
      </c>
      <c r="Y52" s="11">
        <v>1.2</v>
      </c>
      <c r="Z52" s="11">
        <v>0.72</v>
      </c>
      <c r="AA52" s="11">
        <v>2.5</v>
      </c>
      <c r="AB52" s="11">
        <v>0.8</v>
      </c>
      <c r="AC52" s="11">
        <v>0.91</v>
      </c>
      <c r="AD52" s="11">
        <v>1</v>
      </c>
      <c r="AE52" s="11">
        <v>1.35</v>
      </c>
      <c r="AF52" s="11">
        <v>1.76</v>
      </c>
      <c r="AX52" s="14"/>
    </row>
    <row r="53" spans="1:50" ht="23" customHeight="1" thickTop="1" thickBot="1" x14ac:dyDescent="0.35">
      <c r="A53" s="63"/>
      <c r="B53" s="76"/>
      <c r="C53" s="25"/>
      <c r="D53" s="86"/>
      <c r="E53" s="1" t="s">
        <v>156</v>
      </c>
      <c r="F53" s="36">
        <v>1</v>
      </c>
      <c r="G53" s="87"/>
      <c r="H53" s="38" t="s">
        <v>164</v>
      </c>
      <c r="I53" s="38">
        <v>1</v>
      </c>
      <c r="J53" s="36"/>
      <c r="K53" s="25"/>
      <c r="L53" s="25"/>
      <c r="M53" s="18"/>
      <c r="O53" s="1"/>
      <c r="P53" s="1"/>
      <c r="Q53" s="1"/>
      <c r="R53" s="1"/>
      <c r="S53" s="14"/>
      <c r="U53" s="9"/>
      <c r="V53" s="10"/>
      <c r="W53" s="9"/>
      <c r="X53" s="9"/>
      <c r="Y53" s="9"/>
      <c r="Z53" s="9"/>
      <c r="AA53" s="9"/>
      <c r="AB53" s="9"/>
      <c r="AC53" s="9"/>
      <c r="AD53" s="9"/>
      <c r="AE53" s="9"/>
      <c r="AF53" s="9"/>
      <c r="AX53" s="14"/>
    </row>
    <row r="54" spans="1:50" ht="23" customHeight="1" thickTop="1" thickBot="1" x14ac:dyDescent="0.35">
      <c r="A54" s="63"/>
      <c r="B54" s="76"/>
      <c r="C54" s="25"/>
      <c r="D54" s="87"/>
      <c r="E54" s="38" t="s">
        <v>197</v>
      </c>
      <c r="F54" s="38">
        <v>1</v>
      </c>
      <c r="G54" s="39"/>
      <c r="H54" s="39"/>
      <c r="I54" s="39"/>
      <c r="J54" s="36"/>
      <c r="K54" s="36"/>
      <c r="L54" s="25"/>
      <c r="M54" s="18"/>
      <c r="O54" s="1"/>
      <c r="P54" s="1"/>
      <c r="Q54" s="1"/>
      <c r="R54" s="1"/>
      <c r="S54" s="14"/>
      <c r="U54" s="9"/>
      <c r="V54" s="10"/>
      <c r="W54" s="9"/>
      <c r="X54" s="9"/>
      <c r="Y54" s="9"/>
      <c r="Z54" s="9"/>
      <c r="AA54" s="9"/>
      <c r="AB54" s="9"/>
      <c r="AC54" s="9"/>
      <c r="AD54" s="9"/>
      <c r="AE54" s="9"/>
      <c r="AF54" s="9"/>
      <c r="AX54" s="14"/>
    </row>
    <row r="55" spans="1:50" ht="22.5" customHeight="1" thickTop="1" x14ac:dyDescent="0.3">
      <c r="A55" s="63"/>
      <c r="B55" s="76"/>
      <c r="C55" s="25"/>
      <c r="D55" s="39"/>
      <c r="E55" s="39"/>
      <c r="F55" s="39"/>
      <c r="G55" s="25"/>
      <c r="H55" s="25"/>
      <c r="I55" s="25"/>
      <c r="J55" s="25"/>
      <c r="K55" s="25"/>
      <c r="L55" s="25"/>
      <c r="M55" s="18"/>
      <c r="O55" s="1"/>
      <c r="P55" s="1"/>
      <c r="Q55" s="1"/>
      <c r="R55" s="1"/>
      <c r="S55" s="14"/>
      <c r="AX55" s="14"/>
    </row>
    <row r="56" spans="1:50" ht="23" customHeight="1" thickBot="1" x14ac:dyDescent="0.35">
      <c r="A56" s="63"/>
      <c r="B56" s="81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19"/>
      <c r="N56" s="15"/>
      <c r="O56" s="15"/>
      <c r="P56" s="15"/>
      <c r="Q56" s="15"/>
      <c r="R56" s="15"/>
      <c r="S56" s="1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6"/>
    </row>
    <row r="57" spans="1:50" ht="33" customHeight="1" thickTop="1" thickBot="1" x14ac:dyDescent="0.35">
      <c r="A57" s="63"/>
      <c r="B57" s="89" t="s">
        <v>215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17"/>
      <c r="N57" s="24"/>
      <c r="O57" s="24"/>
      <c r="P57" s="24"/>
      <c r="Q57" s="24"/>
      <c r="R57" s="24"/>
      <c r="S57" s="17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17"/>
    </row>
    <row r="58" spans="1:50" ht="26" customHeight="1" thickTop="1" thickBot="1" x14ac:dyDescent="0.35">
      <c r="A58" s="63"/>
      <c r="B58" s="76"/>
      <c r="C58" s="24"/>
      <c r="D58" s="27" t="s">
        <v>191</v>
      </c>
      <c r="E58" s="27" t="s">
        <v>192</v>
      </c>
      <c r="F58" s="27" t="s">
        <v>193</v>
      </c>
      <c r="G58" s="27" t="s">
        <v>191</v>
      </c>
      <c r="H58" s="27" t="s">
        <v>192</v>
      </c>
      <c r="I58" s="27" t="s">
        <v>193</v>
      </c>
      <c r="J58" s="27" t="s">
        <v>191</v>
      </c>
      <c r="K58" s="27" t="s">
        <v>192</v>
      </c>
      <c r="L58" s="27" t="s">
        <v>193</v>
      </c>
      <c r="M58" s="17"/>
      <c r="N58" s="24"/>
      <c r="O58" s="24"/>
      <c r="P58" s="24"/>
      <c r="Q58" s="24"/>
      <c r="R58" s="24"/>
      <c r="S58" s="17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17"/>
    </row>
    <row r="59" spans="1:50" ht="23.5" customHeight="1" thickTop="1" thickBot="1" x14ac:dyDescent="0.35">
      <c r="A59" s="63"/>
      <c r="B59" s="76"/>
      <c r="C59" s="33"/>
      <c r="D59" s="88" t="s">
        <v>194</v>
      </c>
      <c r="E59" s="36" t="s">
        <v>148</v>
      </c>
      <c r="F59" s="36">
        <v>5</v>
      </c>
      <c r="G59" s="85" t="s">
        <v>198</v>
      </c>
      <c r="H59" s="36" t="s">
        <v>158</v>
      </c>
      <c r="I59" s="36">
        <v>1</v>
      </c>
      <c r="J59" s="85" t="s">
        <v>202</v>
      </c>
      <c r="K59" s="36" t="s">
        <v>203</v>
      </c>
      <c r="L59" s="36">
        <v>2</v>
      </c>
      <c r="M59" s="18"/>
      <c r="N59" s="13"/>
      <c r="O59" s="34"/>
      <c r="P59" s="34"/>
      <c r="Q59" s="24"/>
      <c r="S59" s="14"/>
      <c r="T59" s="13"/>
      <c r="AX59" s="14"/>
    </row>
    <row r="60" spans="1:50" ht="16" customHeight="1" thickTop="1" thickBot="1" x14ac:dyDescent="0.35">
      <c r="A60" s="63"/>
      <c r="B60" s="76"/>
      <c r="C60" s="25"/>
      <c r="D60" s="86"/>
      <c r="E60" s="36" t="s">
        <v>195</v>
      </c>
      <c r="F60" s="36">
        <v>1</v>
      </c>
      <c r="G60" s="86"/>
      <c r="H60" s="36" t="s">
        <v>159</v>
      </c>
      <c r="I60" s="36">
        <v>1</v>
      </c>
      <c r="J60" s="86"/>
      <c r="K60" s="36" t="s">
        <v>166</v>
      </c>
      <c r="L60" s="36">
        <v>1</v>
      </c>
      <c r="M60" s="18"/>
      <c r="O60" s="82" t="s">
        <v>205</v>
      </c>
      <c r="P60" s="82" t="s">
        <v>206</v>
      </c>
      <c r="Q60" s="83"/>
      <c r="R60" s="83"/>
      <c r="S60" s="14"/>
      <c r="Z60" s="23" t="s">
        <v>194</v>
      </c>
      <c r="AK60" s="23" t="s">
        <v>198</v>
      </c>
      <c r="AT60" s="23" t="s">
        <v>202</v>
      </c>
      <c r="AX60" s="14"/>
    </row>
    <row r="61" spans="1:50" ht="25" customHeight="1" thickTop="1" thickBot="1" x14ac:dyDescent="0.35">
      <c r="A61" s="63"/>
      <c r="B61" s="76"/>
      <c r="C61" s="25"/>
      <c r="D61" s="86"/>
      <c r="E61" s="36" t="s">
        <v>196</v>
      </c>
      <c r="F61" s="36">
        <v>1</v>
      </c>
      <c r="G61" s="86"/>
      <c r="H61" s="36" t="s">
        <v>160</v>
      </c>
      <c r="I61" s="36">
        <v>1</v>
      </c>
      <c r="J61" s="86"/>
      <c r="K61" s="36" t="s">
        <v>167</v>
      </c>
      <c r="L61" s="36">
        <v>1</v>
      </c>
      <c r="M61" s="18"/>
      <c r="O61" s="84"/>
      <c r="P61" s="2" t="s">
        <v>178</v>
      </c>
      <c r="Q61" s="2" t="s">
        <v>186</v>
      </c>
      <c r="R61" s="2" t="s">
        <v>190</v>
      </c>
      <c r="S61" s="14"/>
      <c r="U61" s="7" t="s">
        <v>146</v>
      </c>
      <c r="V61" s="7" t="s">
        <v>147</v>
      </c>
      <c r="W61" s="7" t="s">
        <v>148</v>
      </c>
      <c r="X61" s="7" t="s">
        <v>149</v>
      </c>
      <c r="Y61" s="7" t="s">
        <v>150</v>
      </c>
      <c r="Z61" s="8" t="s">
        <v>151</v>
      </c>
      <c r="AA61" s="7" t="s">
        <v>152</v>
      </c>
      <c r="AB61" s="7" t="s">
        <v>153</v>
      </c>
      <c r="AC61" s="7" t="s">
        <v>154</v>
      </c>
      <c r="AD61" s="7" t="s">
        <v>155</v>
      </c>
      <c r="AE61" s="8" t="s">
        <v>156</v>
      </c>
      <c r="AF61" s="7" t="s">
        <v>157</v>
      </c>
      <c r="AH61" s="7" t="s">
        <v>146</v>
      </c>
      <c r="AI61" s="7" t="s">
        <v>147</v>
      </c>
      <c r="AJ61" s="7" t="s">
        <v>158</v>
      </c>
      <c r="AK61" s="7" t="s">
        <v>159</v>
      </c>
      <c r="AL61" s="7" t="s">
        <v>160</v>
      </c>
      <c r="AM61" s="7" t="s">
        <v>161</v>
      </c>
      <c r="AN61" s="7" t="s">
        <v>162</v>
      </c>
      <c r="AO61" s="7" t="s">
        <v>163</v>
      </c>
      <c r="AP61" s="7" t="s">
        <v>164</v>
      </c>
      <c r="AR61" s="7" t="s">
        <v>146</v>
      </c>
      <c r="AS61" s="7" t="s">
        <v>147</v>
      </c>
      <c r="AT61" s="7" t="s">
        <v>165</v>
      </c>
      <c r="AU61" s="7" t="s">
        <v>166</v>
      </c>
      <c r="AV61" s="7" t="s">
        <v>167</v>
      </c>
      <c r="AW61" s="7" t="s">
        <v>168</v>
      </c>
      <c r="AX61" s="14"/>
    </row>
    <row r="62" spans="1:50" ht="23" customHeight="1" thickBot="1" x14ac:dyDescent="0.35">
      <c r="A62" s="63"/>
      <c r="B62" s="76"/>
      <c r="C62" s="25"/>
      <c r="D62" s="86"/>
      <c r="E62" s="1" t="s">
        <v>151</v>
      </c>
      <c r="F62" s="36">
        <v>1</v>
      </c>
      <c r="G62" s="86"/>
      <c r="H62" s="36" t="s">
        <v>199</v>
      </c>
      <c r="I62" s="36">
        <v>1</v>
      </c>
      <c r="J62" s="87"/>
      <c r="K62" s="38" t="s">
        <v>168</v>
      </c>
      <c r="L62" s="38">
        <v>1</v>
      </c>
      <c r="M62" s="18"/>
      <c r="O62" s="1">
        <v>1</v>
      </c>
      <c r="P62" s="1">
        <v>1</v>
      </c>
      <c r="Q62" s="1">
        <v>1</v>
      </c>
      <c r="R62" s="1">
        <v>0</v>
      </c>
      <c r="S62" s="14"/>
      <c r="U62" s="9" t="s">
        <v>171</v>
      </c>
      <c r="V62" s="10" t="s">
        <v>172</v>
      </c>
      <c r="W62" s="9">
        <v>7.83</v>
      </c>
      <c r="X62" s="9">
        <v>0.7</v>
      </c>
      <c r="Y62" s="9">
        <v>1.1299999999999999</v>
      </c>
      <c r="Z62" s="9">
        <v>0.56999999999999995</v>
      </c>
      <c r="AA62" s="9">
        <v>2.85</v>
      </c>
      <c r="AB62" s="9">
        <v>0.85</v>
      </c>
      <c r="AC62" s="9">
        <v>0.97</v>
      </c>
      <c r="AD62" s="9">
        <v>1.2</v>
      </c>
      <c r="AE62" s="9">
        <v>1.08</v>
      </c>
      <c r="AF62" s="9">
        <v>2.0099999999999998</v>
      </c>
      <c r="AH62" s="9" t="s">
        <v>173</v>
      </c>
      <c r="AI62" s="10" t="s">
        <v>174</v>
      </c>
      <c r="AJ62" s="9">
        <v>6.23</v>
      </c>
      <c r="AK62" s="9">
        <v>6.65</v>
      </c>
      <c r="AL62" s="9">
        <v>3</v>
      </c>
      <c r="AM62" s="9">
        <v>6.9</v>
      </c>
      <c r="AN62" s="9">
        <v>1.65</v>
      </c>
      <c r="AO62" s="9">
        <v>7.34</v>
      </c>
      <c r="AP62" s="9">
        <v>5.23</v>
      </c>
      <c r="AR62" s="9" t="s">
        <v>175</v>
      </c>
      <c r="AS62" s="10" t="s">
        <v>176</v>
      </c>
      <c r="AT62" s="9">
        <v>2.95</v>
      </c>
      <c r="AU62" s="9">
        <v>1.25</v>
      </c>
      <c r="AV62" s="9">
        <v>2.85</v>
      </c>
      <c r="AW62" s="9">
        <v>2</v>
      </c>
      <c r="AX62" s="14"/>
    </row>
    <row r="63" spans="1:50" ht="23.5" customHeight="1" thickTop="1" thickBot="1" x14ac:dyDescent="0.35">
      <c r="A63" s="63"/>
      <c r="B63" s="76"/>
      <c r="C63" s="25"/>
      <c r="D63" s="86"/>
      <c r="E63" s="36" t="s">
        <v>152</v>
      </c>
      <c r="F63" s="36">
        <v>1</v>
      </c>
      <c r="G63" s="86"/>
      <c r="H63" s="36" t="s">
        <v>200</v>
      </c>
      <c r="I63" s="36">
        <v>1</v>
      </c>
      <c r="J63" s="39"/>
      <c r="K63" s="39"/>
      <c r="L63" s="39"/>
      <c r="M63" s="18"/>
      <c r="O63" s="1">
        <v>2</v>
      </c>
      <c r="P63" s="1">
        <v>0</v>
      </c>
      <c r="Q63" s="1">
        <v>1</v>
      </c>
      <c r="R63" s="1">
        <v>0</v>
      </c>
      <c r="S63" s="14"/>
      <c r="U63" s="9" t="s">
        <v>179</v>
      </c>
      <c r="V63" s="10" t="s">
        <v>180</v>
      </c>
      <c r="W63" s="9">
        <v>8.14</v>
      </c>
      <c r="X63" s="9">
        <v>0.82</v>
      </c>
      <c r="Y63" s="9">
        <v>1.07</v>
      </c>
      <c r="Z63" s="9">
        <v>0.68</v>
      </c>
      <c r="AA63" s="9">
        <v>2.5</v>
      </c>
      <c r="AB63" s="9">
        <v>0.89</v>
      </c>
      <c r="AC63" s="9">
        <v>0.92</v>
      </c>
      <c r="AD63" s="9">
        <v>1.03</v>
      </c>
      <c r="AE63" s="9">
        <v>1.1499999999999999</v>
      </c>
      <c r="AF63" s="9">
        <v>1.64</v>
      </c>
      <c r="AH63" s="11" t="s">
        <v>181</v>
      </c>
      <c r="AI63" s="12" t="s">
        <v>182</v>
      </c>
      <c r="AJ63" s="11">
        <v>6.89</v>
      </c>
      <c r="AK63" s="11">
        <v>7.36</v>
      </c>
      <c r="AL63" s="11">
        <v>3</v>
      </c>
      <c r="AM63" s="11">
        <v>7.78</v>
      </c>
      <c r="AN63" s="11">
        <v>2.34</v>
      </c>
      <c r="AO63" s="11">
        <v>8.76</v>
      </c>
      <c r="AP63" s="11">
        <v>5.78</v>
      </c>
      <c r="AR63" s="11" t="s">
        <v>183</v>
      </c>
      <c r="AS63" s="12" t="s">
        <v>184</v>
      </c>
      <c r="AT63" s="11">
        <v>3.32</v>
      </c>
      <c r="AU63" s="11">
        <v>1.01</v>
      </c>
      <c r="AV63" s="11">
        <v>2.2000000000000002</v>
      </c>
      <c r="AW63" s="11">
        <v>2</v>
      </c>
      <c r="AX63" s="14"/>
    </row>
    <row r="64" spans="1:50" ht="23" customHeight="1" thickTop="1" thickBot="1" x14ac:dyDescent="0.35">
      <c r="A64" s="63"/>
      <c r="B64" s="76"/>
      <c r="C64" s="25"/>
      <c r="D64" s="86"/>
      <c r="E64" s="36" t="s">
        <v>153</v>
      </c>
      <c r="F64" s="36">
        <v>1</v>
      </c>
      <c r="G64" s="86"/>
      <c r="H64" s="36" t="s">
        <v>201</v>
      </c>
      <c r="I64" s="36">
        <v>1</v>
      </c>
      <c r="J64" s="25"/>
      <c r="K64" s="25"/>
      <c r="L64" s="25"/>
      <c r="M64" s="18"/>
      <c r="O64" s="4">
        <v>3</v>
      </c>
      <c r="P64" s="4">
        <v>2</v>
      </c>
      <c r="Q64" s="4">
        <v>0</v>
      </c>
      <c r="R64" s="4">
        <v>2</v>
      </c>
      <c r="S64" s="14"/>
      <c r="U64" s="11" t="s">
        <v>187</v>
      </c>
      <c r="V64" s="12" t="s">
        <v>188</v>
      </c>
      <c r="W64" s="11">
        <v>9.02</v>
      </c>
      <c r="X64" s="11">
        <v>0.67</v>
      </c>
      <c r="Y64" s="11">
        <v>1.25</v>
      </c>
      <c r="Z64" s="11">
        <v>0.75</v>
      </c>
      <c r="AA64" s="11">
        <v>2.69</v>
      </c>
      <c r="AB64" s="11">
        <v>0.82</v>
      </c>
      <c r="AC64" s="11">
        <v>1</v>
      </c>
      <c r="AD64" s="11">
        <v>1.1499999999999999</v>
      </c>
      <c r="AE64" s="11">
        <v>1.4</v>
      </c>
      <c r="AF64" s="11">
        <v>2.5</v>
      </c>
      <c r="AX64" s="14"/>
    </row>
    <row r="65" spans="1:50" ht="23" customHeight="1" thickTop="1" thickBot="1" x14ac:dyDescent="0.35">
      <c r="A65" s="63"/>
      <c r="B65" s="76"/>
      <c r="C65" s="25"/>
      <c r="D65" s="86"/>
      <c r="E65" s="1" t="s">
        <v>156</v>
      </c>
      <c r="F65" s="36">
        <v>1</v>
      </c>
      <c r="G65" s="87"/>
      <c r="H65" s="38" t="s">
        <v>164</v>
      </c>
      <c r="I65" s="38">
        <v>1</v>
      </c>
      <c r="J65" s="36"/>
      <c r="K65" s="25"/>
      <c r="L65" s="25"/>
      <c r="M65" s="18"/>
      <c r="O65" s="1"/>
      <c r="P65" s="1"/>
      <c r="Q65" s="1"/>
      <c r="R65" s="1"/>
      <c r="S65" s="14"/>
      <c r="U65" s="9"/>
      <c r="V65" s="10"/>
      <c r="W65" s="9"/>
      <c r="X65" s="9"/>
      <c r="Y65" s="9"/>
      <c r="Z65" s="9"/>
      <c r="AA65" s="9"/>
      <c r="AB65" s="9"/>
      <c r="AC65" s="9"/>
      <c r="AD65" s="9"/>
      <c r="AE65" s="9"/>
      <c r="AF65" s="9"/>
      <c r="AX65" s="14"/>
    </row>
    <row r="66" spans="1:50" ht="23" customHeight="1" thickTop="1" thickBot="1" x14ac:dyDescent="0.35">
      <c r="A66" s="63"/>
      <c r="B66" s="76"/>
      <c r="C66" s="25"/>
      <c r="D66" s="87"/>
      <c r="E66" s="38" t="s">
        <v>197</v>
      </c>
      <c r="F66" s="38">
        <v>1</v>
      </c>
      <c r="G66" s="39"/>
      <c r="H66" s="39"/>
      <c r="I66" s="39"/>
      <c r="J66" s="36"/>
      <c r="K66" s="36"/>
      <c r="L66" s="25"/>
      <c r="M66" s="18"/>
      <c r="S66" s="14"/>
      <c r="U66" s="9"/>
      <c r="V66" s="10"/>
      <c r="W66" s="9"/>
      <c r="X66" s="9"/>
      <c r="Y66" s="9"/>
      <c r="Z66" s="9"/>
      <c r="AA66" s="9"/>
      <c r="AB66" s="9"/>
      <c r="AC66" s="9"/>
      <c r="AD66" s="9"/>
      <c r="AE66" s="9"/>
      <c r="AF66" s="9"/>
      <c r="AX66" s="14"/>
    </row>
    <row r="67" spans="1:50" ht="22.5" customHeight="1" thickTop="1" x14ac:dyDescent="0.3">
      <c r="A67" s="63"/>
      <c r="B67" s="76"/>
      <c r="C67" s="25"/>
      <c r="D67" s="39"/>
      <c r="E67" s="39"/>
      <c r="F67" s="39"/>
      <c r="G67" s="25"/>
      <c r="H67" s="25"/>
      <c r="I67" s="25"/>
      <c r="J67" s="25"/>
      <c r="K67" s="25"/>
      <c r="L67" s="25"/>
      <c r="M67" s="18"/>
      <c r="O67" s="1"/>
      <c r="P67" s="1"/>
      <c r="Q67" s="1"/>
      <c r="R67" s="1"/>
      <c r="S67" s="14"/>
      <c r="AX67" s="14"/>
    </row>
    <row r="68" spans="1:50" ht="23" customHeight="1" thickBot="1" x14ac:dyDescent="0.35">
      <c r="A68" s="63"/>
      <c r="B68" s="81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19"/>
      <c r="N68" s="15"/>
      <c r="O68" s="15"/>
      <c r="P68" s="15"/>
      <c r="Q68" s="15"/>
      <c r="R68" s="15"/>
      <c r="S68" s="16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6"/>
    </row>
    <row r="69" spans="1:50" ht="33" customHeight="1" thickTop="1" thickBot="1" x14ac:dyDescent="0.35">
      <c r="A69" s="63"/>
      <c r="B69" s="89" t="s">
        <v>216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17"/>
      <c r="N69" s="24"/>
      <c r="O69" s="24"/>
      <c r="P69" s="24"/>
      <c r="Q69" s="24"/>
      <c r="R69" s="24"/>
      <c r="S69" s="1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17"/>
    </row>
    <row r="70" spans="1:50" ht="26" customHeight="1" thickTop="1" thickBot="1" x14ac:dyDescent="0.35">
      <c r="A70" s="63"/>
      <c r="B70" s="76"/>
      <c r="C70" s="24"/>
      <c r="D70" s="27" t="s">
        <v>191</v>
      </c>
      <c r="E70" s="27" t="s">
        <v>192</v>
      </c>
      <c r="F70" s="27" t="s">
        <v>193</v>
      </c>
      <c r="G70" s="27" t="s">
        <v>191</v>
      </c>
      <c r="H70" s="27" t="s">
        <v>192</v>
      </c>
      <c r="I70" s="27" t="s">
        <v>193</v>
      </c>
      <c r="J70" s="27" t="s">
        <v>191</v>
      </c>
      <c r="K70" s="27" t="s">
        <v>192</v>
      </c>
      <c r="L70" s="27" t="s">
        <v>193</v>
      </c>
      <c r="M70" s="17"/>
      <c r="N70" s="24"/>
      <c r="O70" s="24"/>
      <c r="P70" s="24"/>
      <c r="Q70" s="24"/>
      <c r="R70" s="24"/>
      <c r="S70" s="1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17"/>
    </row>
    <row r="71" spans="1:50" ht="23.5" customHeight="1" thickTop="1" thickBot="1" x14ac:dyDescent="0.35">
      <c r="A71" s="63"/>
      <c r="B71" s="76"/>
      <c r="C71" s="33"/>
      <c r="D71" s="88" t="s">
        <v>194</v>
      </c>
      <c r="E71" s="36" t="s">
        <v>148</v>
      </c>
      <c r="F71" s="36">
        <v>5</v>
      </c>
      <c r="G71" s="85" t="s">
        <v>198</v>
      </c>
      <c r="H71" s="36" t="s">
        <v>158</v>
      </c>
      <c r="I71" s="36">
        <v>1</v>
      </c>
      <c r="J71" s="85" t="s">
        <v>202</v>
      </c>
      <c r="K71" s="36" t="s">
        <v>203</v>
      </c>
      <c r="L71" s="36">
        <v>1</v>
      </c>
      <c r="M71" s="18"/>
      <c r="N71" s="13"/>
      <c r="O71" s="34"/>
      <c r="P71" s="34"/>
      <c r="Q71" s="24"/>
      <c r="S71" s="14"/>
      <c r="T71" s="13"/>
      <c r="AX71" s="14"/>
    </row>
    <row r="72" spans="1:50" ht="16" customHeight="1" thickTop="1" thickBot="1" x14ac:dyDescent="0.35">
      <c r="A72" s="63"/>
      <c r="B72" s="76"/>
      <c r="C72" s="25"/>
      <c r="D72" s="86"/>
      <c r="E72" s="36" t="s">
        <v>195</v>
      </c>
      <c r="F72" s="36">
        <v>2</v>
      </c>
      <c r="G72" s="86"/>
      <c r="H72" s="36" t="s">
        <v>159</v>
      </c>
      <c r="I72" s="36">
        <v>1</v>
      </c>
      <c r="J72" s="86"/>
      <c r="K72" s="36" t="s">
        <v>166</v>
      </c>
      <c r="L72" s="36">
        <v>1</v>
      </c>
      <c r="M72" s="18"/>
      <c r="O72" s="82" t="s">
        <v>205</v>
      </c>
      <c r="P72" s="82" t="s">
        <v>206</v>
      </c>
      <c r="Q72" s="83"/>
      <c r="R72" s="83"/>
      <c r="S72" s="14"/>
      <c r="Z72" s="23" t="s">
        <v>194</v>
      </c>
      <c r="AK72" s="23" t="s">
        <v>198</v>
      </c>
      <c r="AT72" s="23" t="s">
        <v>202</v>
      </c>
      <c r="AX72" s="14"/>
    </row>
    <row r="73" spans="1:50" ht="25" customHeight="1" thickTop="1" thickBot="1" x14ac:dyDescent="0.35">
      <c r="A73" s="63"/>
      <c r="B73" s="76"/>
      <c r="C73" s="25"/>
      <c r="D73" s="86"/>
      <c r="E73" s="36" t="s">
        <v>196</v>
      </c>
      <c r="F73" s="36">
        <v>2</v>
      </c>
      <c r="G73" s="86"/>
      <c r="H73" s="36" t="s">
        <v>160</v>
      </c>
      <c r="I73" s="36">
        <v>1</v>
      </c>
      <c r="J73" s="86"/>
      <c r="K73" s="36" t="s">
        <v>167</v>
      </c>
      <c r="L73" s="36">
        <v>1</v>
      </c>
      <c r="M73" s="18"/>
      <c r="O73" s="84"/>
      <c r="P73" s="2" t="s">
        <v>178</v>
      </c>
      <c r="Q73" s="2" t="s">
        <v>186</v>
      </c>
      <c r="R73" s="2" t="s">
        <v>190</v>
      </c>
      <c r="S73" s="14"/>
      <c r="U73" s="7" t="s">
        <v>146</v>
      </c>
      <c r="V73" s="7" t="s">
        <v>147</v>
      </c>
      <c r="W73" s="7" t="s">
        <v>148</v>
      </c>
      <c r="X73" s="7" t="s">
        <v>149</v>
      </c>
      <c r="Y73" s="7" t="s">
        <v>150</v>
      </c>
      <c r="Z73" s="8" t="s">
        <v>151</v>
      </c>
      <c r="AA73" s="7" t="s">
        <v>152</v>
      </c>
      <c r="AB73" s="7" t="s">
        <v>153</v>
      </c>
      <c r="AC73" s="7" t="s">
        <v>154</v>
      </c>
      <c r="AD73" s="7" t="s">
        <v>155</v>
      </c>
      <c r="AE73" s="8" t="s">
        <v>156</v>
      </c>
      <c r="AF73" s="7" t="s">
        <v>157</v>
      </c>
      <c r="AH73" s="7" t="s">
        <v>146</v>
      </c>
      <c r="AI73" s="7" t="s">
        <v>147</v>
      </c>
      <c r="AJ73" s="7" t="s">
        <v>158</v>
      </c>
      <c r="AK73" s="7" t="s">
        <v>159</v>
      </c>
      <c r="AL73" s="7" t="s">
        <v>160</v>
      </c>
      <c r="AM73" s="7" t="s">
        <v>161</v>
      </c>
      <c r="AN73" s="7" t="s">
        <v>162</v>
      </c>
      <c r="AO73" s="7" t="s">
        <v>163</v>
      </c>
      <c r="AP73" s="7" t="s">
        <v>164</v>
      </c>
      <c r="AR73" s="7" t="s">
        <v>146</v>
      </c>
      <c r="AS73" s="7" t="s">
        <v>147</v>
      </c>
      <c r="AT73" s="7" t="s">
        <v>165</v>
      </c>
      <c r="AU73" s="7" t="s">
        <v>166</v>
      </c>
      <c r="AV73" s="7" t="s">
        <v>167</v>
      </c>
      <c r="AW73" s="7" t="s">
        <v>168</v>
      </c>
      <c r="AX73" s="14"/>
    </row>
    <row r="74" spans="1:50" ht="23" customHeight="1" thickBot="1" x14ac:dyDescent="0.35">
      <c r="A74" s="63"/>
      <c r="B74" s="76"/>
      <c r="C74" s="25"/>
      <c r="D74" s="86"/>
      <c r="E74" s="1" t="s">
        <v>151</v>
      </c>
      <c r="F74" s="36">
        <v>1</v>
      </c>
      <c r="G74" s="86"/>
      <c r="H74" s="36" t="s">
        <v>199</v>
      </c>
      <c r="I74" s="36">
        <v>1</v>
      </c>
      <c r="J74" s="87"/>
      <c r="K74" s="38" t="s">
        <v>168</v>
      </c>
      <c r="L74" s="38">
        <v>1</v>
      </c>
      <c r="M74" s="18"/>
      <c r="O74" s="1">
        <v>1</v>
      </c>
      <c r="P74" s="1">
        <v>1</v>
      </c>
      <c r="Q74" s="1">
        <v>0</v>
      </c>
      <c r="R74" s="1">
        <v>0</v>
      </c>
      <c r="S74" s="14"/>
      <c r="U74" s="9" t="s">
        <v>171</v>
      </c>
      <c r="V74" s="10" t="s">
        <v>172</v>
      </c>
      <c r="W74" s="9">
        <v>7.75</v>
      </c>
      <c r="X74" s="9">
        <v>0.7</v>
      </c>
      <c r="Y74" s="9">
        <v>1.17</v>
      </c>
      <c r="Z74" s="9">
        <v>0.68</v>
      </c>
      <c r="AA74" s="9">
        <v>2.5</v>
      </c>
      <c r="AB74" s="9">
        <v>0.83</v>
      </c>
      <c r="AC74" s="9">
        <v>0.97</v>
      </c>
      <c r="AD74" s="9">
        <v>1.05</v>
      </c>
      <c r="AE74" s="9">
        <v>1.1000000000000001</v>
      </c>
      <c r="AF74" s="9">
        <v>1.58</v>
      </c>
      <c r="AH74" s="9" t="s">
        <v>173</v>
      </c>
      <c r="AI74" s="10" t="s">
        <v>174</v>
      </c>
      <c r="AJ74" s="9">
        <v>6.45</v>
      </c>
      <c r="AK74" s="9">
        <v>6.78</v>
      </c>
      <c r="AL74" s="9">
        <v>3</v>
      </c>
      <c r="AM74" s="9">
        <v>6.32</v>
      </c>
      <c r="AN74" s="9">
        <v>1.9</v>
      </c>
      <c r="AO74" s="9">
        <v>7.56</v>
      </c>
      <c r="AP74" s="9">
        <v>5.34</v>
      </c>
      <c r="AR74" s="9" t="s">
        <v>175</v>
      </c>
      <c r="AS74" s="10" t="s">
        <v>176</v>
      </c>
      <c r="AT74" s="9">
        <v>2.63</v>
      </c>
      <c r="AU74" s="9">
        <v>1.18</v>
      </c>
      <c r="AV74" s="9">
        <v>2.65</v>
      </c>
      <c r="AW74" s="9">
        <v>2</v>
      </c>
      <c r="AX74" s="14"/>
    </row>
    <row r="75" spans="1:50" ht="23.5" customHeight="1" thickTop="1" thickBot="1" x14ac:dyDescent="0.35">
      <c r="A75" s="63"/>
      <c r="B75" s="76"/>
      <c r="C75" s="25"/>
      <c r="D75" s="86"/>
      <c r="E75" s="36" t="s">
        <v>152</v>
      </c>
      <c r="F75" s="36">
        <v>1</v>
      </c>
      <c r="G75" s="86"/>
      <c r="H75" s="36" t="s">
        <v>200</v>
      </c>
      <c r="I75" s="36">
        <v>1</v>
      </c>
      <c r="J75" s="39"/>
      <c r="K75" s="39"/>
      <c r="L75" s="39"/>
      <c r="M75" s="18"/>
      <c r="O75" s="1">
        <v>2</v>
      </c>
      <c r="P75" s="1">
        <v>0</v>
      </c>
      <c r="Q75" s="1">
        <v>1</v>
      </c>
      <c r="R75" s="1">
        <v>0</v>
      </c>
      <c r="S75" s="14"/>
      <c r="U75" s="9" t="s">
        <v>179</v>
      </c>
      <c r="V75" s="10" t="s">
        <v>180</v>
      </c>
      <c r="W75" s="9">
        <v>8.41</v>
      </c>
      <c r="X75" s="9">
        <v>0.9</v>
      </c>
      <c r="Y75" s="9">
        <v>1.01</v>
      </c>
      <c r="Z75" s="9">
        <v>0.61</v>
      </c>
      <c r="AA75" s="9">
        <v>2.68</v>
      </c>
      <c r="AB75" s="9">
        <v>0.87</v>
      </c>
      <c r="AC75" s="9">
        <v>0.99</v>
      </c>
      <c r="AD75" s="9">
        <v>1.1200000000000001</v>
      </c>
      <c r="AE75" s="9">
        <v>1.3</v>
      </c>
      <c r="AF75" s="9">
        <v>2.37</v>
      </c>
      <c r="AH75" s="11" t="s">
        <v>181</v>
      </c>
      <c r="AI75" s="12" t="s">
        <v>182</v>
      </c>
      <c r="AJ75" s="11">
        <v>6.75</v>
      </c>
      <c r="AK75" s="11">
        <v>7.12</v>
      </c>
      <c r="AL75" s="11">
        <v>3</v>
      </c>
      <c r="AM75" s="11">
        <v>7.45</v>
      </c>
      <c r="AN75" s="11">
        <v>2.2000000000000002</v>
      </c>
      <c r="AO75" s="11">
        <v>8.43</v>
      </c>
      <c r="AP75" s="11">
        <v>5.65</v>
      </c>
      <c r="AR75" s="11" t="s">
        <v>183</v>
      </c>
      <c r="AS75" s="12" t="s">
        <v>184</v>
      </c>
      <c r="AT75" s="11">
        <v>3.09</v>
      </c>
      <c r="AU75" s="11">
        <v>1.07</v>
      </c>
      <c r="AV75" s="11">
        <v>2.2999999999999998</v>
      </c>
      <c r="AW75" s="11">
        <v>2</v>
      </c>
      <c r="AX75" s="14"/>
    </row>
    <row r="76" spans="1:50" ht="23" customHeight="1" thickTop="1" thickBot="1" x14ac:dyDescent="0.35">
      <c r="A76" s="63"/>
      <c r="B76" s="76"/>
      <c r="C76" s="25"/>
      <c r="D76" s="86"/>
      <c r="E76" s="36" t="s">
        <v>153</v>
      </c>
      <c r="F76" s="36">
        <v>1</v>
      </c>
      <c r="G76" s="86"/>
      <c r="H76" s="36" t="s">
        <v>201</v>
      </c>
      <c r="I76" s="36">
        <v>1</v>
      </c>
      <c r="J76" s="25"/>
      <c r="K76" s="25"/>
      <c r="L76" s="25"/>
      <c r="M76" s="18"/>
      <c r="O76" s="1">
        <v>3</v>
      </c>
      <c r="P76" s="1">
        <v>0</v>
      </c>
      <c r="Q76" s="1">
        <v>1</v>
      </c>
      <c r="R76" s="1">
        <v>0</v>
      </c>
      <c r="S76" s="14"/>
      <c r="U76" s="11" t="s">
        <v>187</v>
      </c>
      <c r="V76" s="12" t="s">
        <v>188</v>
      </c>
      <c r="W76" s="11">
        <v>9.25</v>
      </c>
      <c r="X76" s="11">
        <v>0.65</v>
      </c>
      <c r="Y76" s="11">
        <v>1.2</v>
      </c>
      <c r="Z76" s="11">
        <v>0.72</v>
      </c>
      <c r="AA76" s="11">
        <v>2.5</v>
      </c>
      <c r="AB76" s="11">
        <v>0.81</v>
      </c>
      <c r="AC76" s="11">
        <v>0.95</v>
      </c>
      <c r="AD76" s="11">
        <v>1</v>
      </c>
      <c r="AE76" s="11">
        <v>1.4</v>
      </c>
      <c r="AF76" s="11">
        <v>1.64</v>
      </c>
      <c r="AX76" s="14"/>
    </row>
    <row r="77" spans="1:50" ht="23" customHeight="1" thickTop="1" thickBot="1" x14ac:dyDescent="0.35">
      <c r="A77" s="63"/>
      <c r="B77" s="76"/>
      <c r="C77" s="25"/>
      <c r="D77" s="86"/>
      <c r="E77" s="1" t="s">
        <v>156</v>
      </c>
      <c r="F77" s="36">
        <v>1</v>
      </c>
      <c r="G77" s="87"/>
      <c r="H77" s="38" t="s">
        <v>164</v>
      </c>
      <c r="I77" s="38">
        <v>1</v>
      </c>
      <c r="J77" s="36"/>
      <c r="K77" s="25"/>
      <c r="L77" s="25"/>
      <c r="M77" s="18"/>
      <c r="O77" s="1">
        <v>4</v>
      </c>
      <c r="P77" s="1">
        <v>2</v>
      </c>
      <c r="Q77" s="1">
        <v>1</v>
      </c>
      <c r="R77" s="1">
        <v>0</v>
      </c>
      <c r="S77" s="14"/>
      <c r="U77" s="9"/>
      <c r="V77" s="10"/>
      <c r="W77" s="9"/>
      <c r="X77" s="9"/>
      <c r="Y77" s="9"/>
      <c r="Z77" s="9"/>
      <c r="AA77" s="9"/>
      <c r="AB77" s="9"/>
      <c r="AC77" s="9"/>
      <c r="AD77" s="9"/>
      <c r="AE77" s="9"/>
      <c r="AF77" s="9"/>
      <c r="AX77" s="14"/>
    </row>
    <row r="78" spans="1:50" ht="23" customHeight="1" thickTop="1" thickBot="1" x14ac:dyDescent="0.35">
      <c r="A78" s="63"/>
      <c r="B78" s="76"/>
      <c r="C78" s="25"/>
      <c r="D78" s="87"/>
      <c r="E78" s="38" t="s">
        <v>197</v>
      </c>
      <c r="F78" s="38">
        <v>1</v>
      </c>
      <c r="G78" s="39"/>
      <c r="H78" s="39"/>
      <c r="I78" s="39"/>
      <c r="J78" s="36"/>
      <c r="K78" s="36"/>
      <c r="L78" s="25"/>
      <c r="M78" s="18"/>
      <c r="O78" s="4">
        <v>5</v>
      </c>
      <c r="P78" s="4">
        <v>0</v>
      </c>
      <c r="Q78" s="4">
        <v>0</v>
      </c>
      <c r="R78" s="4">
        <v>2</v>
      </c>
      <c r="S78" s="14"/>
      <c r="U78" s="9"/>
      <c r="V78" s="10"/>
      <c r="W78" s="9"/>
      <c r="X78" s="9"/>
      <c r="Y78" s="9"/>
      <c r="Z78" s="9"/>
      <c r="AA78" s="9"/>
      <c r="AB78" s="9"/>
      <c r="AC78" s="9"/>
      <c r="AD78" s="9"/>
      <c r="AE78" s="9"/>
      <c r="AF78" s="9"/>
      <c r="AX78" s="14"/>
    </row>
    <row r="79" spans="1:50" ht="22.5" customHeight="1" thickTop="1" x14ac:dyDescent="0.3">
      <c r="A79" s="63"/>
      <c r="B79" s="76"/>
      <c r="C79" s="25"/>
      <c r="D79" s="39"/>
      <c r="E79" s="39"/>
      <c r="F79" s="39"/>
      <c r="G79" s="25"/>
      <c r="H79" s="25"/>
      <c r="I79" s="25"/>
      <c r="J79" s="25"/>
      <c r="K79" s="25"/>
      <c r="L79" s="25"/>
      <c r="M79" s="18"/>
      <c r="O79" s="1"/>
      <c r="P79" s="1"/>
      <c r="Q79" s="1"/>
      <c r="R79" s="1"/>
      <c r="S79" s="14"/>
      <c r="AX79" s="14"/>
    </row>
    <row r="80" spans="1:50" ht="23" customHeight="1" thickBot="1" x14ac:dyDescent="0.35">
      <c r="A80" s="63"/>
      <c r="B80" s="81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19"/>
      <c r="N80" s="15"/>
      <c r="O80" s="15"/>
      <c r="P80" s="15"/>
      <c r="Q80" s="15"/>
      <c r="R80" s="15"/>
      <c r="S80" s="16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6"/>
    </row>
    <row r="81" spans="1:50" ht="33" customHeight="1" thickTop="1" thickBot="1" x14ac:dyDescent="0.35">
      <c r="A81" s="63"/>
      <c r="B81" s="89" t="s">
        <v>217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17"/>
      <c r="N81" s="24"/>
      <c r="O81" s="24"/>
      <c r="P81" s="24"/>
      <c r="Q81" s="24"/>
      <c r="R81" s="24"/>
      <c r="S81" s="1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17"/>
    </row>
    <row r="82" spans="1:50" ht="26" customHeight="1" thickTop="1" thickBot="1" x14ac:dyDescent="0.35">
      <c r="A82" s="63"/>
      <c r="B82" s="76"/>
      <c r="C82" s="24"/>
      <c r="D82" s="27" t="s">
        <v>191</v>
      </c>
      <c r="E82" s="27" t="s">
        <v>192</v>
      </c>
      <c r="F82" s="27" t="s">
        <v>193</v>
      </c>
      <c r="G82" s="27" t="s">
        <v>191</v>
      </c>
      <c r="H82" s="27" t="s">
        <v>192</v>
      </c>
      <c r="I82" s="27" t="s">
        <v>193</v>
      </c>
      <c r="J82" s="27" t="s">
        <v>191</v>
      </c>
      <c r="K82" s="27" t="s">
        <v>192</v>
      </c>
      <c r="L82" s="27" t="s">
        <v>193</v>
      </c>
      <c r="M82" s="17"/>
      <c r="N82" s="24"/>
      <c r="O82" s="24"/>
      <c r="P82" s="24"/>
      <c r="Q82" s="24"/>
      <c r="R82" s="24"/>
      <c r="S82" s="1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17"/>
    </row>
    <row r="83" spans="1:50" ht="23.5" customHeight="1" thickTop="1" thickBot="1" x14ac:dyDescent="0.35">
      <c r="A83" s="63"/>
      <c r="B83" s="76"/>
      <c r="C83" s="33"/>
      <c r="D83" s="35" t="s">
        <v>194</v>
      </c>
      <c r="E83" s="36" t="s">
        <v>148</v>
      </c>
      <c r="F83" s="36">
        <v>5</v>
      </c>
      <c r="G83" s="1" t="s">
        <v>198</v>
      </c>
      <c r="H83" s="36" t="s">
        <v>158</v>
      </c>
      <c r="I83" s="36">
        <v>1</v>
      </c>
      <c r="J83" s="1" t="s">
        <v>202</v>
      </c>
      <c r="K83" s="36" t="s">
        <v>203</v>
      </c>
      <c r="L83" s="36">
        <v>1</v>
      </c>
      <c r="M83" s="18"/>
      <c r="N83" s="13"/>
      <c r="O83" s="34"/>
      <c r="P83" s="34"/>
      <c r="Q83" s="34"/>
      <c r="S83" s="14"/>
      <c r="T83" s="13"/>
      <c r="AX83" s="14"/>
    </row>
    <row r="84" spans="1:50" ht="16" customHeight="1" thickTop="1" thickBot="1" x14ac:dyDescent="0.35">
      <c r="A84" s="63"/>
      <c r="B84" s="76"/>
      <c r="C84" s="25"/>
      <c r="D84" s="1"/>
      <c r="E84" s="36" t="s">
        <v>195</v>
      </c>
      <c r="F84" s="36">
        <v>2</v>
      </c>
      <c r="G84" s="1"/>
      <c r="H84" s="36" t="s">
        <v>159</v>
      </c>
      <c r="I84" s="36">
        <v>1</v>
      </c>
      <c r="J84" s="1"/>
      <c r="K84" s="36" t="s">
        <v>166</v>
      </c>
      <c r="L84" s="36">
        <v>1</v>
      </c>
      <c r="M84" s="18"/>
      <c r="O84" s="20" t="s">
        <v>205</v>
      </c>
      <c r="P84" s="82" t="s">
        <v>206</v>
      </c>
      <c r="Q84" s="83"/>
      <c r="R84" s="83"/>
      <c r="S84" s="14"/>
      <c r="Z84" s="23" t="s">
        <v>194</v>
      </c>
      <c r="AK84" s="23" t="s">
        <v>198</v>
      </c>
      <c r="AT84" s="23" t="s">
        <v>202</v>
      </c>
      <c r="AX84" s="14"/>
    </row>
    <row r="85" spans="1:50" ht="25" customHeight="1" thickTop="1" thickBot="1" x14ac:dyDescent="0.35">
      <c r="A85" s="63"/>
      <c r="B85" s="76"/>
      <c r="C85" s="25"/>
      <c r="D85" s="1"/>
      <c r="E85" s="36" t="s">
        <v>196</v>
      </c>
      <c r="F85" s="36">
        <v>2</v>
      </c>
      <c r="G85" s="1"/>
      <c r="H85" s="36" t="s">
        <v>160</v>
      </c>
      <c r="I85" s="36">
        <v>1</v>
      </c>
      <c r="J85" s="1"/>
      <c r="K85" s="36" t="s">
        <v>167</v>
      </c>
      <c r="L85" s="36">
        <v>1</v>
      </c>
      <c r="M85" s="18"/>
      <c r="O85" s="21"/>
      <c r="P85" s="2" t="s">
        <v>178</v>
      </c>
      <c r="Q85" s="2" t="s">
        <v>186</v>
      </c>
      <c r="R85" s="2" t="s">
        <v>190</v>
      </c>
      <c r="S85" s="14"/>
      <c r="U85" s="7" t="s">
        <v>146</v>
      </c>
      <c r="V85" s="7" t="s">
        <v>147</v>
      </c>
      <c r="W85" s="7" t="s">
        <v>148</v>
      </c>
      <c r="X85" s="7" t="s">
        <v>149</v>
      </c>
      <c r="Y85" s="7" t="s">
        <v>150</v>
      </c>
      <c r="Z85" s="8" t="s">
        <v>151</v>
      </c>
      <c r="AA85" s="7" t="s">
        <v>152</v>
      </c>
      <c r="AB85" s="7" t="s">
        <v>153</v>
      </c>
      <c r="AC85" s="7" t="s">
        <v>154</v>
      </c>
      <c r="AD85" s="7" t="s">
        <v>155</v>
      </c>
      <c r="AE85" s="8" t="s">
        <v>156</v>
      </c>
      <c r="AF85" s="7" t="s">
        <v>157</v>
      </c>
      <c r="AH85" s="7" t="s">
        <v>146</v>
      </c>
      <c r="AI85" s="7" t="s">
        <v>147</v>
      </c>
      <c r="AJ85" s="7" t="s">
        <v>158</v>
      </c>
      <c r="AK85" s="7" t="s">
        <v>159</v>
      </c>
      <c r="AL85" s="7" t="s">
        <v>160</v>
      </c>
      <c r="AM85" s="7" t="s">
        <v>161</v>
      </c>
      <c r="AN85" s="7" t="s">
        <v>162</v>
      </c>
      <c r="AO85" s="7" t="s">
        <v>163</v>
      </c>
      <c r="AP85" s="7" t="s">
        <v>164</v>
      </c>
      <c r="AR85" s="7" t="s">
        <v>146</v>
      </c>
      <c r="AS85" s="7" t="s">
        <v>147</v>
      </c>
      <c r="AT85" s="7" t="s">
        <v>165</v>
      </c>
      <c r="AU85" s="7" t="s">
        <v>166</v>
      </c>
      <c r="AV85" s="7" t="s">
        <v>167</v>
      </c>
      <c r="AW85" s="7" t="s">
        <v>168</v>
      </c>
      <c r="AX85" s="14"/>
    </row>
    <row r="86" spans="1:50" ht="23" customHeight="1" thickBot="1" x14ac:dyDescent="0.35">
      <c r="A86" s="63"/>
      <c r="B86" s="76"/>
      <c r="C86" s="25"/>
      <c r="D86" s="1"/>
      <c r="E86" s="1" t="s">
        <v>151</v>
      </c>
      <c r="F86" s="36">
        <v>1</v>
      </c>
      <c r="G86" s="1"/>
      <c r="H86" s="36" t="s">
        <v>199</v>
      </c>
      <c r="I86" s="36">
        <v>1</v>
      </c>
      <c r="J86" s="37"/>
      <c r="K86" s="38" t="s">
        <v>168</v>
      </c>
      <c r="L86" s="38">
        <v>1</v>
      </c>
      <c r="M86" s="18"/>
      <c r="O86" s="1">
        <v>1</v>
      </c>
      <c r="P86" s="1">
        <v>1</v>
      </c>
      <c r="Q86" s="1">
        <v>0</v>
      </c>
      <c r="R86" s="1">
        <v>0</v>
      </c>
      <c r="S86" s="14"/>
      <c r="U86" s="9" t="s">
        <v>171</v>
      </c>
      <c r="V86" s="10" t="s">
        <v>172</v>
      </c>
      <c r="W86" s="9">
        <v>7.12</v>
      </c>
      <c r="X86" s="9">
        <v>0.81</v>
      </c>
      <c r="Y86" s="9">
        <v>1.19</v>
      </c>
      <c r="Z86" s="9">
        <v>0.67</v>
      </c>
      <c r="AA86" s="9">
        <v>2.5</v>
      </c>
      <c r="AB86" s="9">
        <v>0.87</v>
      </c>
      <c r="AC86" s="9">
        <v>0.97</v>
      </c>
      <c r="AD86" s="9">
        <v>1.1499999999999999</v>
      </c>
      <c r="AE86" s="9">
        <v>1.08</v>
      </c>
      <c r="AF86" s="9">
        <v>1.97</v>
      </c>
      <c r="AH86" s="9" t="s">
        <v>173</v>
      </c>
      <c r="AI86" s="10" t="s">
        <v>174</v>
      </c>
      <c r="AJ86" s="9">
        <v>6.12</v>
      </c>
      <c r="AK86" s="9">
        <v>6.55</v>
      </c>
      <c r="AL86" s="9">
        <v>3</v>
      </c>
      <c r="AM86" s="9">
        <v>6.12</v>
      </c>
      <c r="AN86" s="9">
        <v>1.55</v>
      </c>
      <c r="AO86" s="9">
        <v>7.15</v>
      </c>
      <c r="AP86" s="9">
        <v>5.12</v>
      </c>
      <c r="AR86" s="9" t="s">
        <v>175</v>
      </c>
      <c r="AS86" s="10" t="s">
        <v>176</v>
      </c>
      <c r="AT86" s="9">
        <v>3.4</v>
      </c>
      <c r="AU86" s="9">
        <v>1.1000000000000001</v>
      </c>
      <c r="AV86" s="9">
        <v>2.7</v>
      </c>
      <c r="AW86" s="9">
        <v>2</v>
      </c>
      <c r="AX86" s="14"/>
    </row>
    <row r="87" spans="1:50" ht="23.5" customHeight="1" thickTop="1" thickBot="1" x14ac:dyDescent="0.35">
      <c r="A87" s="63"/>
      <c r="B87" s="76"/>
      <c r="C87" s="25"/>
      <c r="D87" s="1"/>
      <c r="E87" s="36" t="s">
        <v>152</v>
      </c>
      <c r="F87" s="36">
        <v>1</v>
      </c>
      <c r="G87" s="1"/>
      <c r="H87" s="36" t="s">
        <v>200</v>
      </c>
      <c r="I87" s="36">
        <v>1</v>
      </c>
      <c r="J87" s="39"/>
      <c r="K87" s="39"/>
      <c r="L87" s="39"/>
      <c r="M87" s="18"/>
      <c r="O87" s="1">
        <v>2</v>
      </c>
      <c r="P87" s="1">
        <v>2</v>
      </c>
      <c r="Q87" s="1">
        <v>0</v>
      </c>
      <c r="R87" s="1">
        <v>1</v>
      </c>
      <c r="S87" s="14"/>
      <c r="U87" s="9" t="s">
        <v>179</v>
      </c>
      <c r="V87" s="10" t="s">
        <v>180</v>
      </c>
      <c r="W87" s="9">
        <v>8.73</v>
      </c>
      <c r="X87" s="9">
        <v>0.72</v>
      </c>
      <c r="Y87" s="9">
        <v>1.02</v>
      </c>
      <c r="Z87" s="9">
        <v>0.61</v>
      </c>
      <c r="AA87" s="9">
        <v>2.63</v>
      </c>
      <c r="AB87" s="9">
        <v>0.83</v>
      </c>
      <c r="AC87" s="9">
        <v>0.92</v>
      </c>
      <c r="AD87" s="9">
        <v>1.03</v>
      </c>
      <c r="AE87" s="9">
        <v>1.22</v>
      </c>
      <c r="AF87" s="9">
        <v>2.31</v>
      </c>
      <c r="AH87" s="11" t="s">
        <v>181</v>
      </c>
      <c r="AI87" s="12" t="s">
        <v>182</v>
      </c>
      <c r="AJ87" s="11">
        <v>6.9</v>
      </c>
      <c r="AK87" s="11">
        <v>7.4</v>
      </c>
      <c r="AL87" s="11">
        <v>3</v>
      </c>
      <c r="AM87" s="11">
        <v>7.85</v>
      </c>
      <c r="AN87" s="11">
        <v>2.4</v>
      </c>
      <c r="AO87" s="11">
        <v>8.8000000000000007</v>
      </c>
      <c r="AP87" s="11">
        <v>5.9</v>
      </c>
      <c r="AR87" s="11" t="s">
        <v>183</v>
      </c>
      <c r="AS87" s="12" t="s">
        <v>184</v>
      </c>
      <c r="AT87" s="11">
        <v>2.59</v>
      </c>
      <c r="AU87" s="11">
        <v>1.22</v>
      </c>
      <c r="AV87" s="11">
        <v>2.15</v>
      </c>
      <c r="AW87" s="11">
        <v>2</v>
      </c>
      <c r="AX87" s="14"/>
    </row>
    <row r="88" spans="1:50" ht="23" customHeight="1" thickTop="1" thickBot="1" x14ac:dyDescent="0.35">
      <c r="A88" s="63"/>
      <c r="B88" s="76"/>
      <c r="C88" s="25"/>
      <c r="D88" s="1"/>
      <c r="E88" s="36" t="s">
        <v>153</v>
      </c>
      <c r="F88" s="36">
        <v>1</v>
      </c>
      <c r="G88" s="1"/>
      <c r="H88" s="36" t="s">
        <v>201</v>
      </c>
      <c r="I88" s="36">
        <v>1</v>
      </c>
      <c r="J88" s="25"/>
      <c r="K88" s="25"/>
      <c r="L88" s="25"/>
      <c r="M88" s="18"/>
      <c r="O88" s="1">
        <v>3</v>
      </c>
      <c r="P88" s="1">
        <v>0</v>
      </c>
      <c r="Q88" s="1">
        <v>1</v>
      </c>
      <c r="R88" s="1">
        <v>0</v>
      </c>
      <c r="S88" s="14"/>
      <c r="U88" s="11" t="s">
        <v>187</v>
      </c>
      <c r="V88" s="12" t="s">
        <v>188</v>
      </c>
      <c r="W88" s="11">
        <v>9.0500000000000007</v>
      </c>
      <c r="X88" s="11">
        <v>0.65</v>
      </c>
      <c r="Y88" s="11">
        <v>1.21</v>
      </c>
      <c r="Z88" s="11">
        <v>0.75</v>
      </c>
      <c r="AA88" s="11">
        <v>2.97</v>
      </c>
      <c r="AB88" s="11">
        <v>0.81</v>
      </c>
      <c r="AC88" s="11">
        <v>1</v>
      </c>
      <c r="AD88" s="11">
        <v>1.2</v>
      </c>
      <c r="AE88" s="11">
        <v>1.4</v>
      </c>
      <c r="AF88" s="11">
        <v>1.54</v>
      </c>
      <c r="AX88" s="14"/>
    </row>
    <row r="89" spans="1:50" ht="23" customHeight="1" thickTop="1" thickBot="1" x14ac:dyDescent="0.35">
      <c r="A89" s="63"/>
      <c r="B89" s="76"/>
      <c r="C89" s="25"/>
      <c r="D89" s="1"/>
      <c r="E89" s="1" t="s">
        <v>156</v>
      </c>
      <c r="F89" s="36">
        <v>1</v>
      </c>
      <c r="G89" s="37"/>
      <c r="H89" s="38" t="s">
        <v>164</v>
      </c>
      <c r="I89" s="38">
        <v>1</v>
      </c>
      <c r="J89" s="36"/>
      <c r="K89" s="25"/>
      <c r="L89" s="25"/>
      <c r="M89" s="18"/>
      <c r="O89" s="1">
        <v>4</v>
      </c>
      <c r="P89" s="1">
        <v>1</v>
      </c>
      <c r="Q89" s="1">
        <v>1</v>
      </c>
      <c r="R89" s="1">
        <v>0</v>
      </c>
      <c r="S89" s="14"/>
      <c r="U89" s="9"/>
      <c r="V89" s="10"/>
      <c r="W89" s="9"/>
      <c r="X89" s="9"/>
      <c r="Y89" s="9"/>
      <c r="Z89" s="9"/>
      <c r="AA89" s="9"/>
      <c r="AB89" s="9"/>
      <c r="AC89" s="9"/>
      <c r="AD89" s="9"/>
      <c r="AE89" s="9"/>
      <c r="AF89" s="9"/>
      <c r="AX89" s="14"/>
    </row>
    <row r="90" spans="1:50" ht="23" customHeight="1" thickTop="1" thickBot="1" x14ac:dyDescent="0.35">
      <c r="A90" s="63"/>
      <c r="B90" s="76"/>
      <c r="C90" s="25"/>
      <c r="D90" s="37"/>
      <c r="E90" s="38" t="s">
        <v>197</v>
      </c>
      <c r="F90" s="38">
        <v>1</v>
      </c>
      <c r="G90" s="39"/>
      <c r="H90" s="39"/>
      <c r="I90" s="39"/>
      <c r="J90" s="36"/>
      <c r="K90" s="36"/>
      <c r="L90" s="25"/>
      <c r="M90" s="18"/>
      <c r="O90" s="4">
        <v>5</v>
      </c>
      <c r="P90" s="4">
        <v>0</v>
      </c>
      <c r="Q90" s="4">
        <v>0</v>
      </c>
      <c r="R90" s="4">
        <v>2</v>
      </c>
      <c r="S90" s="14"/>
      <c r="U90" s="9"/>
      <c r="V90" s="10"/>
      <c r="W90" s="9"/>
      <c r="X90" s="9"/>
      <c r="Y90" s="9"/>
      <c r="Z90" s="9"/>
      <c r="AA90" s="9"/>
      <c r="AB90" s="9"/>
      <c r="AC90" s="9"/>
      <c r="AD90" s="9"/>
      <c r="AE90" s="9"/>
      <c r="AF90" s="9"/>
      <c r="AX90" s="14"/>
    </row>
    <row r="91" spans="1:50" ht="22.5" customHeight="1" thickTop="1" x14ac:dyDescent="0.3">
      <c r="A91" s="63"/>
      <c r="B91" s="76"/>
      <c r="C91" s="25"/>
      <c r="D91" s="39"/>
      <c r="E91" s="39"/>
      <c r="F91" s="39"/>
      <c r="G91" s="25"/>
      <c r="H91" s="39"/>
      <c r="I91" s="25"/>
      <c r="J91" s="25"/>
      <c r="K91" s="25"/>
      <c r="L91" s="25"/>
      <c r="M91" s="18"/>
      <c r="O91" s="1"/>
      <c r="P91" s="1"/>
      <c r="Q91" s="1"/>
      <c r="R91" s="1"/>
      <c r="S91" s="14"/>
      <c r="AX91" s="14"/>
    </row>
    <row r="92" spans="1:50" ht="23" customHeight="1" thickBot="1" x14ac:dyDescent="0.35">
      <c r="A92" s="63"/>
      <c r="B92" s="81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19"/>
      <c r="N92" s="15"/>
      <c r="O92" s="15"/>
      <c r="P92" s="15"/>
      <c r="Q92" s="15"/>
      <c r="R92" s="15"/>
      <c r="S92" s="16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6"/>
    </row>
    <row r="93" spans="1:50" ht="30" customHeight="1" thickTop="1" thickBot="1" x14ac:dyDescent="0.35">
      <c r="A93" s="63"/>
      <c r="B93" s="89" t="s">
        <v>218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17"/>
      <c r="N93" s="24"/>
      <c r="O93" s="24"/>
      <c r="P93" s="24"/>
      <c r="Q93" s="24"/>
      <c r="R93" s="24"/>
      <c r="S93" s="1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17"/>
    </row>
    <row r="94" spans="1:50" ht="31" customHeight="1" thickTop="1" thickBot="1" x14ac:dyDescent="0.35">
      <c r="A94" s="63"/>
      <c r="B94" s="76"/>
      <c r="C94" s="24"/>
      <c r="D94" s="27" t="s">
        <v>191</v>
      </c>
      <c r="E94" s="27" t="s">
        <v>192</v>
      </c>
      <c r="F94" s="27" t="s">
        <v>193</v>
      </c>
      <c r="G94" s="27" t="s">
        <v>191</v>
      </c>
      <c r="H94" s="27" t="s">
        <v>192</v>
      </c>
      <c r="I94" s="27" t="s">
        <v>193</v>
      </c>
      <c r="J94" s="27" t="s">
        <v>191</v>
      </c>
      <c r="K94" s="27" t="s">
        <v>192</v>
      </c>
      <c r="L94" s="27" t="s">
        <v>193</v>
      </c>
      <c r="M94" s="17"/>
      <c r="N94" s="24"/>
      <c r="O94" s="24"/>
      <c r="P94" s="24"/>
      <c r="Q94" s="24"/>
      <c r="R94" s="24"/>
      <c r="S94" s="1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17"/>
    </row>
    <row r="95" spans="1:50" ht="23.5" customHeight="1" thickTop="1" thickBot="1" x14ac:dyDescent="0.35">
      <c r="A95" s="63"/>
      <c r="B95" s="76"/>
      <c r="C95" s="33"/>
      <c r="D95" s="35" t="s">
        <v>194</v>
      </c>
      <c r="E95" s="36" t="s">
        <v>148</v>
      </c>
      <c r="F95" s="36">
        <v>5</v>
      </c>
      <c r="G95" s="1" t="s">
        <v>198</v>
      </c>
      <c r="H95" s="36" t="s">
        <v>158</v>
      </c>
      <c r="I95" s="36">
        <v>2</v>
      </c>
      <c r="J95" s="1" t="s">
        <v>202</v>
      </c>
      <c r="K95" s="36" t="s">
        <v>203</v>
      </c>
      <c r="L95" s="36">
        <v>2</v>
      </c>
      <c r="M95" s="18"/>
      <c r="N95" s="13"/>
      <c r="O95" s="34"/>
      <c r="P95" s="34"/>
      <c r="Q95" s="34"/>
      <c r="S95" s="14"/>
      <c r="T95" s="13"/>
      <c r="AX95" s="14"/>
    </row>
    <row r="96" spans="1:50" ht="23.5" customHeight="1" thickTop="1" thickBot="1" x14ac:dyDescent="0.35">
      <c r="A96" s="63"/>
      <c r="B96" s="76"/>
      <c r="C96" s="25"/>
      <c r="D96" s="1"/>
      <c r="E96" s="36" t="s">
        <v>195</v>
      </c>
      <c r="F96" s="36">
        <v>2</v>
      </c>
      <c r="G96" s="1"/>
      <c r="H96" s="36" t="s">
        <v>159</v>
      </c>
      <c r="I96" s="36">
        <v>1</v>
      </c>
      <c r="J96" s="1"/>
      <c r="K96" s="36" t="s">
        <v>166</v>
      </c>
      <c r="L96" s="36">
        <v>1</v>
      </c>
      <c r="M96" s="18"/>
      <c r="O96" s="20" t="s">
        <v>205</v>
      </c>
      <c r="P96" s="82" t="s">
        <v>206</v>
      </c>
      <c r="Q96" s="83"/>
      <c r="R96" s="83"/>
      <c r="S96" s="14"/>
      <c r="Z96" s="23" t="s">
        <v>194</v>
      </c>
      <c r="AK96" s="23" t="s">
        <v>198</v>
      </c>
      <c r="AT96" s="23" t="s">
        <v>202</v>
      </c>
      <c r="AX96" s="14"/>
    </row>
    <row r="97" spans="1:50" ht="25" customHeight="1" thickTop="1" thickBot="1" x14ac:dyDescent="0.35">
      <c r="A97" s="63"/>
      <c r="B97" s="76"/>
      <c r="C97" s="25"/>
      <c r="D97" s="1"/>
      <c r="E97" s="36" t="s">
        <v>196</v>
      </c>
      <c r="F97" s="36">
        <v>2</v>
      </c>
      <c r="G97" s="1"/>
      <c r="H97" s="36" t="s">
        <v>160</v>
      </c>
      <c r="I97" s="36">
        <v>1</v>
      </c>
      <c r="J97" s="1"/>
      <c r="K97" s="36" t="s">
        <v>167</v>
      </c>
      <c r="L97" s="36">
        <v>1</v>
      </c>
      <c r="M97" s="18"/>
      <c r="O97" s="21"/>
      <c r="P97" s="2" t="s">
        <v>178</v>
      </c>
      <c r="Q97" s="2" t="s">
        <v>186</v>
      </c>
      <c r="R97" s="2" t="s">
        <v>190</v>
      </c>
      <c r="S97" s="14"/>
      <c r="U97" s="7" t="s">
        <v>146</v>
      </c>
      <c r="V97" s="7" t="s">
        <v>147</v>
      </c>
      <c r="W97" s="7" t="s">
        <v>148</v>
      </c>
      <c r="X97" s="7" t="s">
        <v>149</v>
      </c>
      <c r="Y97" s="7" t="s">
        <v>150</v>
      </c>
      <c r="Z97" s="8" t="s">
        <v>151</v>
      </c>
      <c r="AA97" s="7" t="s">
        <v>152</v>
      </c>
      <c r="AB97" s="7" t="s">
        <v>153</v>
      </c>
      <c r="AC97" s="7" t="s">
        <v>154</v>
      </c>
      <c r="AD97" s="7" t="s">
        <v>155</v>
      </c>
      <c r="AE97" s="8" t="s">
        <v>156</v>
      </c>
      <c r="AF97" s="7" t="s">
        <v>157</v>
      </c>
      <c r="AH97" s="7" t="s">
        <v>146</v>
      </c>
      <c r="AI97" s="7" t="s">
        <v>147</v>
      </c>
      <c r="AJ97" s="7" t="s">
        <v>158</v>
      </c>
      <c r="AK97" s="7" t="s">
        <v>159</v>
      </c>
      <c r="AL97" s="7" t="s">
        <v>160</v>
      </c>
      <c r="AM97" s="7" t="s">
        <v>161</v>
      </c>
      <c r="AN97" s="7" t="s">
        <v>162</v>
      </c>
      <c r="AO97" s="7" t="s">
        <v>163</v>
      </c>
      <c r="AP97" s="7" t="s">
        <v>164</v>
      </c>
      <c r="AR97" s="7" t="s">
        <v>146</v>
      </c>
      <c r="AS97" s="7" t="s">
        <v>147</v>
      </c>
      <c r="AT97" s="7" t="s">
        <v>165</v>
      </c>
      <c r="AU97" s="7" t="s">
        <v>166</v>
      </c>
      <c r="AV97" s="7" t="s">
        <v>167</v>
      </c>
      <c r="AW97" s="7" t="s">
        <v>168</v>
      </c>
      <c r="AX97" s="14"/>
    </row>
    <row r="98" spans="1:50" ht="23.5" customHeight="1" thickBot="1" x14ac:dyDescent="0.35">
      <c r="A98" s="63"/>
      <c r="B98" s="76"/>
      <c r="C98" s="25"/>
      <c r="D98" s="1"/>
      <c r="E98" s="1" t="s">
        <v>151</v>
      </c>
      <c r="F98" s="36">
        <v>1</v>
      </c>
      <c r="G98" s="1"/>
      <c r="H98" s="36" t="s">
        <v>199</v>
      </c>
      <c r="I98" s="36">
        <v>1</v>
      </c>
      <c r="J98" s="37"/>
      <c r="K98" s="38" t="s">
        <v>168</v>
      </c>
      <c r="L98" s="38">
        <v>1</v>
      </c>
      <c r="M98" s="18"/>
      <c r="O98" s="1">
        <v>1</v>
      </c>
      <c r="P98" s="1">
        <v>1</v>
      </c>
      <c r="Q98" s="1">
        <v>0</v>
      </c>
      <c r="R98" s="1">
        <v>0</v>
      </c>
      <c r="S98" s="14"/>
      <c r="U98" s="9" t="s">
        <v>171</v>
      </c>
      <c r="V98" s="10" t="s">
        <v>172</v>
      </c>
      <c r="W98" s="9">
        <v>7.21</v>
      </c>
      <c r="X98" s="9">
        <v>0.83</v>
      </c>
      <c r="Y98" s="9">
        <v>1.1599999999999999</v>
      </c>
      <c r="Z98" s="9">
        <v>0.65</v>
      </c>
      <c r="AA98" s="9">
        <v>2.5</v>
      </c>
      <c r="AB98" s="9">
        <v>0.81</v>
      </c>
      <c r="AC98" s="9">
        <v>0.96</v>
      </c>
      <c r="AD98" s="9">
        <v>1</v>
      </c>
      <c r="AE98" s="9">
        <v>1.32</v>
      </c>
      <c r="AF98" s="9">
        <v>1.93</v>
      </c>
      <c r="AH98" s="9" t="s">
        <v>173</v>
      </c>
      <c r="AI98" s="10" t="s">
        <v>174</v>
      </c>
      <c r="AJ98" s="9">
        <v>6.5</v>
      </c>
      <c r="AK98" s="9">
        <v>6.8</v>
      </c>
      <c r="AL98" s="9">
        <v>3</v>
      </c>
      <c r="AM98" s="9">
        <v>6.5</v>
      </c>
      <c r="AN98" s="9">
        <v>1.8</v>
      </c>
      <c r="AO98" s="9">
        <v>7.5</v>
      </c>
      <c r="AP98" s="9">
        <v>5.4</v>
      </c>
      <c r="AR98" s="9" t="s">
        <v>175</v>
      </c>
      <c r="AS98" s="10" t="s">
        <v>176</v>
      </c>
      <c r="AT98" s="9">
        <v>2.8</v>
      </c>
      <c r="AU98" s="9">
        <v>1.0900000000000001</v>
      </c>
      <c r="AV98" s="9">
        <v>2.4</v>
      </c>
      <c r="AW98" s="9">
        <v>2</v>
      </c>
      <c r="AX98" s="14"/>
    </row>
    <row r="99" spans="1:50" ht="24" customHeight="1" thickTop="1" thickBot="1" x14ac:dyDescent="0.35">
      <c r="A99" s="63"/>
      <c r="B99" s="76"/>
      <c r="C99" s="25"/>
      <c r="D99" s="1"/>
      <c r="E99" s="36" t="s">
        <v>152</v>
      </c>
      <c r="F99" s="36">
        <v>1</v>
      </c>
      <c r="G99" s="1"/>
      <c r="H99" s="36" t="s">
        <v>200</v>
      </c>
      <c r="I99" s="36">
        <v>1</v>
      </c>
      <c r="J99" s="39"/>
      <c r="K99" s="39"/>
      <c r="L99" s="39"/>
      <c r="M99" s="18"/>
      <c r="O99" s="1">
        <v>2</v>
      </c>
      <c r="P99" s="1">
        <v>1</v>
      </c>
      <c r="Q99" s="1">
        <v>0</v>
      </c>
      <c r="R99" s="1">
        <v>1</v>
      </c>
      <c r="S99" s="14"/>
      <c r="U99" s="9" t="s">
        <v>179</v>
      </c>
      <c r="V99" s="10" t="s">
        <v>180</v>
      </c>
      <c r="W99" s="9">
        <v>8.59</v>
      </c>
      <c r="X99" s="9">
        <v>0.75</v>
      </c>
      <c r="Y99" s="9">
        <v>1.01</v>
      </c>
      <c r="Z99" s="9">
        <v>0.59</v>
      </c>
      <c r="AA99" s="9">
        <v>2.94</v>
      </c>
      <c r="AB99" s="9">
        <v>0.86</v>
      </c>
      <c r="AC99" s="9">
        <v>0.93</v>
      </c>
      <c r="AD99" s="9">
        <v>1.1200000000000001</v>
      </c>
      <c r="AE99" s="9">
        <v>1.02</v>
      </c>
      <c r="AF99" s="9">
        <v>2.37</v>
      </c>
      <c r="AH99" s="11" t="s">
        <v>181</v>
      </c>
      <c r="AI99" s="12" t="s">
        <v>182</v>
      </c>
      <c r="AJ99" s="11">
        <v>6.8</v>
      </c>
      <c r="AK99" s="11">
        <v>7.25</v>
      </c>
      <c r="AL99" s="11">
        <v>3</v>
      </c>
      <c r="AM99" s="11">
        <v>7.5</v>
      </c>
      <c r="AN99" s="11">
        <v>2.15</v>
      </c>
      <c r="AO99" s="11">
        <v>8.5</v>
      </c>
      <c r="AP99" s="11">
        <v>5.7</v>
      </c>
      <c r="AR99" s="11" t="s">
        <v>183</v>
      </c>
      <c r="AS99" s="12" t="s">
        <v>184</v>
      </c>
      <c r="AT99" s="11">
        <v>3.27</v>
      </c>
      <c r="AU99" s="11">
        <v>1.17</v>
      </c>
      <c r="AV99" s="11">
        <v>2.95</v>
      </c>
      <c r="AW99" s="11">
        <v>2</v>
      </c>
      <c r="AX99" s="14"/>
    </row>
    <row r="100" spans="1:50" ht="23.5" customHeight="1" thickTop="1" thickBot="1" x14ac:dyDescent="0.35">
      <c r="A100" s="63"/>
      <c r="B100" s="76"/>
      <c r="C100" s="25"/>
      <c r="D100" s="1"/>
      <c r="E100" s="36" t="s">
        <v>153</v>
      </c>
      <c r="F100" s="36">
        <v>1</v>
      </c>
      <c r="G100" s="1"/>
      <c r="H100" s="36" t="s">
        <v>201</v>
      </c>
      <c r="I100" s="36">
        <v>1</v>
      </c>
      <c r="J100" s="25"/>
      <c r="K100" s="25"/>
      <c r="L100" s="25"/>
      <c r="M100" s="18"/>
      <c r="O100" s="1">
        <v>3</v>
      </c>
      <c r="P100" s="1">
        <v>0</v>
      </c>
      <c r="Q100" s="1">
        <v>1</v>
      </c>
      <c r="R100" s="1">
        <v>0</v>
      </c>
      <c r="S100" s="14"/>
      <c r="U100" s="11" t="s">
        <v>187</v>
      </c>
      <c r="V100" s="12" t="s">
        <v>188</v>
      </c>
      <c r="W100" s="11">
        <v>9.18</v>
      </c>
      <c r="X100" s="11">
        <v>0.69</v>
      </c>
      <c r="Y100" s="11">
        <v>1.23</v>
      </c>
      <c r="Z100" s="11">
        <v>0.71</v>
      </c>
      <c r="AA100" s="11">
        <v>2.5</v>
      </c>
      <c r="AB100" s="11">
        <v>0.88</v>
      </c>
      <c r="AC100" s="11">
        <v>0.98</v>
      </c>
      <c r="AD100" s="11">
        <v>1.2</v>
      </c>
      <c r="AE100" s="11">
        <v>1.38</v>
      </c>
      <c r="AF100" s="11">
        <v>1.58</v>
      </c>
      <c r="AX100" s="14"/>
    </row>
    <row r="101" spans="1:50" ht="23.5" customHeight="1" thickTop="1" thickBot="1" x14ac:dyDescent="0.35">
      <c r="A101" s="63"/>
      <c r="B101" s="76"/>
      <c r="C101" s="25"/>
      <c r="D101" s="1"/>
      <c r="E101" s="1" t="s">
        <v>156</v>
      </c>
      <c r="F101" s="36">
        <v>1</v>
      </c>
      <c r="G101" s="37"/>
      <c r="H101" s="38" t="s">
        <v>164</v>
      </c>
      <c r="I101" s="38">
        <v>1</v>
      </c>
      <c r="J101" s="36"/>
      <c r="K101" s="25"/>
      <c r="L101" s="25"/>
      <c r="M101" s="18"/>
      <c r="O101" s="1">
        <v>4</v>
      </c>
      <c r="P101" s="1">
        <v>1</v>
      </c>
      <c r="Q101" s="1">
        <v>1</v>
      </c>
      <c r="R101" s="1">
        <v>0</v>
      </c>
      <c r="S101" s="14"/>
      <c r="U101" s="9"/>
      <c r="V101" s="10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X101" s="14"/>
    </row>
    <row r="102" spans="1:50" ht="23.5" customHeight="1" thickTop="1" thickBot="1" x14ac:dyDescent="0.35">
      <c r="A102" s="63"/>
      <c r="B102" s="76"/>
      <c r="C102" s="25"/>
      <c r="D102" s="37"/>
      <c r="E102" s="38" t="s">
        <v>197</v>
      </c>
      <c r="F102" s="38">
        <v>1</v>
      </c>
      <c r="G102" s="39"/>
      <c r="H102" s="39"/>
      <c r="I102" s="39"/>
      <c r="J102" s="36"/>
      <c r="K102" s="36"/>
      <c r="L102" s="25"/>
      <c r="M102" s="18"/>
      <c r="O102" s="4">
        <v>5</v>
      </c>
      <c r="P102" s="4">
        <v>1</v>
      </c>
      <c r="Q102" s="4">
        <v>0</v>
      </c>
      <c r="R102" s="4">
        <v>2</v>
      </c>
      <c r="S102" s="14"/>
      <c r="U102" s="9"/>
      <c r="V102" s="10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X102" s="14"/>
    </row>
    <row r="103" spans="1:50" ht="23" customHeight="1" thickTop="1" x14ac:dyDescent="0.3">
      <c r="A103" s="63"/>
      <c r="B103" s="76"/>
      <c r="C103" s="25"/>
      <c r="D103" s="39"/>
      <c r="E103" s="39"/>
      <c r="F103" s="39"/>
      <c r="G103" s="25"/>
      <c r="H103" s="25"/>
      <c r="I103" s="25"/>
      <c r="J103" s="25"/>
      <c r="K103" s="25"/>
      <c r="L103" s="25"/>
      <c r="M103" s="18"/>
      <c r="O103" s="1"/>
      <c r="P103" s="1"/>
      <c r="Q103" s="1"/>
      <c r="R103" s="1"/>
      <c r="S103" s="14"/>
      <c r="AX103" s="14"/>
    </row>
    <row r="104" spans="1:50" ht="23" customHeight="1" thickBot="1" x14ac:dyDescent="0.35">
      <c r="A104" s="63"/>
      <c r="B104" s="81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19"/>
      <c r="N104" s="15"/>
      <c r="O104" s="15"/>
      <c r="P104" s="15"/>
      <c r="Q104" s="15"/>
      <c r="R104" s="15"/>
      <c r="S104" s="16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6"/>
    </row>
    <row r="105" spans="1:50" ht="29" customHeight="1" thickTop="1" thickBot="1" x14ac:dyDescent="0.35">
      <c r="A105" s="63"/>
      <c r="B105" s="89" t="s">
        <v>219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17"/>
      <c r="N105" s="24"/>
      <c r="O105" s="24"/>
      <c r="P105" s="24"/>
      <c r="Q105" s="24"/>
      <c r="R105" s="24"/>
      <c r="S105" s="1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17"/>
    </row>
    <row r="106" spans="1:50" ht="31" customHeight="1" thickTop="1" thickBot="1" x14ac:dyDescent="0.35">
      <c r="A106" s="63"/>
      <c r="B106" s="76"/>
      <c r="C106" s="24"/>
      <c r="D106" s="27" t="s">
        <v>191</v>
      </c>
      <c r="E106" s="27" t="s">
        <v>192</v>
      </c>
      <c r="F106" s="27" t="s">
        <v>193</v>
      </c>
      <c r="G106" s="27" t="s">
        <v>191</v>
      </c>
      <c r="H106" s="27" t="s">
        <v>192</v>
      </c>
      <c r="I106" s="27" t="s">
        <v>193</v>
      </c>
      <c r="J106" s="27" t="s">
        <v>191</v>
      </c>
      <c r="K106" s="27" t="s">
        <v>192</v>
      </c>
      <c r="L106" s="27" t="s">
        <v>193</v>
      </c>
      <c r="M106" s="17"/>
      <c r="N106" s="24"/>
      <c r="O106" s="24"/>
      <c r="P106" s="24"/>
      <c r="Q106" s="24"/>
      <c r="R106" s="24"/>
      <c r="S106" s="1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17"/>
    </row>
    <row r="107" spans="1:50" ht="23.5" customHeight="1" thickTop="1" thickBot="1" x14ac:dyDescent="0.35">
      <c r="A107" s="63"/>
      <c r="B107" s="76"/>
      <c r="C107" s="33"/>
      <c r="D107" s="35" t="s">
        <v>194</v>
      </c>
      <c r="E107" s="36" t="s">
        <v>148</v>
      </c>
      <c r="F107" s="36">
        <v>5</v>
      </c>
      <c r="G107" s="35" t="s">
        <v>198</v>
      </c>
      <c r="H107" s="36" t="s">
        <v>158</v>
      </c>
      <c r="I107" s="36">
        <v>2</v>
      </c>
      <c r="J107" s="35" t="s">
        <v>202</v>
      </c>
      <c r="K107" s="36" t="s">
        <v>203</v>
      </c>
      <c r="L107" s="36">
        <v>2</v>
      </c>
      <c r="M107" s="18"/>
      <c r="N107" s="13"/>
      <c r="O107" s="34"/>
      <c r="P107" s="34"/>
      <c r="Q107" s="34"/>
      <c r="S107" s="14"/>
      <c r="T107" s="13"/>
      <c r="AX107" s="14"/>
    </row>
    <row r="108" spans="1:50" ht="23.5" customHeight="1" thickTop="1" thickBot="1" x14ac:dyDescent="0.35">
      <c r="A108" s="63"/>
      <c r="B108" s="76"/>
      <c r="C108" s="25"/>
      <c r="D108" s="1"/>
      <c r="E108" s="36" t="s">
        <v>195</v>
      </c>
      <c r="F108" s="36">
        <v>2</v>
      </c>
      <c r="G108" s="1"/>
      <c r="H108" s="36" t="s">
        <v>159</v>
      </c>
      <c r="I108" s="36">
        <v>1</v>
      </c>
      <c r="J108" s="1"/>
      <c r="K108" s="36" t="s">
        <v>166</v>
      </c>
      <c r="L108" s="36">
        <v>1</v>
      </c>
      <c r="M108" s="18"/>
      <c r="O108" s="20" t="s">
        <v>205</v>
      </c>
      <c r="P108" s="82" t="s">
        <v>206</v>
      </c>
      <c r="Q108" s="83"/>
      <c r="R108" s="83"/>
      <c r="S108" s="14"/>
      <c r="Z108" s="23" t="s">
        <v>194</v>
      </c>
      <c r="AK108" s="23" t="s">
        <v>198</v>
      </c>
      <c r="AT108" s="23" t="s">
        <v>202</v>
      </c>
      <c r="AX108" s="14"/>
    </row>
    <row r="109" spans="1:50" ht="25" customHeight="1" thickTop="1" thickBot="1" x14ac:dyDescent="0.35">
      <c r="A109" s="63"/>
      <c r="B109" s="76"/>
      <c r="C109" s="25"/>
      <c r="D109" s="1"/>
      <c r="E109" s="36" t="s">
        <v>196</v>
      </c>
      <c r="F109" s="36">
        <v>2</v>
      </c>
      <c r="G109" s="1"/>
      <c r="H109" s="36" t="s">
        <v>160</v>
      </c>
      <c r="I109" s="36">
        <v>1</v>
      </c>
      <c r="J109" s="1"/>
      <c r="K109" s="36" t="s">
        <v>167</v>
      </c>
      <c r="L109" s="36">
        <v>1</v>
      </c>
      <c r="M109" s="18"/>
      <c r="O109" s="21"/>
      <c r="P109" s="2" t="s">
        <v>178</v>
      </c>
      <c r="Q109" s="2" t="s">
        <v>186</v>
      </c>
      <c r="R109" s="2" t="s">
        <v>190</v>
      </c>
      <c r="S109" s="14"/>
      <c r="U109" s="7" t="s">
        <v>146</v>
      </c>
      <c r="V109" s="7" t="s">
        <v>147</v>
      </c>
      <c r="W109" s="7" t="s">
        <v>148</v>
      </c>
      <c r="X109" s="7" t="s">
        <v>149</v>
      </c>
      <c r="Y109" s="7" t="s">
        <v>150</v>
      </c>
      <c r="Z109" s="8" t="s">
        <v>151</v>
      </c>
      <c r="AA109" s="7" t="s">
        <v>152</v>
      </c>
      <c r="AB109" s="7" t="s">
        <v>153</v>
      </c>
      <c r="AC109" s="7" t="s">
        <v>154</v>
      </c>
      <c r="AD109" s="7" t="s">
        <v>155</v>
      </c>
      <c r="AE109" s="8" t="s">
        <v>156</v>
      </c>
      <c r="AF109" s="7" t="s">
        <v>157</v>
      </c>
      <c r="AH109" s="7" t="s">
        <v>146</v>
      </c>
      <c r="AI109" s="7" t="s">
        <v>147</v>
      </c>
      <c r="AJ109" s="7" t="s">
        <v>158</v>
      </c>
      <c r="AK109" s="7" t="s">
        <v>159</v>
      </c>
      <c r="AL109" s="7" t="s">
        <v>160</v>
      </c>
      <c r="AM109" s="7" t="s">
        <v>161</v>
      </c>
      <c r="AN109" s="7" t="s">
        <v>162</v>
      </c>
      <c r="AO109" s="7" t="s">
        <v>163</v>
      </c>
      <c r="AP109" s="7" t="s">
        <v>164</v>
      </c>
      <c r="AR109" s="7" t="s">
        <v>146</v>
      </c>
      <c r="AS109" s="7" t="s">
        <v>147</v>
      </c>
      <c r="AT109" s="7" t="s">
        <v>165</v>
      </c>
      <c r="AU109" s="7" t="s">
        <v>166</v>
      </c>
      <c r="AV109" s="7" t="s">
        <v>167</v>
      </c>
      <c r="AW109" s="7" t="s">
        <v>168</v>
      </c>
      <c r="AX109" s="14"/>
    </row>
    <row r="110" spans="1:50" ht="23.5" customHeight="1" thickBot="1" x14ac:dyDescent="0.35">
      <c r="A110" s="63"/>
      <c r="B110" s="76"/>
      <c r="C110" s="25"/>
      <c r="D110" s="1"/>
      <c r="E110" s="1" t="s">
        <v>151</v>
      </c>
      <c r="F110" s="36">
        <v>1</v>
      </c>
      <c r="G110" s="1"/>
      <c r="H110" s="36" t="s">
        <v>199</v>
      </c>
      <c r="I110" s="36">
        <v>1</v>
      </c>
      <c r="J110" s="4"/>
      <c r="K110" s="38" t="s">
        <v>168</v>
      </c>
      <c r="L110" s="38">
        <v>1</v>
      </c>
      <c r="M110" s="18"/>
      <c r="O110" s="1">
        <v>1</v>
      </c>
      <c r="P110" s="1">
        <v>1</v>
      </c>
      <c r="Q110" s="1">
        <v>0</v>
      </c>
      <c r="R110" s="1">
        <v>0</v>
      </c>
      <c r="S110" s="14"/>
      <c r="U110" s="9" t="s">
        <v>171</v>
      </c>
      <c r="V110" s="10" t="s">
        <v>172</v>
      </c>
      <c r="W110" s="9">
        <v>7.64</v>
      </c>
      <c r="X110" s="9">
        <v>0.79</v>
      </c>
      <c r="Y110" s="9">
        <v>1.1100000000000001</v>
      </c>
      <c r="Z110" s="9">
        <v>0.62</v>
      </c>
      <c r="AA110" s="9">
        <v>2.71</v>
      </c>
      <c r="AB110" s="9">
        <v>0.84</v>
      </c>
      <c r="AC110" s="9">
        <v>0.95</v>
      </c>
      <c r="AD110" s="9">
        <v>1.07</v>
      </c>
      <c r="AE110" s="9">
        <v>1.25</v>
      </c>
      <c r="AF110" s="9">
        <v>2.19</v>
      </c>
      <c r="AH110" s="9" t="s">
        <v>173</v>
      </c>
      <c r="AI110" s="10" t="s">
        <v>174</v>
      </c>
      <c r="AJ110" s="9">
        <v>6.25</v>
      </c>
      <c r="AK110" s="9">
        <v>6.6</v>
      </c>
      <c r="AL110" s="9">
        <v>3</v>
      </c>
      <c r="AM110" s="9">
        <v>6.8</v>
      </c>
      <c r="AN110" s="9">
        <v>1.6</v>
      </c>
      <c r="AO110" s="9">
        <v>7.25</v>
      </c>
      <c r="AP110" s="9">
        <v>5.25</v>
      </c>
      <c r="AR110" s="9" t="s">
        <v>175</v>
      </c>
      <c r="AS110" s="10" t="s">
        <v>176</v>
      </c>
      <c r="AT110" s="9">
        <v>3.15</v>
      </c>
      <c r="AU110" s="9">
        <v>1.21</v>
      </c>
      <c r="AV110" s="9">
        <v>2.25</v>
      </c>
      <c r="AW110" s="9">
        <v>2</v>
      </c>
      <c r="AX110" s="14"/>
    </row>
    <row r="111" spans="1:50" ht="24" customHeight="1" thickTop="1" thickBot="1" x14ac:dyDescent="0.35">
      <c r="A111" s="63"/>
      <c r="B111" s="76"/>
      <c r="C111" s="25"/>
      <c r="D111" s="1"/>
      <c r="E111" s="36" t="s">
        <v>152</v>
      </c>
      <c r="F111" s="36">
        <v>1</v>
      </c>
      <c r="G111" s="1"/>
      <c r="H111" s="36" t="s">
        <v>200</v>
      </c>
      <c r="I111" s="36">
        <v>1</v>
      </c>
      <c r="J111" s="39"/>
      <c r="K111" s="39"/>
      <c r="L111" s="39"/>
      <c r="M111" s="18"/>
      <c r="O111" s="1">
        <v>2</v>
      </c>
      <c r="P111" s="1">
        <v>1</v>
      </c>
      <c r="Q111" s="1">
        <v>0</v>
      </c>
      <c r="R111" s="1">
        <v>1</v>
      </c>
      <c r="S111" s="14"/>
      <c r="U111" s="9" t="s">
        <v>179</v>
      </c>
      <c r="V111" s="10" t="s">
        <v>180</v>
      </c>
      <c r="W111" s="9">
        <v>8.42</v>
      </c>
      <c r="X111" s="9">
        <v>0.87</v>
      </c>
      <c r="Y111" s="9">
        <v>1.04</v>
      </c>
      <c r="Z111" s="9">
        <v>0.75</v>
      </c>
      <c r="AA111" s="9">
        <v>2.5</v>
      </c>
      <c r="AB111" s="9">
        <v>0.8</v>
      </c>
      <c r="AC111" s="9">
        <v>0.99</v>
      </c>
      <c r="AD111" s="9">
        <v>1.18</v>
      </c>
      <c r="AE111" s="9">
        <v>1.1000000000000001</v>
      </c>
      <c r="AF111" s="9">
        <v>1.62</v>
      </c>
      <c r="AH111" s="11" t="s">
        <v>181</v>
      </c>
      <c r="AI111" s="12" t="s">
        <v>182</v>
      </c>
      <c r="AJ111" s="11">
        <v>6.85</v>
      </c>
      <c r="AK111" s="11">
        <v>7.3</v>
      </c>
      <c r="AL111" s="11">
        <v>3</v>
      </c>
      <c r="AM111" s="11">
        <v>7.7</v>
      </c>
      <c r="AN111" s="11">
        <v>2.2999999999999998</v>
      </c>
      <c r="AO111" s="11">
        <v>8.6999999999999993</v>
      </c>
      <c r="AP111" s="11">
        <v>5.75</v>
      </c>
      <c r="AR111" s="11" t="s">
        <v>183</v>
      </c>
      <c r="AS111" s="12" t="s">
        <v>184</v>
      </c>
      <c r="AT111" s="11">
        <v>2.72</v>
      </c>
      <c r="AU111" s="11">
        <v>1.03</v>
      </c>
      <c r="AV111" s="11">
        <v>2.5499999999999998</v>
      </c>
      <c r="AW111" s="11">
        <v>2</v>
      </c>
      <c r="AX111" s="14"/>
    </row>
    <row r="112" spans="1:50" ht="23.5" customHeight="1" thickTop="1" thickBot="1" x14ac:dyDescent="0.35">
      <c r="A112" s="63"/>
      <c r="B112" s="76"/>
      <c r="C112" s="25"/>
      <c r="D112" s="1"/>
      <c r="E112" s="36" t="s">
        <v>153</v>
      </c>
      <c r="F112" s="36">
        <v>1</v>
      </c>
      <c r="G112" s="1"/>
      <c r="H112" s="36" t="s">
        <v>201</v>
      </c>
      <c r="I112" s="36">
        <v>1</v>
      </c>
      <c r="J112" s="25"/>
      <c r="K112" s="25"/>
      <c r="L112" s="25"/>
      <c r="M112" s="18"/>
      <c r="O112" s="1">
        <v>3</v>
      </c>
      <c r="P112" s="1">
        <v>0</v>
      </c>
      <c r="Q112" s="1">
        <v>1</v>
      </c>
      <c r="R112" s="1">
        <v>0</v>
      </c>
      <c r="S112" s="14"/>
      <c r="U112" s="11" t="s">
        <v>187</v>
      </c>
      <c r="V112" s="12" t="s">
        <v>188</v>
      </c>
      <c r="W112" s="11">
        <v>9.1999999999999993</v>
      </c>
      <c r="X112" s="11">
        <v>0.65</v>
      </c>
      <c r="Y112" s="11">
        <v>1.25</v>
      </c>
      <c r="Z112" s="11">
        <v>0.57999999999999996</v>
      </c>
      <c r="AA112" s="11">
        <v>2.88</v>
      </c>
      <c r="AB112" s="11">
        <v>0.89</v>
      </c>
      <c r="AC112" s="11">
        <v>0.91</v>
      </c>
      <c r="AD112" s="11">
        <v>1</v>
      </c>
      <c r="AE112" s="11">
        <v>1.35</v>
      </c>
      <c r="AF112" s="11">
        <v>2.4</v>
      </c>
      <c r="AX112" s="14"/>
    </row>
    <row r="113" spans="1:50" ht="23.5" customHeight="1" thickTop="1" thickBot="1" x14ac:dyDescent="0.35">
      <c r="A113" s="63"/>
      <c r="B113" s="76"/>
      <c r="C113" s="25"/>
      <c r="D113" s="1"/>
      <c r="E113" s="1" t="s">
        <v>156</v>
      </c>
      <c r="F113" s="36">
        <v>1</v>
      </c>
      <c r="G113" s="4"/>
      <c r="H113" s="38" t="s">
        <v>164</v>
      </c>
      <c r="I113" s="38">
        <v>1</v>
      </c>
      <c r="J113" s="36"/>
      <c r="K113" s="25"/>
      <c r="L113" s="25"/>
      <c r="M113" s="18"/>
      <c r="O113" s="1">
        <v>3</v>
      </c>
      <c r="P113" s="1">
        <v>0</v>
      </c>
      <c r="Q113" s="1">
        <v>2</v>
      </c>
      <c r="R113" s="1">
        <v>0</v>
      </c>
      <c r="S113" s="14"/>
      <c r="U113" s="9"/>
      <c r="V113" s="10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X113" s="14"/>
    </row>
    <row r="114" spans="1:50" ht="23.5" customHeight="1" thickTop="1" thickBot="1" x14ac:dyDescent="0.35">
      <c r="A114" s="63"/>
      <c r="B114" s="76"/>
      <c r="C114" s="25"/>
      <c r="D114" s="4"/>
      <c r="E114" s="38" t="s">
        <v>197</v>
      </c>
      <c r="F114" s="38">
        <v>1</v>
      </c>
      <c r="G114" s="39"/>
      <c r="H114" s="39"/>
      <c r="I114" s="39"/>
      <c r="J114" s="36"/>
      <c r="K114" s="36"/>
      <c r="L114" s="25"/>
      <c r="M114" s="18"/>
      <c r="O114" s="4">
        <v>5</v>
      </c>
      <c r="P114" s="4">
        <v>2</v>
      </c>
      <c r="Q114" s="4">
        <v>0</v>
      </c>
      <c r="R114" s="4">
        <v>2</v>
      </c>
      <c r="S114" s="14"/>
      <c r="U114" s="9"/>
      <c r="V114" s="10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X114" s="14"/>
    </row>
    <row r="115" spans="1:50" ht="23" customHeight="1" thickTop="1" x14ac:dyDescent="0.3">
      <c r="A115" s="63"/>
      <c r="B115" s="76"/>
      <c r="C115" s="25"/>
      <c r="D115" s="39"/>
      <c r="E115" s="39"/>
      <c r="F115" s="39"/>
      <c r="G115" s="25"/>
      <c r="H115" s="25"/>
      <c r="I115" s="25"/>
      <c r="J115" s="25"/>
      <c r="K115" s="25"/>
      <c r="L115" s="25"/>
      <c r="M115" s="18"/>
      <c r="O115" s="1"/>
      <c r="P115" s="1"/>
      <c r="Q115" s="1"/>
      <c r="R115" s="1"/>
      <c r="S115" s="14"/>
      <c r="AX115" s="14"/>
    </row>
    <row r="116" spans="1:50" ht="23" customHeight="1" thickBot="1" x14ac:dyDescent="0.35">
      <c r="A116" s="64"/>
      <c r="B116" s="81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19"/>
      <c r="N116" s="15"/>
      <c r="O116" s="15"/>
      <c r="P116" s="15"/>
      <c r="Q116" s="15"/>
      <c r="R116" s="15"/>
      <c r="S116" s="16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6"/>
    </row>
    <row r="117" spans="1:50" ht="15" customHeight="1" thickTop="1" thickBot="1" x14ac:dyDescent="0.35">
      <c r="A117" s="90">
        <v>2</v>
      </c>
      <c r="B117" s="89" t="s">
        <v>35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17"/>
      <c r="N117" s="24"/>
      <c r="O117" s="24"/>
      <c r="P117" s="24"/>
      <c r="Q117" s="24"/>
      <c r="R117" s="24"/>
      <c r="S117" s="1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17"/>
    </row>
    <row r="118" spans="1:50" ht="31" customHeight="1" thickTop="1" thickBot="1" x14ac:dyDescent="0.35">
      <c r="A118" s="63"/>
      <c r="B118" s="76"/>
      <c r="C118" s="24"/>
      <c r="D118" s="27" t="s">
        <v>191</v>
      </c>
      <c r="E118" s="27" t="s">
        <v>192</v>
      </c>
      <c r="F118" s="27" t="s">
        <v>193</v>
      </c>
      <c r="G118" s="27" t="s">
        <v>191</v>
      </c>
      <c r="H118" s="27" t="s">
        <v>192</v>
      </c>
      <c r="I118" s="27" t="s">
        <v>193</v>
      </c>
      <c r="J118" s="27" t="s">
        <v>191</v>
      </c>
      <c r="K118" s="27" t="s">
        <v>192</v>
      </c>
      <c r="L118" s="27" t="s">
        <v>193</v>
      </c>
      <c r="M118" s="17"/>
      <c r="N118" s="24"/>
      <c r="O118" s="24"/>
      <c r="P118" s="24"/>
      <c r="Q118" s="24"/>
      <c r="R118" s="24"/>
      <c r="S118" s="1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17"/>
    </row>
    <row r="119" spans="1:50" ht="23.5" customHeight="1" thickTop="1" thickBot="1" x14ac:dyDescent="0.35">
      <c r="A119" s="63"/>
      <c r="B119" s="76"/>
      <c r="C119" s="33"/>
      <c r="D119" s="88" t="s">
        <v>194</v>
      </c>
      <c r="E119" s="36" t="s">
        <v>148</v>
      </c>
      <c r="F119" s="36">
        <v>3</v>
      </c>
      <c r="G119" s="85" t="s">
        <v>198</v>
      </c>
      <c r="H119" s="36" t="s">
        <v>158</v>
      </c>
      <c r="I119" s="36">
        <v>1</v>
      </c>
      <c r="J119" s="85" t="s">
        <v>202</v>
      </c>
      <c r="K119" s="36" t="s">
        <v>203</v>
      </c>
      <c r="L119" s="36">
        <v>1</v>
      </c>
      <c r="M119" s="18"/>
      <c r="N119" s="13"/>
      <c r="O119" s="34"/>
      <c r="P119" s="34"/>
      <c r="Q119" s="34"/>
      <c r="S119" s="14"/>
      <c r="T119" s="13"/>
      <c r="AX119" s="14"/>
    </row>
    <row r="120" spans="1:50" ht="23.5" customHeight="1" thickTop="1" thickBot="1" x14ac:dyDescent="0.35">
      <c r="A120" s="63"/>
      <c r="B120" s="76"/>
      <c r="C120" s="25"/>
      <c r="D120" s="86"/>
      <c r="E120" s="36" t="s">
        <v>195</v>
      </c>
      <c r="F120" s="36">
        <v>1</v>
      </c>
      <c r="G120" s="86"/>
      <c r="H120" s="36" t="s">
        <v>159</v>
      </c>
      <c r="I120" s="36">
        <v>1</v>
      </c>
      <c r="J120" s="86"/>
      <c r="K120" s="36" t="s">
        <v>166</v>
      </c>
      <c r="L120" s="36">
        <v>1</v>
      </c>
      <c r="M120" s="18"/>
      <c r="O120" s="82" t="s">
        <v>205</v>
      </c>
      <c r="P120" s="82" t="s">
        <v>206</v>
      </c>
      <c r="Q120" s="83"/>
      <c r="R120" s="83"/>
      <c r="S120" s="14"/>
      <c r="Z120" s="23" t="s">
        <v>194</v>
      </c>
      <c r="AK120" s="23" t="s">
        <v>198</v>
      </c>
      <c r="AT120" s="23" t="s">
        <v>202</v>
      </c>
      <c r="AX120" s="14"/>
    </row>
    <row r="121" spans="1:50" ht="25" customHeight="1" thickTop="1" thickBot="1" x14ac:dyDescent="0.35">
      <c r="A121" s="63"/>
      <c r="B121" s="76"/>
      <c r="C121" s="25"/>
      <c r="D121" s="86"/>
      <c r="E121" s="36" t="s">
        <v>196</v>
      </c>
      <c r="F121" s="36">
        <v>1</v>
      </c>
      <c r="G121" s="86"/>
      <c r="H121" s="36" t="s">
        <v>160</v>
      </c>
      <c r="I121" s="36">
        <v>1</v>
      </c>
      <c r="J121" s="86"/>
      <c r="K121" s="36" t="s">
        <v>167</v>
      </c>
      <c r="L121" s="36">
        <v>1</v>
      </c>
      <c r="M121" s="18"/>
      <c r="O121" s="84"/>
      <c r="P121" s="2" t="s">
        <v>178</v>
      </c>
      <c r="Q121" s="2" t="s">
        <v>186</v>
      </c>
      <c r="R121" s="2" t="s">
        <v>190</v>
      </c>
      <c r="S121" s="14"/>
      <c r="U121" s="7" t="s">
        <v>146</v>
      </c>
      <c r="V121" s="7" t="s">
        <v>147</v>
      </c>
      <c r="W121" s="7" t="s">
        <v>148</v>
      </c>
      <c r="X121" s="7" t="s">
        <v>149</v>
      </c>
      <c r="Y121" s="7" t="s">
        <v>150</v>
      </c>
      <c r="Z121" s="8" t="s">
        <v>151</v>
      </c>
      <c r="AA121" s="7" t="s">
        <v>152</v>
      </c>
      <c r="AB121" s="7" t="s">
        <v>153</v>
      </c>
      <c r="AC121" s="7" t="s">
        <v>154</v>
      </c>
      <c r="AD121" s="7" t="s">
        <v>155</v>
      </c>
      <c r="AE121" s="8" t="s">
        <v>156</v>
      </c>
      <c r="AF121" s="7" t="s">
        <v>157</v>
      </c>
      <c r="AH121" s="7" t="s">
        <v>146</v>
      </c>
      <c r="AI121" s="7" t="s">
        <v>147</v>
      </c>
      <c r="AJ121" s="7" t="s">
        <v>158</v>
      </c>
      <c r="AK121" s="7" t="s">
        <v>159</v>
      </c>
      <c r="AL121" s="7" t="s">
        <v>160</v>
      </c>
      <c r="AM121" s="7" t="s">
        <v>161</v>
      </c>
      <c r="AN121" s="7" t="s">
        <v>162</v>
      </c>
      <c r="AO121" s="7" t="s">
        <v>163</v>
      </c>
      <c r="AP121" s="7" t="s">
        <v>164</v>
      </c>
      <c r="AR121" s="7" t="s">
        <v>146</v>
      </c>
      <c r="AS121" s="7" t="s">
        <v>147</v>
      </c>
      <c r="AT121" s="7" t="s">
        <v>165</v>
      </c>
      <c r="AU121" s="7" t="s">
        <v>166</v>
      </c>
      <c r="AV121" s="7" t="s">
        <v>167</v>
      </c>
      <c r="AW121" s="7" t="s">
        <v>168</v>
      </c>
      <c r="AX121" s="14"/>
    </row>
    <row r="122" spans="1:50" ht="23.5" customHeight="1" thickBot="1" x14ac:dyDescent="0.35">
      <c r="A122" s="63"/>
      <c r="B122" s="76"/>
      <c r="C122" s="25"/>
      <c r="D122" s="86"/>
      <c r="E122" s="1" t="s">
        <v>151</v>
      </c>
      <c r="F122" s="36">
        <v>1</v>
      </c>
      <c r="G122" s="86"/>
      <c r="H122" s="36" t="s">
        <v>199</v>
      </c>
      <c r="I122" s="36">
        <v>1</v>
      </c>
      <c r="J122" s="87"/>
      <c r="K122" s="38" t="s">
        <v>168</v>
      </c>
      <c r="L122" s="38">
        <v>1</v>
      </c>
      <c r="M122" s="18"/>
      <c r="O122" s="1">
        <v>1</v>
      </c>
      <c r="P122" s="1">
        <v>1</v>
      </c>
      <c r="Q122" s="1">
        <v>0</v>
      </c>
      <c r="R122" s="1">
        <v>1</v>
      </c>
      <c r="S122" s="14"/>
      <c r="U122" s="9" t="s">
        <v>171</v>
      </c>
      <c r="V122" s="10" t="s">
        <v>172</v>
      </c>
      <c r="W122" s="9">
        <v>7.89</v>
      </c>
      <c r="X122" s="9">
        <v>0.68</v>
      </c>
      <c r="Y122" s="9">
        <v>1.1200000000000001</v>
      </c>
      <c r="Z122" s="9">
        <v>0.62</v>
      </c>
      <c r="AA122" s="9">
        <v>2.5</v>
      </c>
      <c r="AB122" s="9">
        <v>0.83</v>
      </c>
      <c r="AC122" s="9">
        <v>0.95</v>
      </c>
      <c r="AD122" s="9">
        <v>1</v>
      </c>
      <c r="AE122" s="9">
        <v>1.25</v>
      </c>
      <c r="AF122" s="9">
        <v>1.5</v>
      </c>
      <c r="AH122" s="9" t="s">
        <v>173</v>
      </c>
      <c r="AI122" s="10" t="s">
        <v>174</v>
      </c>
      <c r="AJ122" s="9">
        <v>6.4</v>
      </c>
      <c r="AK122" s="9">
        <v>6.7</v>
      </c>
      <c r="AL122" s="9">
        <v>3</v>
      </c>
      <c r="AM122" s="9">
        <v>6.35</v>
      </c>
      <c r="AN122" s="9">
        <v>1.95</v>
      </c>
      <c r="AO122" s="9">
        <v>7.4</v>
      </c>
      <c r="AP122" s="9">
        <v>5.3</v>
      </c>
      <c r="AR122" s="9" t="s">
        <v>175</v>
      </c>
      <c r="AS122" s="10" t="s">
        <v>176</v>
      </c>
      <c r="AT122" s="9">
        <v>2.98</v>
      </c>
      <c r="AU122" s="9">
        <v>1.1299999999999999</v>
      </c>
      <c r="AV122" s="9">
        <v>2.8</v>
      </c>
      <c r="AW122" s="9">
        <v>2</v>
      </c>
      <c r="AX122" s="14"/>
    </row>
    <row r="123" spans="1:50" ht="24" customHeight="1" thickTop="1" thickBot="1" x14ac:dyDescent="0.35">
      <c r="A123" s="63"/>
      <c r="B123" s="76"/>
      <c r="C123" s="25"/>
      <c r="D123" s="86"/>
      <c r="E123" s="36" t="s">
        <v>152</v>
      </c>
      <c r="F123" s="36">
        <v>1</v>
      </c>
      <c r="G123" s="86"/>
      <c r="H123" s="36" t="s">
        <v>200</v>
      </c>
      <c r="I123" s="36">
        <v>1</v>
      </c>
      <c r="J123" s="39"/>
      <c r="K123" s="39"/>
      <c r="L123" s="39"/>
      <c r="M123" s="18"/>
      <c r="O123" s="1">
        <v>2</v>
      </c>
      <c r="P123" s="1">
        <v>0</v>
      </c>
      <c r="Q123" s="1">
        <v>0</v>
      </c>
      <c r="R123" s="1">
        <v>0</v>
      </c>
      <c r="S123" s="14"/>
      <c r="U123" s="9" t="s">
        <v>179</v>
      </c>
      <c r="V123" s="10" t="s">
        <v>180</v>
      </c>
      <c r="W123" s="9">
        <v>8.56</v>
      </c>
      <c r="X123" s="9">
        <v>0.75</v>
      </c>
      <c r="Y123" s="9">
        <v>1.03</v>
      </c>
      <c r="Z123" s="9">
        <v>0.75</v>
      </c>
      <c r="AA123" s="9">
        <v>2.5</v>
      </c>
      <c r="AB123" s="9">
        <v>0.8</v>
      </c>
      <c r="AC123" s="9">
        <v>1</v>
      </c>
      <c r="AD123" s="9">
        <v>1</v>
      </c>
      <c r="AE123" s="9">
        <v>1.3</v>
      </c>
      <c r="AF123" s="9">
        <v>1.5</v>
      </c>
      <c r="AH123" s="11" t="s">
        <v>181</v>
      </c>
      <c r="AI123" s="12" t="s">
        <v>182</v>
      </c>
      <c r="AJ123" s="11">
        <v>6.7</v>
      </c>
      <c r="AK123" s="11">
        <v>7.15</v>
      </c>
      <c r="AL123" s="11">
        <v>3</v>
      </c>
      <c r="AM123" s="11">
        <v>7.4</v>
      </c>
      <c r="AN123" s="11">
        <v>2.25</v>
      </c>
      <c r="AO123" s="11">
        <v>8.4499999999999993</v>
      </c>
      <c r="AP123" s="11">
        <v>5.6</v>
      </c>
      <c r="AR123" s="11" t="s">
        <v>183</v>
      </c>
      <c r="AS123" s="12" t="s">
        <v>184</v>
      </c>
      <c r="AT123" s="11">
        <v>3.38</v>
      </c>
      <c r="AU123" s="11">
        <v>1.06</v>
      </c>
      <c r="AV123" s="11">
        <v>2.35</v>
      </c>
      <c r="AW123" s="11">
        <v>2</v>
      </c>
      <c r="AX123" s="14"/>
    </row>
    <row r="124" spans="1:50" ht="23.5" customHeight="1" thickTop="1" thickBot="1" x14ac:dyDescent="0.35">
      <c r="A124" s="63"/>
      <c r="B124" s="76"/>
      <c r="C124" s="25"/>
      <c r="D124" s="86"/>
      <c r="E124" s="36" t="s">
        <v>153</v>
      </c>
      <c r="F124" s="36">
        <v>1</v>
      </c>
      <c r="G124" s="86"/>
      <c r="H124" s="36" t="s">
        <v>201</v>
      </c>
      <c r="I124" s="36">
        <v>1</v>
      </c>
      <c r="J124" s="25"/>
      <c r="K124" s="25"/>
      <c r="L124" s="25"/>
      <c r="M124" s="18"/>
      <c r="O124" s="4">
        <v>3</v>
      </c>
      <c r="P124" s="4">
        <v>0</v>
      </c>
      <c r="Q124" s="4">
        <v>1</v>
      </c>
      <c r="R124" s="4">
        <v>1</v>
      </c>
      <c r="S124" s="14"/>
      <c r="U124" s="11" t="s">
        <v>187</v>
      </c>
      <c r="V124" s="12" t="s">
        <v>188</v>
      </c>
      <c r="W124" s="11">
        <v>9.02</v>
      </c>
      <c r="X124" s="11">
        <v>0.9</v>
      </c>
      <c r="Y124" s="11">
        <v>1.25</v>
      </c>
      <c r="Z124" s="11">
        <v>0.56999999999999995</v>
      </c>
      <c r="AA124" s="11">
        <v>2.85</v>
      </c>
      <c r="AB124" s="11">
        <v>0.89</v>
      </c>
      <c r="AC124" s="11">
        <v>1</v>
      </c>
      <c r="AD124" s="11">
        <v>1.1499999999999999</v>
      </c>
      <c r="AE124" s="11">
        <v>1.4</v>
      </c>
      <c r="AF124" s="11">
        <v>2.2999999999999998</v>
      </c>
      <c r="AX124" s="14"/>
    </row>
    <row r="125" spans="1:50" ht="23.5" customHeight="1" thickTop="1" thickBot="1" x14ac:dyDescent="0.35">
      <c r="A125" s="63"/>
      <c r="B125" s="76"/>
      <c r="C125" s="25"/>
      <c r="D125" s="86"/>
      <c r="E125" s="1" t="s">
        <v>156</v>
      </c>
      <c r="F125" s="36">
        <v>1</v>
      </c>
      <c r="G125" s="87"/>
      <c r="H125" s="38" t="s">
        <v>164</v>
      </c>
      <c r="I125" s="38">
        <v>1</v>
      </c>
      <c r="J125" s="36"/>
      <c r="K125" s="25"/>
      <c r="L125" s="25"/>
      <c r="M125" s="18"/>
      <c r="O125" s="1"/>
      <c r="P125" s="1"/>
      <c r="Q125" s="1"/>
      <c r="R125" s="1"/>
      <c r="S125" s="14"/>
      <c r="U125" s="9"/>
      <c r="V125" s="10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X125" s="14"/>
    </row>
    <row r="126" spans="1:50" ht="23.5" customHeight="1" thickTop="1" thickBot="1" x14ac:dyDescent="0.35">
      <c r="A126" s="63"/>
      <c r="B126" s="76"/>
      <c r="C126" s="25"/>
      <c r="D126" s="87"/>
      <c r="E126" s="38" t="s">
        <v>197</v>
      </c>
      <c r="F126" s="38">
        <v>1</v>
      </c>
      <c r="G126" s="39"/>
      <c r="H126" s="39"/>
      <c r="I126" s="39"/>
      <c r="J126" s="36"/>
      <c r="K126" s="36"/>
      <c r="L126" s="25"/>
      <c r="M126" s="18"/>
      <c r="O126" s="1"/>
      <c r="P126" s="1"/>
      <c r="Q126" s="1"/>
      <c r="R126" s="1"/>
      <c r="S126" s="14"/>
      <c r="U126" s="9"/>
      <c r="V126" s="10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X126" s="14"/>
    </row>
    <row r="127" spans="1:50" ht="23" customHeight="1" thickTop="1" x14ac:dyDescent="0.3">
      <c r="A127" s="63"/>
      <c r="B127" s="76"/>
      <c r="C127" s="25"/>
      <c r="D127" s="39"/>
      <c r="E127" s="39"/>
      <c r="F127" s="39"/>
      <c r="G127" s="25"/>
      <c r="H127" s="25"/>
      <c r="I127" s="25"/>
      <c r="J127" s="25"/>
      <c r="K127" s="25"/>
      <c r="L127" s="25"/>
      <c r="M127" s="18"/>
      <c r="O127" s="1"/>
      <c r="P127" s="1"/>
      <c r="Q127" s="1"/>
      <c r="R127" s="1"/>
      <c r="S127" s="14"/>
      <c r="AX127" s="14"/>
    </row>
    <row r="128" spans="1:50" ht="23" customHeight="1" thickBot="1" x14ac:dyDescent="0.35">
      <c r="A128" s="63"/>
      <c r="B128" s="81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19"/>
      <c r="N128" s="15"/>
      <c r="O128" s="15"/>
      <c r="P128" s="15"/>
      <c r="Q128" s="15"/>
      <c r="R128" s="15"/>
      <c r="S128" s="16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6"/>
    </row>
    <row r="129" spans="1:50" ht="15" customHeight="1" thickTop="1" thickBot="1" x14ac:dyDescent="0.35">
      <c r="A129" s="63"/>
      <c r="B129" s="89" t="s">
        <v>36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17"/>
      <c r="N129" s="24"/>
      <c r="O129" s="24"/>
      <c r="P129" s="24"/>
      <c r="Q129" s="24"/>
      <c r="R129" s="24"/>
      <c r="S129" s="1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17"/>
    </row>
    <row r="130" spans="1:50" ht="31" customHeight="1" thickTop="1" thickBot="1" x14ac:dyDescent="0.35">
      <c r="A130" s="63"/>
      <c r="B130" s="76"/>
      <c r="C130" s="24"/>
      <c r="D130" s="27" t="s">
        <v>191</v>
      </c>
      <c r="E130" s="27" t="s">
        <v>192</v>
      </c>
      <c r="F130" s="27" t="s">
        <v>193</v>
      </c>
      <c r="G130" s="27" t="s">
        <v>191</v>
      </c>
      <c r="H130" s="27" t="s">
        <v>192</v>
      </c>
      <c r="I130" s="27" t="s">
        <v>193</v>
      </c>
      <c r="J130" s="27" t="s">
        <v>191</v>
      </c>
      <c r="K130" s="27" t="s">
        <v>192</v>
      </c>
      <c r="L130" s="27" t="s">
        <v>193</v>
      </c>
      <c r="M130" s="17"/>
      <c r="N130" s="24"/>
      <c r="O130" s="24"/>
      <c r="P130" s="24"/>
      <c r="Q130" s="24"/>
      <c r="R130" s="24"/>
      <c r="S130" s="1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17"/>
    </row>
    <row r="131" spans="1:50" ht="23.5" customHeight="1" thickTop="1" thickBot="1" x14ac:dyDescent="0.35">
      <c r="A131" s="63"/>
      <c r="B131" s="76"/>
      <c r="C131" s="33"/>
      <c r="D131" s="88" t="s">
        <v>194</v>
      </c>
      <c r="E131" s="36" t="s">
        <v>148</v>
      </c>
      <c r="F131" s="36">
        <v>3</v>
      </c>
      <c r="G131" s="85" t="s">
        <v>198</v>
      </c>
      <c r="H131" s="36" t="s">
        <v>158</v>
      </c>
      <c r="I131" s="36">
        <v>1</v>
      </c>
      <c r="J131" s="85" t="s">
        <v>202</v>
      </c>
      <c r="K131" s="36" t="s">
        <v>203</v>
      </c>
      <c r="L131" s="36">
        <v>1</v>
      </c>
      <c r="M131" s="18"/>
      <c r="N131" s="13"/>
      <c r="O131" s="34"/>
      <c r="P131" s="34"/>
      <c r="Q131" s="34"/>
      <c r="S131" s="14"/>
      <c r="T131" s="13"/>
      <c r="AX131" s="14"/>
    </row>
    <row r="132" spans="1:50" ht="23.5" customHeight="1" thickTop="1" thickBot="1" x14ac:dyDescent="0.35">
      <c r="A132" s="63"/>
      <c r="B132" s="76"/>
      <c r="C132" s="25"/>
      <c r="D132" s="86"/>
      <c r="E132" s="36" t="s">
        <v>195</v>
      </c>
      <c r="F132" s="36">
        <v>1</v>
      </c>
      <c r="G132" s="86"/>
      <c r="H132" s="36" t="s">
        <v>159</v>
      </c>
      <c r="I132" s="36">
        <v>1</v>
      </c>
      <c r="J132" s="86"/>
      <c r="K132" s="36" t="s">
        <v>166</v>
      </c>
      <c r="L132" s="36">
        <v>1</v>
      </c>
      <c r="M132" s="18"/>
      <c r="O132" s="82" t="s">
        <v>205</v>
      </c>
      <c r="P132" s="82" t="s">
        <v>206</v>
      </c>
      <c r="Q132" s="83"/>
      <c r="R132" s="83"/>
      <c r="S132" s="14"/>
      <c r="Z132" s="23" t="s">
        <v>194</v>
      </c>
      <c r="AK132" s="23" t="s">
        <v>198</v>
      </c>
      <c r="AT132" s="23" t="s">
        <v>202</v>
      </c>
      <c r="AX132" s="14"/>
    </row>
    <row r="133" spans="1:50" ht="25" customHeight="1" thickTop="1" thickBot="1" x14ac:dyDescent="0.35">
      <c r="A133" s="63"/>
      <c r="B133" s="76"/>
      <c r="C133" s="25"/>
      <c r="D133" s="86"/>
      <c r="E133" s="36" t="s">
        <v>196</v>
      </c>
      <c r="F133" s="36">
        <v>1</v>
      </c>
      <c r="G133" s="86"/>
      <c r="H133" s="36" t="s">
        <v>159</v>
      </c>
      <c r="I133" s="36">
        <v>1</v>
      </c>
      <c r="J133" s="86"/>
      <c r="K133" s="36" t="s">
        <v>167</v>
      </c>
      <c r="L133" s="36">
        <v>1</v>
      </c>
      <c r="M133" s="18"/>
      <c r="O133" s="84"/>
      <c r="P133" s="2" t="s">
        <v>178</v>
      </c>
      <c r="Q133" s="2" t="s">
        <v>186</v>
      </c>
      <c r="R133" s="2" t="s">
        <v>190</v>
      </c>
      <c r="S133" s="14"/>
      <c r="U133" s="7" t="s">
        <v>146</v>
      </c>
      <c r="V133" s="7" t="s">
        <v>147</v>
      </c>
      <c r="W133" s="7" t="s">
        <v>148</v>
      </c>
      <c r="X133" s="7" t="s">
        <v>149</v>
      </c>
      <c r="Y133" s="7" t="s">
        <v>150</v>
      </c>
      <c r="Z133" s="8" t="s">
        <v>151</v>
      </c>
      <c r="AA133" s="7" t="s">
        <v>152</v>
      </c>
      <c r="AB133" s="7" t="s">
        <v>153</v>
      </c>
      <c r="AC133" s="7" t="s">
        <v>154</v>
      </c>
      <c r="AD133" s="7" t="s">
        <v>155</v>
      </c>
      <c r="AE133" s="8" t="s">
        <v>156</v>
      </c>
      <c r="AF133" s="7" t="s">
        <v>157</v>
      </c>
      <c r="AH133" s="7" t="s">
        <v>146</v>
      </c>
      <c r="AI133" s="7" t="s">
        <v>147</v>
      </c>
      <c r="AJ133" s="7" t="s">
        <v>158</v>
      </c>
      <c r="AK133" s="7" t="s">
        <v>159</v>
      </c>
      <c r="AL133" s="7" t="s">
        <v>160</v>
      </c>
      <c r="AM133" s="7" t="s">
        <v>161</v>
      </c>
      <c r="AN133" s="7" t="s">
        <v>162</v>
      </c>
      <c r="AO133" s="7" t="s">
        <v>163</v>
      </c>
      <c r="AP133" s="7" t="s">
        <v>164</v>
      </c>
      <c r="AR133" s="7" t="s">
        <v>146</v>
      </c>
      <c r="AS133" s="7" t="s">
        <v>147</v>
      </c>
      <c r="AT133" s="7" t="s">
        <v>165</v>
      </c>
      <c r="AU133" s="7" t="s">
        <v>166</v>
      </c>
      <c r="AV133" s="7" t="s">
        <v>167</v>
      </c>
      <c r="AW133" s="7" t="s">
        <v>168</v>
      </c>
      <c r="AX133" s="14"/>
    </row>
    <row r="134" spans="1:50" ht="23.5" customHeight="1" thickBot="1" x14ac:dyDescent="0.35">
      <c r="A134" s="63"/>
      <c r="B134" s="76"/>
      <c r="C134" s="25"/>
      <c r="D134" s="86"/>
      <c r="E134" s="1" t="s">
        <v>151</v>
      </c>
      <c r="F134" s="36">
        <v>1</v>
      </c>
      <c r="G134" s="86"/>
      <c r="H134" s="36" t="s">
        <v>199</v>
      </c>
      <c r="I134" s="36">
        <v>1</v>
      </c>
      <c r="J134" s="87"/>
      <c r="K134" s="38" t="s">
        <v>168</v>
      </c>
      <c r="L134" s="38">
        <v>1</v>
      </c>
      <c r="M134" s="18"/>
      <c r="O134" s="1">
        <v>1</v>
      </c>
      <c r="P134" s="1">
        <v>1</v>
      </c>
      <c r="Q134" s="1">
        <v>1</v>
      </c>
      <c r="R134" s="1">
        <v>0</v>
      </c>
      <c r="S134" s="14"/>
      <c r="U134" s="9" t="s">
        <v>171</v>
      </c>
      <c r="V134" s="10" t="s">
        <v>172</v>
      </c>
      <c r="W134" s="9">
        <v>7.56</v>
      </c>
      <c r="X134" s="9">
        <v>0.72</v>
      </c>
      <c r="Y134" s="9">
        <v>1.1000000000000001</v>
      </c>
      <c r="Z134" s="9">
        <v>0.63</v>
      </c>
      <c r="AA134" s="9">
        <v>2.67</v>
      </c>
      <c r="AB134" s="9">
        <v>0.84</v>
      </c>
      <c r="AC134" s="9">
        <v>0.93</v>
      </c>
      <c r="AD134" s="9">
        <v>1.1200000000000001</v>
      </c>
      <c r="AE134" s="9">
        <v>1.25</v>
      </c>
      <c r="AF134" s="9">
        <v>1.89</v>
      </c>
      <c r="AH134" s="9" t="s">
        <v>173</v>
      </c>
      <c r="AI134" s="10" t="s">
        <v>174</v>
      </c>
      <c r="AJ134" s="9">
        <v>6.92</v>
      </c>
      <c r="AK134" s="9">
        <v>7.45</v>
      </c>
      <c r="AL134" s="9">
        <v>3</v>
      </c>
      <c r="AM134" s="9">
        <v>7.89</v>
      </c>
      <c r="AN134" s="9">
        <v>2.4500000000000002</v>
      </c>
      <c r="AO134" s="9">
        <v>8.92</v>
      </c>
      <c r="AP134" s="9">
        <v>5.9</v>
      </c>
      <c r="AR134" s="9" t="s">
        <v>175</v>
      </c>
      <c r="AS134" s="10" t="s">
        <v>176</v>
      </c>
      <c r="AT134" s="9">
        <v>2.67</v>
      </c>
      <c r="AU134" s="9">
        <v>1.1599999999999999</v>
      </c>
      <c r="AV134" s="9">
        <v>2.1800000000000002</v>
      </c>
      <c r="AW134" s="9">
        <v>2</v>
      </c>
      <c r="AX134" s="14"/>
    </row>
    <row r="135" spans="1:50" ht="24" customHeight="1" thickTop="1" thickBot="1" x14ac:dyDescent="0.35">
      <c r="A135" s="63"/>
      <c r="B135" s="76"/>
      <c r="C135" s="25"/>
      <c r="D135" s="86"/>
      <c r="E135" s="36" t="s">
        <v>152</v>
      </c>
      <c r="F135" s="36">
        <v>1</v>
      </c>
      <c r="G135" s="86"/>
      <c r="H135" s="36" t="s">
        <v>200</v>
      </c>
      <c r="I135" s="36">
        <v>1</v>
      </c>
      <c r="J135" s="39"/>
      <c r="K135" s="39"/>
      <c r="L135" s="39"/>
      <c r="M135" s="18"/>
      <c r="O135" s="1">
        <v>2</v>
      </c>
      <c r="P135" s="1">
        <v>1</v>
      </c>
      <c r="Q135" s="1">
        <v>0</v>
      </c>
      <c r="R135" s="1">
        <v>1</v>
      </c>
      <c r="S135" s="14"/>
      <c r="U135" s="9" t="s">
        <v>179</v>
      </c>
      <c r="V135" s="10" t="s">
        <v>180</v>
      </c>
      <c r="W135" s="9">
        <v>8.32</v>
      </c>
      <c r="X135" s="9">
        <v>0.68</v>
      </c>
      <c r="Y135" s="9">
        <v>1.05</v>
      </c>
      <c r="Z135" s="9">
        <v>0.75</v>
      </c>
      <c r="AA135" s="9">
        <v>2.5</v>
      </c>
      <c r="AB135" s="9">
        <v>0.81</v>
      </c>
      <c r="AC135" s="9">
        <v>0.98</v>
      </c>
      <c r="AD135" s="9">
        <v>1</v>
      </c>
      <c r="AE135" s="9">
        <v>1.3</v>
      </c>
      <c r="AF135" s="9">
        <v>2.1</v>
      </c>
      <c r="AH135" s="11" t="s">
        <v>181</v>
      </c>
      <c r="AI135" s="12" t="s">
        <v>182</v>
      </c>
      <c r="AJ135" s="11">
        <v>6.05</v>
      </c>
      <c r="AK135" s="11">
        <v>6.5</v>
      </c>
      <c r="AL135" s="11">
        <v>3</v>
      </c>
      <c r="AM135" s="11">
        <v>6</v>
      </c>
      <c r="AN135" s="11">
        <v>1.5</v>
      </c>
      <c r="AO135" s="11">
        <v>7</v>
      </c>
      <c r="AP135" s="11">
        <v>5</v>
      </c>
      <c r="AR135" s="11" t="s">
        <v>183</v>
      </c>
      <c r="AS135" s="12" t="s">
        <v>184</v>
      </c>
      <c r="AT135" s="11">
        <v>3.42</v>
      </c>
      <c r="AU135" s="11">
        <v>1.04</v>
      </c>
      <c r="AV135" s="11">
        <v>2.75</v>
      </c>
      <c r="AW135" s="11">
        <v>2</v>
      </c>
      <c r="AX135" s="14"/>
    </row>
    <row r="136" spans="1:50" ht="23.5" customHeight="1" thickTop="1" thickBot="1" x14ac:dyDescent="0.35">
      <c r="A136" s="63"/>
      <c r="B136" s="76"/>
      <c r="C136" s="25"/>
      <c r="D136" s="86"/>
      <c r="E136" s="36" t="s">
        <v>153</v>
      </c>
      <c r="F136" s="36">
        <v>1</v>
      </c>
      <c r="G136" s="86"/>
      <c r="H136" s="36" t="s">
        <v>201</v>
      </c>
      <c r="I136" s="36">
        <v>1</v>
      </c>
      <c r="J136" s="25"/>
      <c r="K136" s="25"/>
      <c r="L136" s="25"/>
      <c r="M136" s="18"/>
      <c r="O136" s="4">
        <v>3</v>
      </c>
      <c r="P136" s="4">
        <v>0</v>
      </c>
      <c r="Q136" s="4">
        <v>0</v>
      </c>
      <c r="R136" s="4">
        <v>1</v>
      </c>
      <c r="S136" s="14"/>
      <c r="U136" s="11" t="s">
        <v>187</v>
      </c>
      <c r="V136" s="12" t="s">
        <v>188</v>
      </c>
      <c r="W136" s="11">
        <v>9.15</v>
      </c>
      <c r="X136" s="11">
        <v>0.85</v>
      </c>
      <c r="Y136" s="11">
        <v>1.25</v>
      </c>
      <c r="Z136" s="11">
        <v>0.57999999999999996</v>
      </c>
      <c r="AA136" s="11">
        <v>2.92</v>
      </c>
      <c r="AB136" s="11">
        <v>0.88</v>
      </c>
      <c r="AC136" s="11">
        <v>1</v>
      </c>
      <c r="AD136" s="11">
        <v>1.2</v>
      </c>
      <c r="AE136" s="11">
        <v>1.4</v>
      </c>
      <c r="AF136" s="11">
        <v>2.4500000000000002</v>
      </c>
      <c r="AX136" s="14"/>
    </row>
    <row r="137" spans="1:50" ht="23.5" customHeight="1" thickTop="1" thickBot="1" x14ac:dyDescent="0.35">
      <c r="A137" s="63"/>
      <c r="B137" s="76"/>
      <c r="C137" s="25"/>
      <c r="D137" s="86"/>
      <c r="E137" s="1" t="s">
        <v>156</v>
      </c>
      <c r="F137" s="36">
        <v>1</v>
      </c>
      <c r="G137" s="87"/>
      <c r="H137" s="38" t="s">
        <v>164</v>
      </c>
      <c r="I137" s="38">
        <v>1</v>
      </c>
      <c r="J137" s="36"/>
      <c r="K137" s="25"/>
      <c r="L137" s="25"/>
      <c r="M137" s="18"/>
      <c r="O137" s="1"/>
      <c r="P137" s="1"/>
      <c r="Q137" s="1"/>
      <c r="R137" s="1"/>
      <c r="S137" s="14"/>
      <c r="U137" s="9"/>
      <c r="V137" s="10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X137" s="14"/>
    </row>
    <row r="138" spans="1:50" ht="23.5" customHeight="1" thickTop="1" thickBot="1" x14ac:dyDescent="0.35">
      <c r="A138" s="63"/>
      <c r="B138" s="76"/>
      <c r="C138" s="25"/>
      <c r="D138" s="87"/>
      <c r="E138" s="38" t="s">
        <v>197</v>
      </c>
      <c r="F138" s="38">
        <v>1</v>
      </c>
      <c r="G138" s="39"/>
      <c r="H138" s="39"/>
      <c r="I138" s="39"/>
      <c r="J138" s="36"/>
      <c r="K138" s="36"/>
      <c r="L138" s="25"/>
      <c r="M138" s="18"/>
      <c r="O138" s="1"/>
      <c r="P138" s="1"/>
      <c r="Q138" s="1"/>
      <c r="R138" s="1"/>
      <c r="S138" s="14"/>
      <c r="U138" s="9"/>
      <c r="V138" s="10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X138" s="14"/>
    </row>
    <row r="139" spans="1:50" ht="23" customHeight="1" thickTop="1" x14ac:dyDescent="0.3">
      <c r="A139" s="63"/>
      <c r="B139" s="76"/>
      <c r="C139" s="25"/>
      <c r="D139" s="39"/>
      <c r="E139" s="39"/>
      <c r="F139" s="39"/>
      <c r="G139" s="25"/>
      <c r="H139" s="25"/>
      <c r="I139" s="25"/>
      <c r="J139" s="25"/>
      <c r="K139" s="25"/>
      <c r="L139" s="25"/>
      <c r="M139" s="18"/>
      <c r="O139" s="1"/>
      <c r="P139" s="1"/>
      <c r="Q139" s="1"/>
      <c r="R139" s="1"/>
      <c r="S139" s="14"/>
      <c r="AX139" s="14"/>
    </row>
    <row r="140" spans="1:50" ht="23" customHeight="1" thickBot="1" x14ac:dyDescent="0.35">
      <c r="A140" s="63"/>
      <c r="B140" s="81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19"/>
      <c r="N140" s="15"/>
      <c r="O140" s="15"/>
      <c r="P140" s="15"/>
      <c r="Q140" s="15"/>
      <c r="R140" s="15"/>
      <c r="S140" s="16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6"/>
    </row>
    <row r="141" spans="1:50" ht="15" customHeight="1" thickTop="1" thickBot="1" x14ac:dyDescent="0.35">
      <c r="A141" s="63"/>
      <c r="B141" s="89" t="s">
        <v>37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17"/>
      <c r="N141" s="24"/>
      <c r="O141" s="24"/>
      <c r="P141" s="24"/>
      <c r="Q141" s="24"/>
      <c r="R141" s="24"/>
      <c r="S141" s="1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17"/>
    </row>
    <row r="142" spans="1:50" ht="31" customHeight="1" thickTop="1" thickBot="1" x14ac:dyDescent="0.35">
      <c r="A142" s="63"/>
      <c r="B142" s="76"/>
      <c r="C142" s="24"/>
      <c r="D142" s="27" t="s">
        <v>191</v>
      </c>
      <c r="E142" s="27" t="s">
        <v>192</v>
      </c>
      <c r="F142" s="27" t="s">
        <v>193</v>
      </c>
      <c r="G142" s="27" t="s">
        <v>191</v>
      </c>
      <c r="H142" s="27" t="s">
        <v>192</v>
      </c>
      <c r="I142" s="27" t="s">
        <v>193</v>
      </c>
      <c r="J142" s="27" t="s">
        <v>191</v>
      </c>
      <c r="K142" s="27" t="s">
        <v>192</v>
      </c>
      <c r="L142" s="27" t="s">
        <v>193</v>
      </c>
      <c r="M142" s="17"/>
      <c r="N142" s="24"/>
      <c r="O142" s="24"/>
      <c r="P142" s="24"/>
      <c r="Q142" s="24"/>
      <c r="R142" s="24"/>
      <c r="S142" s="1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17"/>
    </row>
    <row r="143" spans="1:50" ht="23.5" customHeight="1" thickTop="1" thickBot="1" x14ac:dyDescent="0.35">
      <c r="A143" s="63"/>
      <c r="B143" s="76"/>
      <c r="C143" s="33"/>
      <c r="D143" s="88" t="s">
        <v>194</v>
      </c>
      <c r="E143" s="36" t="s">
        <v>148</v>
      </c>
      <c r="F143" s="36">
        <v>5</v>
      </c>
      <c r="G143" s="85" t="s">
        <v>198</v>
      </c>
      <c r="H143" s="36" t="s">
        <v>158</v>
      </c>
      <c r="I143" s="36">
        <v>1</v>
      </c>
      <c r="J143" s="85" t="s">
        <v>202</v>
      </c>
      <c r="K143" s="36" t="s">
        <v>203</v>
      </c>
      <c r="L143" s="36">
        <v>2</v>
      </c>
      <c r="M143" s="18"/>
      <c r="N143" s="13"/>
      <c r="O143" s="34"/>
      <c r="P143" s="34"/>
      <c r="Q143" s="34"/>
      <c r="S143" s="14"/>
      <c r="T143" s="13"/>
      <c r="AX143" s="14"/>
    </row>
    <row r="144" spans="1:50" ht="23.5" customHeight="1" thickTop="1" thickBot="1" x14ac:dyDescent="0.35">
      <c r="A144" s="63"/>
      <c r="B144" s="76"/>
      <c r="C144" s="25"/>
      <c r="D144" s="86"/>
      <c r="E144" s="36" t="s">
        <v>195</v>
      </c>
      <c r="F144" s="36">
        <v>1</v>
      </c>
      <c r="G144" s="86"/>
      <c r="H144" s="36" t="s">
        <v>159</v>
      </c>
      <c r="I144" s="36">
        <v>1</v>
      </c>
      <c r="J144" s="86"/>
      <c r="K144" s="36" t="s">
        <v>166</v>
      </c>
      <c r="L144" s="36">
        <v>1</v>
      </c>
      <c r="M144" s="18"/>
      <c r="O144" s="82" t="s">
        <v>205</v>
      </c>
      <c r="P144" s="82" t="s">
        <v>206</v>
      </c>
      <c r="Q144" s="83"/>
      <c r="R144" s="83"/>
      <c r="S144" s="14"/>
      <c r="Z144" s="23" t="s">
        <v>194</v>
      </c>
      <c r="AK144" s="23" t="s">
        <v>198</v>
      </c>
      <c r="AT144" s="23" t="s">
        <v>202</v>
      </c>
      <c r="AX144" s="14"/>
    </row>
    <row r="145" spans="1:50" ht="25" customHeight="1" thickTop="1" thickBot="1" x14ac:dyDescent="0.35">
      <c r="A145" s="63"/>
      <c r="B145" s="76"/>
      <c r="C145" s="25"/>
      <c r="D145" s="86"/>
      <c r="E145" s="36" t="s">
        <v>196</v>
      </c>
      <c r="F145" s="36">
        <v>1</v>
      </c>
      <c r="G145" s="86"/>
      <c r="H145" s="36" t="s">
        <v>160</v>
      </c>
      <c r="I145" s="36">
        <v>1</v>
      </c>
      <c r="J145" s="86"/>
      <c r="K145" s="36" t="s">
        <v>167</v>
      </c>
      <c r="L145" s="36">
        <v>1</v>
      </c>
      <c r="M145" s="18"/>
      <c r="O145" s="84"/>
      <c r="P145" s="2" t="s">
        <v>178</v>
      </c>
      <c r="Q145" s="2" t="s">
        <v>186</v>
      </c>
      <c r="R145" s="2" t="s">
        <v>190</v>
      </c>
      <c r="S145" s="14"/>
      <c r="U145" s="7" t="s">
        <v>146</v>
      </c>
      <c r="V145" s="7" t="s">
        <v>147</v>
      </c>
      <c r="W145" s="7" t="s">
        <v>148</v>
      </c>
      <c r="X145" s="7" t="s">
        <v>149</v>
      </c>
      <c r="Y145" s="7" t="s">
        <v>150</v>
      </c>
      <c r="Z145" s="8" t="s">
        <v>151</v>
      </c>
      <c r="AA145" s="7" t="s">
        <v>152</v>
      </c>
      <c r="AB145" s="7" t="s">
        <v>153</v>
      </c>
      <c r="AC145" s="7" t="s">
        <v>154</v>
      </c>
      <c r="AD145" s="7" t="s">
        <v>155</v>
      </c>
      <c r="AE145" s="8" t="s">
        <v>156</v>
      </c>
      <c r="AF145" s="7" t="s">
        <v>157</v>
      </c>
      <c r="AH145" s="7" t="s">
        <v>146</v>
      </c>
      <c r="AI145" s="7" t="s">
        <v>147</v>
      </c>
      <c r="AJ145" s="7" t="s">
        <v>158</v>
      </c>
      <c r="AK145" s="7" t="s">
        <v>159</v>
      </c>
      <c r="AL145" s="7" t="s">
        <v>160</v>
      </c>
      <c r="AM145" s="7" t="s">
        <v>161</v>
      </c>
      <c r="AN145" s="7" t="s">
        <v>162</v>
      </c>
      <c r="AO145" s="7" t="s">
        <v>163</v>
      </c>
      <c r="AP145" s="7" t="s">
        <v>164</v>
      </c>
      <c r="AR145" s="7" t="s">
        <v>146</v>
      </c>
      <c r="AS145" s="7" t="s">
        <v>147</v>
      </c>
      <c r="AT145" s="7" t="s">
        <v>165</v>
      </c>
      <c r="AU145" s="7" t="s">
        <v>166</v>
      </c>
      <c r="AV145" s="7" t="s">
        <v>167</v>
      </c>
      <c r="AW145" s="7" t="s">
        <v>168</v>
      </c>
      <c r="AX145" s="14"/>
    </row>
    <row r="146" spans="1:50" ht="23.5" customHeight="1" thickBot="1" x14ac:dyDescent="0.35">
      <c r="A146" s="63"/>
      <c r="B146" s="76"/>
      <c r="C146" s="25"/>
      <c r="D146" s="86"/>
      <c r="E146" s="1" t="s">
        <v>151</v>
      </c>
      <c r="F146" s="36">
        <v>1</v>
      </c>
      <c r="G146" s="86"/>
      <c r="H146" s="36" t="s">
        <v>199</v>
      </c>
      <c r="I146" s="36">
        <v>1</v>
      </c>
      <c r="J146" s="87"/>
      <c r="K146" s="38" t="s">
        <v>168</v>
      </c>
      <c r="L146" s="38">
        <v>1</v>
      </c>
      <c r="M146" s="18"/>
      <c r="O146" s="1">
        <v>1</v>
      </c>
      <c r="P146" s="1">
        <v>1</v>
      </c>
      <c r="Q146" s="1">
        <v>2</v>
      </c>
      <c r="R146" s="1">
        <v>0</v>
      </c>
      <c r="S146" s="14"/>
      <c r="U146" s="9" t="s">
        <v>171</v>
      </c>
      <c r="V146" s="10" t="s">
        <v>172</v>
      </c>
      <c r="W146" s="9">
        <v>7.09</v>
      </c>
      <c r="X146" s="9">
        <v>0.78</v>
      </c>
      <c r="Y146" s="9">
        <v>1.18</v>
      </c>
      <c r="Z146" s="9">
        <v>0.69</v>
      </c>
      <c r="AA146" s="9">
        <v>2.5</v>
      </c>
      <c r="AB146" s="9">
        <v>0.87</v>
      </c>
      <c r="AC146" s="9">
        <v>0.95</v>
      </c>
      <c r="AD146" s="9">
        <v>1.05</v>
      </c>
      <c r="AE146" s="9">
        <v>1.1000000000000001</v>
      </c>
      <c r="AF146" s="9">
        <v>1.5</v>
      </c>
      <c r="AH146" s="9" t="s">
        <v>173</v>
      </c>
      <c r="AI146" s="10" t="s">
        <v>174</v>
      </c>
      <c r="AJ146" s="9">
        <v>6.36</v>
      </c>
      <c r="AK146" s="9">
        <v>6.78</v>
      </c>
      <c r="AL146" s="9">
        <v>3</v>
      </c>
      <c r="AM146" s="9">
        <v>6.92</v>
      </c>
      <c r="AN146" s="9">
        <v>1.78</v>
      </c>
      <c r="AO146" s="9">
        <v>7.26</v>
      </c>
      <c r="AP146" s="9">
        <v>5.38</v>
      </c>
      <c r="AR146" s="9" t="s">
        <v>175</v>
      </c>
      <c r="AS146" s="10" t="s">
        <v>176</v>
      </c>
      <c r="AT146" s="9">
        <v>3.05</v>
      </c>
      <c r="AU146" s="9">
        <v>1.23</v>
      </c>
      <c r="AV146" s="9">
        <v>2.6</v>
      </c>
      <c r="AW146" s="9">
        <v>2</v>
      </c>
      <c r="AX146" s="14"/>
    </row>
    <row r="147" spans="1:50" ht="24" customHeight="1" thickTop="1" thickBot="1" x14ac:dyDescent="0.35">
      <c r="A147" s="63"/>
      <c r="B147" s="76"/>
      <c r="C147" s="25"/>
      <c r="D147" s="86"/>
      <c r="E147" s="36" t="s">
        <v>152</v>
      </c>
      <c r="F147" s="36">
        <v>1</v>
      </c>
      <c r="G147" s="86"/>
      <c r="H147" s="36" t="s">
        <v>200</v>
      </c>
      <c r="I147" s="36">
        <v>1</v>
      </c>
      <c r="J147" s="39"/>
      <c r="K147" s="39"/>
      <c r="L147" s="39"/>
      <c r="M147" s="18"/>
      <c r="O147" s="1">
        <v>2</v>
      </c>
      <c r="P147" s="1">
        <v>1</v>
      </c>
      <c r="Q147" s="1">
        <v>0</v>
      </c>
      <c r="R147" s="1">
        <v>0</v>
      </c>
      <c r="S147" s="14"/>
      <c r="U147" s="9" t="s">
        <v>179</v>
      </c>
      <c r="V147" s="10" t="s">
        <v>180</v>
      </c>
      <c r="W147" s="9">
        <v>8.77</v>
      </c>
      <c r="X147" s="9">
        <v>0.65</v>
      </c>
      <c r="Y147" s="9">
        <v>1.02</v>
      </c>
      <c r="Z147" s="9">
        <v>0.61</v>
      </c>
      <c r="AA147" s="9">
        <v>2.73</v>
      </c>
      <c r="AB147" s="9">
        <v>0.83</v>
      </c>
      <c r="AC147" s="9">
        <v>0.99</v>
      </c>
      <c r="AD147" s="9">
        <v>1.18</v>
      </c>
      <c r="AE147" s="9">
        <v>1.22</v>
      </c>
      <c r="AF147" s="9">
        <v>2.23</v>
      </c>
      <c r="AH147" s="11" t="s">
        <v>181</v>
      </c>
      <c r="AI147" s="12" t="s">
        <v>182</v>
      </c>
      <c r="AJ147" s="11">
        <v>6.83</v>
      </c>
      <c r="AK147" s="11">
        <v>7.34</v>
      </c>
      <c r="AL147" s="11">
        <v>3</v>
      </c>
      <c r="AM147" s="11">
        <v>7.56</v>
      </c>
      <c r="AN147" s="11">
        <v>2.2599999999999998</v>
      </c>
      <c r="AO147" s="11">
        <v>8.5399999999999991</v>
      </c>
      <c r="AP147" s="11">
        <v>5.87</v>
      </c>
      <c r="AR147" s="11" t="s">
        <v>183</v>
      </c>
      <c r="AS147" s="12" t="s">
        <v>184</v>
      </c>
      <c r="AT147" s="11">
        <v>2.81</v>
      </c>
      <c r="AU147" s="11">
        <v>1.05</v>
      </c>
      <c r="AV147" s="11">
        <v>2.4500000000000002</v>
      </c>
      <c r="AW147" s="11">
        <v>2</v>
      </c>
      <c r="AX147" s="14"/>
    </row>
    <row r="148" spans="1:50" ht="23.5" customHeight="1" thickTop="1" thickBot="1" x14ac:dyDescent="0.35">
      <c r="A148" s="63"/>
      <c r="B148" s="76"/>
      <c r="C148" s="25"/>
      <c r="D148" s="86"/>
      <c r="E148" s="36" t="s">
        <v>153</v>
      </c>
      <c r="F148" s="36">
        <v>1</v>
      </c>
      <c r="G148" s="86"/>
      <c r="H148" s="36" t="s">
        <v>201</v>
      </c>
      <c r="I148" s="36">
        <v>1</v>
      </c>
      <c r="J148" s="25"/>
      <c r="K148" s="25"/>
      <c r="L148" s="25"/>
      <c r="M148" s="18"/>
      <c r="O148" s="4">
        <v>3</v>
      </c>
      <c r="P148" s="4">
        <v>0</v>
      </c>
      <c r="Q148" s="4">
        <v>0</v>
      </c>
      <c r="R148" s="4">
        <v>1</v>
      </c>
      <c r="S148" s="14"/>
      <c r="U148" s="11" t="s">
        <v>187</v>
      </c>
      <c r="V148" s="12" t="s">
        <v>188</v>
      </c>
      <c r="W148" s="11">
        <v>9.25</v>
      </c>
      <c r="X148" s="11">
        <v>0.9</v>
      </c>
      <c r="Y148" s="11">
        <v>1.2</v>
      </c>
      <c r="Z148" s="11">
        <v>0.72</v>
      </c>
      <c r="AA148" s="11">
        <v>2.5</v>
      </c>
      <c r="AB148" s="11">
        <v>0.8</v>
      </c>
      <c r="AC148" s="11">
        <v>0.91</v>
      </c>
      <c r="AD148" s="11">
        <v>1</v>
      </c>
      <c r="AE148" s="11">
        <v>1.35</v>
      </c>
      <c r="AF148" s="11">
        <v>1.76</v>
      </c>
      <c r="AX148" s="14"/>
    </row>
    <row r="149" spans="1:50" ht="23.5" customHeight="1" thickTop="1" thickBot="1" x14ac:dyDescent="0.35">
      <c r="A149" s="63"/>
      <c r="B149" s="76"/>
      <c r="C149" s="25"/>
      <c r="D149" s="86"/>
      <c r="E149" s="1" t="s">
        <v>156</v>
      </c>
      <c r="F149" s="36">
        <v>1</v>
      </c>
      <c r="G149" s="87"/>
      <c r="H149" s="38" t="s">
        <v>164</v>
      </c>
      <c r="I149" s="38">
        <v>1</v>
      </c>
      <c r="J149" s="36"/>
      <c r="K149" s="25"/>
      <c r="L149" s="25"/>
      <c r="M149" s="18"/>
      <c r="O149" s="1"/>
      <c r="P149" s="1"/>
      <c r="Q149" s="1"/>
      <c r="R149" s="1"/>
      <c r="S149" s="14"/>
      <c r="U149" s="9"/>
      <c r="V149" s="10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X149" s="14"/>
    </row>
    <row r="150" spans="1:50" ht="23.5" customHeight="1" thickTop="1" thickBot="1" x14ac:dyDescent="0.35">
      <c r="A150" s="63"/>
      <c r="B150" s="76"/>
      <c r="C150" s="25"/>
      <c r="D150" s="87"/>
      <c r="E150" s="38" t="s">
        <v>197</v>
      </c>
      <c r="F150" s="38">
        <v>1</v>
      </c>
      <c r="G150" s="39"/>
      <c r="H150" s="39"/>
      <c r="I150" s="39"/>
      <c r="J150" s="36"/>
      <c r="K150" s="36"/>
      <c r="L150" s="25"/>
      <c r="M150" s="18"/>
      <c r="O150" s="1"/>
      <c r="P150" s="1"/>
      <c r="Q150" s="1"/>
      <c r="R150" s="1"/>
      <c r="S150" s="14"/>
      <c r="U150" s="9"/>
      <c r="V150" s="10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X150" s="14"/>
    </row>
    <row r="151" spans="1:50" ht="23" customHeight="1" thickTop="1" x14ac:dyDescent="0.3">
      <c r="A151" s="63"/>
      <c r="B151" s="76"/>
      <c r="C151" s="25"/>
      <c r="D151" s="39"/>
      <c r="E151" s="39"/>
      <c r="F151" s="39"/>
      <c r="G151" s="25"/>
      <c r="H151" s="25"/>
      <c r="I151" s="25"/>
      <c r="J151" s="25"/>
      <c r="K151" s="25"/>
      <c r="L151" s="25"/>
      <c r="M151" s="18"/>
      <c r="O151" s="1"/>
      <c r="P151" s="1"/>
      <c r="Q151" s="1"/>
      <c r="R151" s="1"/>
      <c r="S151" s="14"/>
      <c r="AX151" s="14"/>
    </row>
    <row r="152" spans="1:50" ht="23" customHeight="1" thickBot="1" x14ac:dyDescent="0.35">
      <c r="A152" s="63"/>
      <c r="B152" s="81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19"/>
      <c r="N152" s="15"/>
      <c r="O152" s="15"/>
      <c r="P152" s="15"/>
      <c r="Q152" s="15"/>
      <c r="R152" s="15"/>
      <c r="S152" s="16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6"/>
    </row>
    <row r="153" spans="1:50" ht="15" customHeight="1" thickTop="1" thickBot="1" x14ac:dyDescent="0.35">
      <c r="A153" s="63"/>
      <c r="B153" s="89" t="s">
        <v>38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17"/>
      <c r="N153" s="24"/>
      <c r="O153" s="24"/>
      <c r="P153" s="24"/>
      <c r="Q153" s="24"/>
      <c r="R153" s="24"/>
      <c r="S153" s="1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17"/>
    </row>
    <row r="154" spans="1:50" ht="31" customHeight="1" thickTop="1" thickBot="1" x14ac:dyDescent="0.35">
      <c r="A154" s="63"/>
      <c r="B154" s="76"/>
      <c r="C154" s="24"/>
      <c r="D154" s="27" t="s">
        <v>191</v>
      </c>
      <c r="E154" s="27" t="s">
        <v>192</v>
      </c>
      <c r="F154" s="27" t="s">
        <v>193</v>
      </c>
      <c r="G154" s="27" t="s">
        <v>191</v>
      </c>
      <c r="H154" s="27" t="s">
        <v>192</v>
      </c>
      <c r="I154" s="27" t="s">
        <v>193</v>
      </c>
      <c r="J154" s="27" t="s">
        <v>191</v>
      </c>
      <c r="K154" s="27" t="s">
        <v>192</v>
      </c>
      <c r="L154" s="27" t="s">
        <v>193</v>
      </c>
      <c r="M154" s="17"/>
      <c r="N154" s="24"/>
      <c r="O154" s="24"/>
      <c r="P154" s="24"/>
      <c r="Q154" s="24"/>
      <c r="R154" s="24"/>
      <c r="S154" s="1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17"/>
    </row>
    <row r="155" spans="1:50" ht="23.5" customHeight="1" thickTop="1" thickBot="1" x14ac:dyDescent="0.35">
      <c r="A155" s="63"/>
      <c r="B155" s="76"/>
      <c r="C155" s="33"/>
      <c r="D155" s="88" t="s">
        <v>194</v>
      </c>
      <c r="E155" s="36" t="s">
        <v>148</v>
      </c>
      <c r="F155" s="36">
        <v>5</v>
      </c>
      <c r="G155" s="85" t="s">
        <v>198</v>
      </c>
      <c r="H155" s="36" t="s">
        <v>158</v>
      </c>
      <c r="I155" s="36">
        <v>1</v>
      </c>
      <c r="J155" s="85" t="s">
        <v>202</v>
      </c>
      <c r="K155" s="36" t="s">
        <v>203</v>
      </c>
      <c r="L155" s="36">
        <v>2</v>
      </c>
      <c r="M155" s="18"/>
      <c r="N155" s="13"/>
      <c r="O155" s="34"/>
      <c r="P155" s="34"/>
      <c r="Q155" s="24"/>
      <c r="S155" s="14"/>
      <c r="T155" s="13"/>
      <c r="AX155" s="14"/>
    </row>
    <row r="156" spans="1:50" ht="23.5" customHeight="1" thickTop="1" thickBot="1" x14ac:dyDescent="0.35">
      <c r="A156" s="63"/>
      <c r="B156" s="76"/>
      <c r="C156" s="25"/>
      <c r="D156" s="86"/>
      <c r="E156" s="36" t="s">
        <v>195</v>
      </c>
      <c r="F156" s="36">
        <v>1</v>
      </c>
      <c r="G156" s="86"/>
      <c r="H156" s="36" t="s">
        <v>159</v>
      </c>
      <c r="I156" s="36">
        <v>1</v>
      </c>
      <c r="J156" s="86"/>
      <c r="K156" s="36" t="s">
        <v>166</v>
      </c>
      <c r="L156" s="36">
        <v>1</v>
      </c>
      <c r="M156" s="18"/>
      <c r="O156" s="82" t="s">
        <v>205</v>
      </c>
      <c r="P156" s="82" t="s">
        <v>206</v>
      </c>
      <c r="Q156" s="83"/>
      <c r="R156" s="83"/>
      <c r="S156" s="14"/>
      <c r="Z156" s="23" t="s">
        <v>194</v>
      </c>
      <c r="AK156" s="23" t="s">
        <v>198</v>
      </c>
      <c r="AT156" s="23" t="s">
        <v>202</v>
      </c>
      <c r="AX156" s="14"/>
    </row>
    <row r="157" spans="1:50" ht="25" customHeight="1" thickTop="1" thickBot="1" x14ac:dyDescent="0.35">
      <c r="A157" s="63"/>
      <c r="B157" s="76"/>
      <c r="C157" s="25"/>
      <c r="D157" s="86"/>
      <c r="E157" s="36" t="s">
        <v>196</v>
      </c>
      <c r="F157" s="36">
        <v>1</v>
      </c>
      <c r="G157" s="86"/>
      <c r="H157" s="36" t="s">
        <v>160</v>
      </c>
      <c r="I157" s="36">
        <v>1</v>
      </c>
      <c r="J157" s="86"/>
      <c r="K157" s="36" t="s">
        <v>167</v>
      </c>
      <c r="L157" s="36">
        <v>1</v>
      </c>
      <c r="M157" s="18"/>
      <c r="O157" s="84"/>
      <c r="P157" s="2" t="s">
        <v>178</v>
      </c>
      <c r="Q157" s="2" t="s">
        <v>186</v>
      </c>
      <c r="R157" s="2" t="s">
        <v>190</v>
      </c>
      <c r="S157" s="14"/>
      <c r="U157" s="7" t="s">
        <v>146</v>
      </c>
      <c r="V157" s="7" t="s">
        <v>147</v>
      </c>
      <c r="W157" s="7" t="s">
        <v>148</v>
      </c>
      <c r="X157" s="7" t="s">
        <v>149</v>
      </c>
      <c r="Y157" s="7" t="s">
        <v>150</v>
      </c>
      <c r="Z157" s="8" t="s">
        <v>151</v>
      </c>
      <c r="AA157" s="7" t="s">
        <v>152</v>
      </c>
      <c r="AB157" s="7" t="s">
        <v>153</v>
      </c>
      <c r="AC157" s="7" t="s">
        <v>154</v>
      </c>
      <c r="AD157" s="7" t="s">
        <v>155</v>
      </c>
      <c r="AE157" s="8" t="s">
        <v>156</v>
      </c>
      <c r="AF157" s="7" t="s">
        <v>157</v>
      </c>
      <c r="AH157" s="7" t="s">
        <v>146</v>
      </c>
      <c r="AI157" s="7" t="s">
        <v>147</v>
      </c>
      <c r="AJ157" s="7" t="s">
        <v>158</v>
      </c>
      <c r="AK157" s="7" t="s">
        <v>159</v>
      </c>
      <c r="AL157" s="7" t="s">
        <v>160</v>
      </c>
      <c r="AM157" s="7" t="s">
        <v>161</v>
      </c>
      <c r="AN157" s="7" t="s">
        <v>162</v>
      </c>
      <c r="AO157" s="7" t="s">
        <v>163</v>
      </c>
      <c r="AP157" s="7" t="s">
        <v>164</v>
      </c>
      <c r="AR157" s="7" t="s">
        <v>146</v>
      </c>
      <c r="AS157" s="7" t="s">
        <v>147</v>
      </c>
      <c r="AT157" s="7" t="s">
        <v>165</v>
      </c>
      <c r="AU157" s="7" t="s">
        <v>166</v>
      </c>
      <c r="AV157" s="7" t="s">
        <v>167</v>
      </c>
      <c r="AW157" s="7" t="s">
        <v>168</v>
      </c>
      <c r="AX157" s="14"/>
    </row>
    <row r="158" spans="1:50" ht="23.5" customHeight="1" thickBot="1" x14ac:dyDescent="0.35">
      <c r="A158" s="63"/>
      <c r="B158" s="76"/>
      <c r="C158" s="25"/>
      <c r="D158" s="86"/>
      <c r="E158" s="1" t="s">
        <v>151</v>
      </c>
      <c r="F158" s="36">
        <v>1</v>
      </c>
      <c r="G158" s="86"/>
      <c r="H158" s="36" t="s">
        <v>199</v>
      </c>
      <c r="I158" s="36">
        <v>1</v>
      </c>
      <c r="J158" s="87"/>
      <c r="K158" s="38" t="s">
        <v>168</v>
      </c>
      <c r="L158" s="38">
        <v>1</v>
      </c>
      <c r="M158" s="18"/>
      <c r="O158" s="1">
        <v>1</v>
      </c>
      <c r="P158" s="1">
        <v>0</v>
      </c>
      <c r="Q158" s="1">
        <v>1</v>
      </c>
      <c r="R158" s="1">
        <v>0</v>
      </c>
      <c r="S158" s="14"/>
      <c r="U158" s="9" t="s">
        <v>171</v>
      </c>
      <c r="V158" s="10" t="s">
        <v>172</v>
      </c>
      <c r="W158" s="9">
        <v>7.83</v>
      </c>
      <c r="X158" s="9">
        <v>0.7</v>
      </c>
      <c r="Y158" s="9">
        <v>1.1299999999999999</v>
      </c>
      <c r="Z158" s="9">
        <v>0.56999999999999995</v>
      </c>
      <c r="AA158" s="9">
        <v>2.85</v>
      </c>
      <c r="AB158" s="9">
        <v>0.85</v>
      </c>
      <c r="AC158" s="9">
        <v>0.97</v>
      </c>
      <c r="AD158" s="9">
        <v>1.2</v>
      </c>
      <c r="AE158" s="9">
        <v>1.08</v>
      </c>
      <c r="AF158" s="9">
        <v>2.0099999999999998</v>
      </c>
      <c r="AH158" s="9" t="s">
        <v>173</v>
      </c>
      <c r="AI158" s="10" t="s">
        <v>174</v>
      </c>
      <c r="AJ158" s="9">
        <v>6.11</v>
      </c>
      <c r="AK158" s="9">
        <v>6.52</v>
      </c>
      <c r="AL158" s="9">
        <v>3</v>
      </c>
      <c r="AM158" s="9">
        <v>6.08</v>
      </c>
      <c r="AN158" s="9">
        <v>1.53</v>
      </c>
      <c r="AO158" s="9">
        <v>7.05</v>
      </c>
      <c r="AP158" s="9">
        <v>5.03</v>
      </c>
      <c r="AR158" s="9" t="s">
        <v>175</v>
      </c>
      <c r="AS158" s="10" t="s">
        <v>176</v>
      </c>
      <c r="AT158" s="9">
        <v>3.35</v>
      </c>
      <c r="AU158" s="9">
        <v>1.1100000000000001</v>
      </c>
      <c r="AV158" s="9">
        <v>2.9</v>
      </c>
      <c r="AW158" s="9">
        <v>2</v>
      </c>
      <c r="AX158" s="14"/>
    </row>
    <row r="159" spans="1:50" ht="24" customHeight="1" thickTop="1" thickBot="1" x14ac:dyDescent="0.35">
      <c r="A159" s="63"/>
      <c r="B159" s="76"/>
      <c r="C159" s="25"/>
      <c r="D159" s="86"/>
      <c r="E159" s="36" t="s">
        <v>152</v>
      </c>
      <c r="F159" s="36">
        <v>1</v>
      </c>
      <c r="G159" s="86"/>
      <c r="H159" s="36" t="s">
        <v>200</v>
      </c>
      <c r="I159" s="36">
        <v>1</v>
      </c>
      <c r="J159" s="39"/>
      <c r="K159" s="39"/>
      <c r="L159" s="39"/>
      <c r="M159" s="18"/>
      <c r="O159" s="1">
        <v>2</v>
      </c>
      <c r="P159" s="1">
        <v>0</v>
      </c>
      <c r="Q159" s="1">
        <v>1</v>
      </c>
      <c r="R159" s="1">
        <v>0</v>
      </c>
      <c r="S159" s="14"/>
      <c r="U159" s="9" t="s">
        <v>179</v>
      </c>
      <c r="V159" s="10" t="s">
        <v>180</v>
      </c>
      <c r="W159" s="9">
        <v>8.14</v>
      </c>
      <c r="X159" s="9">
        <v>0.82</v>
      </c>
      <c r="Y159" s="9">
        <v>1.07</v>
      </c>
      <c r="Z159" s="9">
        <v>0.68</v>
      </c>
      <c r="AA159" s="9">
        <v>2.5</v>
      </c>
      <c r="AB159" s="9">
        <v>0.89</v>
      </c>
      <c r="AC159" s="9">
        <v>0.92</v>
      </c>
      <c r="AD159" s="9">
        <v>1.03</v>
      </c>
      <c r="AE159" s="9">
        <v>1.1499999999999999</v>
      </c>
      <c r="AF159" s="9">
        <v>1.64</v>
      </c>
      <c r="AH159" s="11" t="s">
        <v>181</v>
      </c>
      <c r="AI159" s="12" t="s">
        <v>182</v>
      </c>
      <c r="AJ159" s="11">
        <v>6.97</v>
      </c>
      <c r="AK159" s="11">
        <v>7.47</v>
      </c>
      <c r="AL159" s="11">
        <v>3</v>
      </c>
      <c r="AM159" s="11">
        <v>7.95</v>
      </c>
      <c r="AN159" s="11">
        <v>2.4700000000000002</v>
      </c>
      <c r="AO159" s="11">
        <v>8.9700000000000006</v>
      </c>
      <c r="AP159" s="11">
        <v>5.98</v>
      </c>
      <c r="AR159" s="11" t="s">
        <v>183</v>
      </c>
      <c r="AS159" s="12" t="s">
        <v>184</v>
      </c>
      <c r="AT159" s="11">
        <v>2.5299999999999998</v>
      </c>
      <c r="AU159" s="11">
        <v>1.19</v>
      </c>
      <c r="AV159" s="11">
        <v>2.2000000000000002</v>
      </c>
      <c r="AW159" s="11">
        <v>2</v>
      </c>
      <c r="AX159" s="14"/>
    </row>
    <row r="160" spans="1:50" ht="23.5" customHeight="1" thickTop="1" thickBot="1" x14ac:dyDescent="0.35">
      <c r="A160" s="63"/>
      <c r="B160" s="76"/>
      <c r="C160" s="25"/>
      <c r="D160" s="86"/>
      <c r="E160" s="36" t="s">
        <v>153</v>
      </c>
      <c r="F160" s="36">
        <v>1</v>
      </c>
      <c r="G160" s="86"/>
      <c r="H160" s="36" t="s">
        <v>201</v>
      </c>
      <c r="I160" s="36">
        <v>1</v>
      </c>
      <c r="J160" s="25"/>
      <c r="K160" s="25"/>
      <c r="L160" s="25"/>
      <c r="M160" s="18"/>
      <c r="O160" s="4">
        <v>3</v>
      </c>
      <c r="P160" s="4">
        <v>2</v>
      </c>
      <c r="Q160" s="4">
        <v>1</v>
      </c>
      <c r="R160" s="4">
        <v>2</v>
      </c>
      <c r="S160" s="14"/>
      <c r="U160" s="11" t="s">
        <v>187</v>
      </c>
      <c r="V160" s="12" t="s">
        <v>188</v>
      </c>
      <c r="W160" s="11">
        <v>9.02</v>
      </c>
      <c r="X160" s="11">
        <v>0.67</v>
      </c>
      <c r="Y160" s="11">
        <v>1.25</v>
      </c>
      <c r="Z160" s="11">
        <v>0.75</v>
      </c>
      <c r="AA160" s="11">
        <v>2.69</v>
      </c>
      <c r="AB160" s="11">
        <v>0.82</v>
      </c>
      <c r="AC160" s="11">
        <v>1</v>
      </c>
      <c r="AD160" s="11">
        <v>1.1499999999999999</v>
      </c>
      <c r="AE160" s="11">
        <v>1.4</v>
      </c>
      <c r="AF160" s="11">
        <v>2.5</v>
      </c>
      <c r="AX160" s="14"/>
    </row>
    <row r="161" spans="1:50" ht="23.5" customHeight="1" thickTop="1" thickBot="1" x14ac:dyDescent="0.35">
      <c r="A161" s="63"/>
      <c r="B161" s="76"/>
      <c r="C161" s="25"/>
      <c r="D161" s="86"/>
      <c r="E161" s="1" t="s">
        <v>156</v>
      </c>
      <c r="F161" s="36">
        <v>1</v>
      </c>
      <c r="G161" s="87"/>
      <c r="H161" s="38" t="s">
        <v>164</v>
      </c>
      <c r="I161" s="38">
        <v>1</v>
      </c>
      <c r="J161" s="36"/>
      <c r="K161" s="25"/>
      <c r="L161" s="25"/>
      <c r="M161" s="18"/>
      <c r="O161" s="1"/>
      <c r="P161" s="1"/>
      <c r="Q161" s="1"/>
      <c r="R161" s="1"/>
      <c r="S161" s="14"/>
      <c r="U161" s="9"/>
      <c r="V161" s="10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X161" s="14"/>
    </row>
    <row r="162" spans="1:50" ht="23.5" customHeight="1" thickTop="1" thickBot="1" x14ac:dyDescent="0.35">
      <c r="A162" s="63"/>
      <c r="B162" s="76"/>
      <c r="C162" s="25"/>
      <c r="D162" s="87"/>
      <c r="E162" s="38" t="s">
        <v>197</v>
      </c>
      <c r="F162" s="38">
        <v>1</v>
      </c>
      <c r="G162" s="39"/>
      <c r="H162" s="39"/>
      <c r="I162" s="39"/>
      <c r="J162" s="36"/>
      <c r="K162" s="36"/>
      <c r="L162" s="25"/>
      <c r="M162" s="18"/>
      <c r="S162" s="14"/>
      <c r="U162" s="9"/>
      <c r="V162" s="10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X162" s="14"/>
    </row>
    <row r="163" spans="1:50" ht="23" customHeight="1" thickTop="1" x14ac:dyDescent="0.3">
      <c r="A163" s="63"/>
      <c r="B163" s="76"/>
      <c r="C163" s="25"/>
      <c r="D163" s="39"/>
      <c r="E163" s="39"/>
      <c r="F163" s="39"/>
      <c r="G163" s="25"/>
      <c r="H163" s="25"/>
      <c r="I163" s="25"/>
      <c r="J163" s="25"/>
      <c r="K163" s="25"/>
      <c r="L163" s="25"/>
      <c r="M163" s="18"/>
      <c r="O163" s="1"/>
      <c r="P163" s="1"/>
      <c r="Q163" s="1"/>
      <c r="R163" s="1"/>
      <c r="S163" s="14"/>
      <c r="AX163" s="14"/>
    </row>
    <row r="164" spans="1:50" ht="23" customHeight="1" thickBot="1" x14ac:dyDescent="0.35">
      <c r="A164" s="63"/>
      <c r="B164" s="81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19"/>
      <c r="N164" s="15"/>
      <c r="O164" s="15"/>
      <c r="P164" s="15"/>
      <c r="Q164" s="15"/>
      <c r="R164" s="15"/>
      <c r="S164" s="16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6"/>
    </row>
    <row r="165" spans="1:50" ht="15" customHeight="1" thickTop="1" thickBot="1" x14ac:dyDescent="0.35">
      <c r="A165" s="63"/>
      <c r="B165" s="89" t="s">
        <v>39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17"/>
      <c r="N165" s="24"/>
      <c r="O165" s="24"/>
      <c r="P165" s="24"/>
      <c r="Q165" s="24"/>
      <c r="R165" s="24"/>
      <c r="S165" s="1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17"/>
    </row>
    <row r="166" spans="1:50" ht="31" customHeight="1" thickTop="1" thickBot="1" x14ac:dyDescent="0.35">
      <c r="A166" s="63"/>
      <c r="B166" s="76"/>
      <c r="C166" s="24"/>
      <c r="D166" s="27" t="s">
        <v>191</v>
      </c>
      <c r="E166" s="27" t="s">
        <v>192</v>
      </c>
      <c r="F166" s="27" t="s">
        <v>193</v>
      </c>
      <c r="G166" s="27" t="s">
        <v>191</v>
      </c>
      <c r="H166" s="27" t="s">
        <v>192</v>
      </c>
      <c r="I166" s="27" t="s">
        <v>193</v>
      </c>
      <c r="J166" s="27" t="s">
        <v>191</v>
      </c>
      <c r="K166" s="27" t="s">
        <v>192</v>
      </c>
      <c r="L166" s="27" t="s">
        <v>193</v>
      </c>
      <c r="M166" s="17"/>
      <c r="N166" s="24"/>
      <c r="O166" s="24"/>
      <c r="P166" s="24"/>
      <c r="Q166" s="24"/>
      <c r="R166" s="24"/>
      <c r="S166" s="1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17"/>
    </row>
    <row r="167" spans="1:50" ht="23.5" customHeight="1" thickTop="1" thickBot="1" x14ac:dyDescent="0.35">
      <c r="A167" s="63"/>
      <c r="B167" s="76"/>
      <c r="C167" s="33"/>
      <c r="D167" s="88" t="s">
        <v>194</v>
      </c>
      <c r="E167" s="36" t="s">
        <v>148</v>
      </c>
      <c r="F167" s="36">
        <v>5</v>
      </c>
      <c r="G167" s="85" t="s">
        <v>198</v>
      </c>
      <c r="H167" s="36" t="s">
        <v>158</v>
      </c>
      <c r="I167" s="36">
        <v>1</v>
      </c>
      <c r="J167" s="85" t="s">
        <v>202</v>
      </c>
      <c r="K167" s="36" t="s">
        <v>203</v>
      </c>
      <c r="L167" s="36">
        <v>1</v>
      </c>
      <c r="M167" s="18"/>
      <c r="N167" s="13"/>
      <c r="O167" s="34"/>
      <c r="P167" s="34"/>
      <c r="Q167" s="24"/>
      <c r="S167" s="14"/>
      <c r="T167" s="13"/>
      <c r="AX167" s="14"/>
    </row>
    <row r="168" spans="1:50" ht="23.5" customHeight="1" thickTop="1" thickBot="1" x14ac:dyDescent="0.35">
      <c r="A168" s="63"/>
      <c r="B168" s="76"/>
      <c r="C168" s="25"/>
      <c r="D168" s="86"/>
      <c r="E168" s="36" t="s">
        <v>195</v>
      </c>
      <c r="F168" s="36">
        <v>2</v>
      </c>
      <c r="G168" s="86"/>
      <c r="H168" s="36" t="s">
        <v>159</v>
      </c>
      <c r="I168" s="36">
        <v>1</v>
      </c>
      <c r="J168" s="86"/>
      <c r="K168" s="36" t="s">
        <v>166</v>
      </c>
      <c r="L168" s="36">
        <v>1</v>
      </c>
      <c r="M168" s="18"/>
      <c r="O168" s="82" t="s">
        <v>205</v>
      </c>
      <c r="P168" s="82" t="s">
        <v>206</v>
      </c>
      <c r="Q168" s="83"/>
      <c r="R168" s="83"/>
      <c r="S168" s="14"/>
      <c r="Z168" s="23" t="s">
        <v>194</v>
      </c>
      <c r="AK168" s="23" t="s">
        <v>198</v>
      </c>
      <c r="AT168" s="23" t="s">
        <v>202</v>
      </c>
      <c r="AX168" s="14"/>
    </row>
    <row r="169" spans="1:50" ht="25" customHeight="1" thickTop="1" thickBot="1" x14ac:dyDescent="0.35">
      <c r="A169" s="63"/>
      <c r="B169" s="76"/>
      <c r="C169" s="25"/>
      <c r="D169" s="86"/>
      <c r="E169" s="36" t="s">
        <v>196</v>
      </c>
      <c r="F169" s="36">
        <v>2</v>
      </c>
      <c r="G169" s="86"/>
      <c r="H169" s="36" t="s">
        <v>160</v>
      </c>
      <c r="I169" s="36">
        <v>1</v>
      </c>
      <c r="J169" s="86"/>
      <c r="K169" s="36" t="s">
        <v>167</v>
      </c>
      <c r="L169" s="36">
        <v>1</v>
      </c>
      <c r="M169" s="18"/>
      <c r="O169" s="84"/>
      <c r="P169" s="2" t="s">
        <v>178</v>
      </c>
      <c r="Q169" s="2" t="s">
        <v>186</v>
      </c>
      <c r="R169" s="2" t="s">
        <v>190</v>
      </c>
      <c r="S169" s="14"/>
      <c r="U169" s="7" t="s">
        <v>146</v>
      </c>
      <c r="V169" s="7" t="s">
        <v>147</v>
      </c>
      <c r="W169" s="7" t="s">
        <v>148</v>
      </c>
      <c r="X169" s="7" t="s">
        <v>149</v>
      </c>
      <c r="Y169" s="7" t="s">
        <v>150</v>
      </c>
      <c r="Z169" s="8" t="s">
        <v>151</v>
      </c>
      <c r="AA169" s="7" t="s">
        <v>152</v>
      </c>
      <c r="AB169" s="7" t="s">
        <v>153</v>
      </c>
      <c r="AC169" s="7" t="s">
        <v>154</v>
      </c>
      <c r="AD169" s="7" t="s">
        <v>155</v>
      </c>
      <c r="AE169" s="8" t="s">
        <v>156</v>
      </c>
      <c r="AF169" s="7" t="s">
        <v>157</v>
      </c>
      <c r="AH169" s="7" t="s">
        <v>146</v>
      </c>
      <c r="AI169" s="7" t="s">
        <v>147</v>
      </c>
      <c r="AJ169" s="7" t="s">
        <v>158</v>
      </c>
      <c r="AK169" s="7" t="s">
        <v>159</v>
      </c>
      <c r="AL169" s="7" t="s">
        <v>160</v>
      </c>
      <c r="AM169" s="7" t="s">
        <v>161</v>
      </c>
      <c r="AN169" s="7" t="s">
        <v>162</v>
      </c>
      <c r="AO169" s="7" t="s">
        <v>163</v>
      </c>
      <c r="AP169" s="7" t="s">
        <v>164</v>
      </c>
      <c r="AR169" s="7" t="s">
        <v>146</v>
      </c>
      <c r="AS169" s="7" t="s">
        <v>147</v>
      </c>
      <c r="AT169" s="7" t="s">
        <v>165</v>
      </c>
      <c r="AU169" s="7" t="s">
        <v>166</v>
      </c>
      <c r="AV169" s="7" t="s">
        <v>167</v>
      </c>
      <c r="AW169" s="7" t="s">
        <v>168</v>
      </c>
      <c r="AX169" s="14"/>
    </row>
    <row r="170" spans="1:50" ht="23.5" customHeight="1" thickBot="1" x14ac:dyDescent="0.35">
      <c r="A170" s="63"/>
      <c r="B170" s="76"/>
      <c r="C170" s="25"/>
      <c r="D170" s="86"/>
      <c r="E170" s="1" t="s">
        <v>151</v>
      </c>
      <c r="F170" s="36">
        <v>1</v>
      </c>
      <c r="G170" s="86"/>
      <c r="H170" s="36" t="s">
        <v>199</v>
      </c>
      <c r="I170" s="36">
        <v>1</v>
      </c>
      <c r="J170" s="87"/>
      <c r="K170" s="38" t="s">
        <v>168</v>
      </c>
      <c r="L170" s="38">
        <v>1</v>
      </c>
      <c r="M170" s="18"/>
      <c r="O170" s="1">
        <v>1</v>
      </c>
      <c r="P170" s="1">
        <v>0</v>
      </c>
      <c r="Q170" s="1">
        <v>0</v>
      </c>
      <c r="R170" s="1">
        <v>1</v>
      </c>
      <c r="S170" s="14"/>
      <c r="U170" s="9" t="s">
        <v>171</v>
      </c>
      <c r="V170" s="10" t="s">
        <v>172</v>
      </c>
      <c r="W170" s="9">
        <v>7.38</v>
      </c>
      <c r="X170" s="9">
        <v>0.78</v>
      </c>
      <c r="Y170" s="9">
        <v>1.1399999999999999</v>
      </c>
      <c r="Z170" s="9">
        <v>0.59</v>
      </c>
      <c r="AA170" s="9">
        <v>2.5</v>
      </c>
      <c r="AB170" s="9">
        <v>0.85</v>
      </c>
      <c r="AC170" s="9">
        <v>0.93</v>
      </c>
      <c r="AD170" s="9">
        <v>1.1000000000000001</v>
      </c>
      <c r="AE170" s="9">
        <v>1.3</v>
      </c>
      <c r="AF170" s="9">
        <v>2.0499999999999998</v>
      </c>
      <c r="AH170" s="9" t="s">
        <v>173</v>
      </c>
      <c r="AI170" s="10" t="s">
        <v>174</v>
      </c>
      <c r="AJ170" s="9">
        <v>6.59</v>
      </c>
      <c r="AK170" s="9">
        <v>6.87</v>
      </c>
      <c r="AL170" s="9">
        <v>3</v>
      </c>
      <c r="AM170" s="9">
        <v>6.47</v>
      </c>
      <c r="AN170" s="9">
        <v>1.89</v>
      </c>
      <c r="AO170" s="9">
        <v>7.68</v>
      </c>
      <c r="AP170" s="9">
        <v>5.49</v>
      </c>
      <c r="AR170" s="9" t="s">
        <v>175</v>
      </c>
      <c r="AS170" s="10" t="s">
        <v>176</v>
      </c>
      <c r="AT170" s="9">
        <v>2.78</v>
      </c>
      <c r="AU170" s="9">
        <v>1.08</v>
      </c>
      <c r="AV170" s="9">
        <v>2.5</v>
      </c>
      <c r="AW170" s="9">
        <v>2</v>
      </c>
      <c r="AX170" s="14"/>
    </row>
    <row r="171" spans="1:50" ht="24" customHeight="1" thickTop="1" thickBot="1" x14ac:dyDescent="0.35">
      <c r="A171" s="63"/>
      <c r="B171" s="76"/>
      <c r="C171" s="25"/>
      <c r="D171" s="86"/>
      <c r="E171" s="36" t="s">
        <v>152</v>
      </c>
      <c r="F171" s="36">
        <v>1</v>
      </c>
      <c r="G171" s="86"/>
      <c r="H171" s="36" t="s">
        <v>200</v>
      </c>
      <c r="I171" s="36">
        <v>1</v>
      </c>
      <c r="J171" s="39"/>
      <c r="K171" s="39"/>
      <c r="L171" s="39"/>
      <c r="M171" s="18"/>
      <c r="O171" s="1">
        <v>2</v>
      </c>
      <c r="P171" s="1">
        <v>0</v>
      </c>
      <c r="Q171" s="1">
        <v>1</v>
      </c>
      <c r="R171" s="1">
        <v>0</v>
      </c>
      <c r="S171" s="14"/>
      <c r="U171" s="9" t="s">
        <v>179</v>
      </c>
      <c r="V171" s="10" t="s">
        <v>180</v>
      </c>
      <c r="W171" s="9">
        <v>8.17</v>
      </c>
      <c r="X171" s="9">
        <v>0.69</v>
      </c>
      <c r="Y171" s="9">
        <v>1.06</v>
      </c>
      <c r="Z171" s="9">
        <v>0.68</v>
      </c>
      <c r="AA171" s="9">
        <v>2.79</v>
      </c>
      <c r="AB171" s="9">
        <v>0.82</v>
      </c>
      <c r="AC171" s="9">
        <v>0.98</v>
      </c>
      <c r="AD171" s="9">
        <v>1.05</v>
      </c>
      <c r="AE171" s="9">
        <v>1.1499999999999999</v>
      </c>
      <c r="AF171" s="9">
        <v>1.68</v>
      </c>
      <c r="AH171" s="11" t="s">
        <v>181</v>
      </c>
      <c r="AI171" s="12" t="s">
        <v>182</v>
      </c>
      <c r="AJ171" s="11">
        <v>6.76</v>
      </c>
      <c r="AK171" s="11">
        <v>7.23</v>
      </c>
      <c r="AL171" s="11">
        <v>3</v>
      </c>
      <c r="AM171" s="11">
        <v>7.27</v>
      </c>
      <c r="AN171" s="11">
        <v>2.17</v>
      </c>
      <c r="AO171" s="11">
        <v>8.27</v>
      </c>
      <c r="AP171" s="11">
        <v>5.69</v>
      </c>
      <c r="AR171" s="11" t="s">
        <v>183</v>
      </c>
      <c r="AS171" s="12" t="s">
        <v>184</v>
      </c>
      <c r="AT171" s="11">
        <v>3.2</v>
      </c>
      <c r="AU171" s="11">
        <v>1.1399999999999999</v>
      </c>
      <c r="AV171" s="11">
        <v>2.8</v>
      </c>
      <c r="AW171" s="11">
        <v>2</v>
      </c>
      <c r="AX171" s="14"/>
    </row>
    <row r="172" spans="1:50" ht="23.5" customHeight="1" thickTop="1" thickBot="1" x14ac:dyDescent="0.35">
      <c r="A172" s="63"/>
      <c r="B172" s="76"/>
      <c r="C172" s="25"/>
      <c r="D172" s="86"/>
      <c r="E172" s="36" t="s">
        <v>153</v>
      </c>
      <c r="F172" s="36">
        <v>1</v>
      </c>
      <c r="G172" s="86"/>
      <c r="H172" s="36" t="s">
        <v>201</v>
      </c>
      <c r="I172" s="36">
        <v>1</v>
      </c>
      <c r="J172" s="25"/>
      <c r="K172" s="25"/>
      <c r="L172" s="25"/>
      <c r="M172" s="18"/>
      <c r="O172" s="1">
        <v>3</v>
      </c>
      <c r="P172" s="1">
        <v>0</v>
      </c>
      <c r="Q172" s="1">
        <v>1</v>
      </c>
      <c r="R172" s="1">
        <v>0</v>
      </c>
      <c r="S172" s="14"/>
      <c r="U172" s="11" t="s">
        <v>187</v>
      </c>
      <c r="V172" s="12" t="s">
        <v>188</v>
      </c>
      <c r="W172" s="11">
        <v>9.1199999999999992</v>
      </c>
      <c r="X172" s="11">
        <v>0.85</v>
      </c>
      <c r="Y172" s="11">
        <v>1.25</v>
      </c>
      <c r="Z172" s="11">
        <v>0.72</v>
      </c>
      <c r="AA172" s="11">
        <v>2.5</v>
      </c>
      <c r="AB172" s="11">
        <v>0.88</v>
      </c>
      <c r="AC172" s="11">
        <v>0.95</v>
      </c>
      <c r="AD172" s="11">
        <v>1.2</v>
      </c>
      <c r="AE172" s="11">
        <v>1.38</v>
      </c>
      <c r="AF172" s="11">
        <v>2.42</v>
      </c>
      <c r="AX172" s="14"/>
    </row>
    <row r="173" spans="1:50" ht="23.5" customHeight="1" thickTop="1" thickBot="1" x14ac:dyDescent="0.35">
      <c r="A173" s="63"/>
      <c r="B173" s="76"/>
      <c r="C173" s="25"/>
      <c r="D173" s="86"/>
      <c r="E173" s="1" t="s">
        <v>156</v>
      </c>
      <c r="F173" s="36">
        <v>1</v>
      </c>
      <c r="G173" s="87"/>
      <c r="H173" s="38" t="s">
        <v>164</v>
      </c>
      <c r="I173" s="38">
        <v>1</v>
      </c>
      <c r="J173" s="36"/>
      <c r="K173" s="25"/>
      <c r="L173" s="25"/>
      <c r="M173" s="18"/>
      <c r="O173" s="1">
        <v>4</v>
      </c>
      <c r="P173" s="1">
        <v>2</v>
      </c>
      <c r="Q173" s="1">
        <v>1</v>
      </c>
      <c r="R173" s="1">
        <v>0</v>
      </c>
      <c r="S173" s="14"/>
      <c r="U173" s="9"/>
      <c r="V173" s="10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X173" s="14"/>
    </row>
    <row r="174" spans="1:50" ht="23.5" customHeight="1" thickTop="1" thickBot="1" x14ac:dyDescent="0.35">
      <c r="A174" s="63"/>
      <c r="B174" s="76"/>
      <c r="C174" s="25"/>
      <c r="D174" s="87"/>
      <c r="E174" s="38" t="s">
        <v>197</v>
      </c>
      <c r="F174" s="38">
        <v>1</v>
      </c>
      <c r="G174" s="39"/>
      <c r="H174" s="39"/>
      <c r="I174" s="39"/>
      <c r="J174" s="36"/>
      <c r="K174" s="36"/>
      <c r="L174" s="25"/>
      <c r="M174" s="18"/>
      <c r="O174" s="4">
        <v>5</v>
      </c>
      <c r="P174" s="4">
        <v>0</v>
      </c>
      <c r="Q174" s="4">
        <v>0</v>
      </c>
      <c r="R174" s="4">
        <v>2</v>
      </c>
      <c r="S174" s="14"/>
      <c r="U174" s="9"/>
      <c r="V174" s="10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X174" s="14"/>
    </row>
    <row r="175" spans="1:50" ht="23" customHeight="1" thickTop="1" x14ac:dyDescent="0.3">
      <c r="A175" s="63"/>
      <c r="B175" s="76"/>
      <c r="C175" s="25"/>
      <c r="D175" s="39"/>
      <c r="E175" s="39"/>
      <c r="F175" s="39"/>
      <c r="G175" s="25"/>
      <c r="H175" s="25"/>
      <c r="I175" s="25"/>
      <c r="J175" s="25"/>
      <c r="K175" s="25"/>
      <c r="L175" s="25"/>
      <c r="M175" s="18"/>
      <c r="O175" s="1"/>
      <c r="P175" s="1"/>
      <c r="Q175" s="1"/>
      <c r="R175" s="1"/>
      <c r="S175" s="14"/>
      <c r="AX175" s="14"/>
    </row>
    <row r="176" spans="1:50" ht="23" customHeight="1" thickBot="1" x14ac:dyDescent="0.35">
      <c r="A176" s="63"/>
      <c r="B176" s="81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19"/>
      <c r="N176" s="15"/>
      <c r="O176" s="15"/>
      <c r="P176" s="15"/>
      <c r="Q176" s="15"/>
      <c r="R176" s="15"/>
      <c r="S176" s="16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6"/>
    </row>
    <row r="177" spans="1:50" ht="15" customHeight="1" thickTop="1" thickBot="1" x14ac:dyDescent="0.35">
      <c r="A177" s="63"/>
      <c r="B177" s="89" t="s">
        <v>40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17"/>
      <c r="N177" s="24"/>
      <c r="O177" s="24"/>
      <c r="P177" s="24"/>
      <c r="Q177" s="24"/>
      <c r="R177" s="24"/>
      <c r="S177" s="1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17"/>
    </row>
    <row r="178" spans="1:50" ht="31" customHeight="1" thickTop="1" thickBot="1" x14ac:dyDescent="0.35">
      <c r="A178" s="63"/>
      <c r="B178" s="76"/>
      <c r="C178" s="24"/>
      <c r="D178" s="27" t="s">
        <v>191</v>
      </c>
      <c r="E178" s="27" t="s">
        <v>192</v>
      </c>
      <c r="F178" s="27" t="s">
        <v>193</v>
      </c>
      <c r="G178" s="27" t="s">
        <v>191</v>
      </c>
      <c r="H178" s="27" t="s">
        <v>192</v>
      </c>
      <c r="I178" s="27" t="s">
        <v>193</v>
      </c>
      <c r="J178" s="27" t="s">
        <v>191</v>
      </c>
      <c r="K178" s="27" t="s">
        <v>192</v>
      </c>
      <c r="L178" s="27" t="s">
        <v>193</v>
      </c>
      <c r="M178" s="17"/>
      <c r="N178" s="24"/>
      <c r="O178" s="24"/>
      <c r="P178" s="24"/>
      <c r="Q178" s="24"/>
      <c r="R178" s="24"/>
      <c r="S178" s="1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17"/>
    </row>
    <row r="179" spans="1:50" ht="23.5" customHeight="1" thickTop="1" thickBot="1" x14ac:dyDescent="0.35">
      <c r="A179" s="63"/>
      <c r="B179" s="76"/>
      <c r="C179" s="33"/>
      <c r="D179" s="35" t="s">
        <v>194</v>
      </c>
      <c r="E179" s="36" t="s">
        <v>148</v>
      </c>
      <c r="F179" s="36">
        <v>5</v>
      </c>
      <c r="G179" s="1" t="s">
        <v>198</v>
      </c>
      <c r="H179" s="36" t="s">
        <v>158</v>
      </c>
      <c r="I179" s="36">
        <v>1</v>
      </c>
      <c r="J179" s="1" t="s">
        <v>202</v>
      </c>
      <c r="K179" s="36" t="s">
        <v>203</v>
      </c>
      <c r="L179" s="36">
        <v>1</v>
      </c>
      <c r="M179" s="18"/>
      <c r="N179" s="13"/>
      <c r="O179" s="34"/>
      <c r="P179" s="34"/>
      <c r="Q179" s="34"/>
      <c r="S179" s="14"/>
      <c r="T179" s="13"/>
      <c r="AX179" s="14"/>
    </row>
    <row r="180" spans="1:50" ht="31" customHeight="1" thickTop="1" thickBot="1" x14ac:dyDescent="0.35">
      <c r="A180" s="63"/>
      <c r="B180" s="76"/>
      <c r="C180" s="25"/>
      <c r="D180" s="1"/>
      <c r="E180" s="36" t="s">
        <v>195</v>
      </c>
      <c r="F180" s="36">
        <v>2</v>
      </c>
      <c r="G180" s="1"/>
      <c r="H180" s="36" t="s">
        <v>159</v>
      </c>
      <c r="I180" s="36">
        <v>1</v>
      </c>
      <c r="J180" s="1"/>
      <c r="K180" s="36" t="s">
        <v>166</v>
      </c>
      <c r="L180" s="36">
        <v>1</v>
      </c>
      <c r="M180" s="18"/>
      <c r="O180" s="20" t="s">
        <v>205</v>
      </c>
      <c r="P180" s="22" t="s">
        <v>206</v>
      </c>
      <c r="Q180" s="22"/>
      <c r="R180" s="22"/>
      <c r="S180" s="14"/>
      <c r="Z180" s="23" t="s">
        <v>194</v>
      </c>
      <c r="AK180" s="23" t="s">
        <v>198</v>
      </c>
      <c r="AT180" s="23" t="s">
        <v>202</v>
      </c>
      <c r="AX180" s="14"/>
    </row>
    <row r="181" spans="1:50" ht="25" customHeight="1" thickTop="1" thickBot="1" x14ac:dyDescent="0.35">
      <c r="A181" s="63"/>
      <c r="B181" s="76"/>
      <c r="C181" s="25"/>
      <c r="D181" s="1"/>
      <c r="E181" s="36" t="s">
        <v>196</v>
      </c>
      <c r="F181" s="36">
        <v>2</v>
      </c>
      <c r="G181" s="1"/>
      <c r="H181" s="36" t="s">
        <v>160</v>
      </c>
      <c r="I181" s="36">
        <v>1</v>
      </c>
      <c r="J181" s="1"/>
      <c r="K181" s="36" t="s">
        <v>167</v>
      </c>
      <c r="L181" s="36">
        <v>1</v>
      </c>
      <c r="M181" s="18"/>
      <c r="O181" s="21"/>
      <c r="P181" s="2" t="s">
        <v>178</v>
      </c>
      <c r="Q181" s="2" t="s">
        <v>186</v>
      </c>
      <c r="R181" s="2" t="s">
        <v>190</v>
      </c>
      <c r="S181" s="14"/>
      <c r="U181" s="7" t="s">
        <v>146</v>
      </c>
      <c r="V181" s="7" t="s">
        <v>147</v>
      </c>
      <c r="W181" s="7" t="s">
        <v>148</v>
      </c>
      <c r="X181" s="7" t="s">
        <v>149</v>
      </c>
      <c r="Y181" s="7" t="s">
        <v>150</v>
      </c>
      <c r="Z181" s="8" t="s">
        <v>151</v>
      </c>
      <c r="AA181" s="7" t="s">
        <v>152</v>
      </c>
      <c r="AB181" s="7" t="s">
        <v>153</v>
      </c>
      <c r="AC181" s="7" t="s">
        <v>154</v>
      </c>
      <c r="AD181" s="7" t="s">
        <v>155</v>
      </c>
      <c r="AE181" s="8" t="s">
        <v>156</v>
      </c>
      <c r="AF181" s="7" t="s">
        <v>157</v>
      </c>
      <c r="AH181" s="7" t="s">
        <v>146</v>
      </c>
      <c r="AI181" s="7" t="s">
        <v>147</v>
      </c>
      <c r="AJ181" s="7" t="s">
        <v>158</v>
      </c>
      <c r="AK181" s="7" t="s">
        <v>159</v>
      </c>
      <c r="AL181" s="7" t="s">
        <v>160</v>
      </c>
      <c r="AM181" s="7" t="s">
        <v>161</v>
      </c>
      <c r="AN181" s="7" t="s">
        <v>162</v>
      </c>
      <c r="AO181" s="7" t="s">
        <v>163</v>
      </c>
      <c r="AP181" s="7" t="s">
        <v>164</v>
      </c>
      <c r="AR181" s="7" t="s">
        <v>146</v>
      </c>
      <c r="AS181" s="7" t="s">
        <v>147</v>
      </c>
      <c r="AT181" s="7" t="s">
        <v>165</v>
      </c>
      <c r="AU181" s="7" t="s">
        <v>166</v>
      </c>
      <c r="AV181" s="7" t="s">
        <v>167</v>
      </c>
      <c r="AW181" s="7" t="s">
        <v>168</v>
      </c>
      <c r="AX181" s="14"/>
    </row>
    <row r="182" spans="1:50" ht="23.5" customHeight="1" thickBot="1" x14ac:dyDescent="0.35">
      <c r="A182" s="63"/>
      <c r="B182" s="76"/>
      <c r="C182" s="25"/>
      <c r="D182" s="1"/>
      <c r="E182" s="1" t="s">
        <v>151</v>
      </c>
      <c r="F182" s="36">
        <v>1</v>
      </c>
      <c r="G182" s="1"/>
      <c r="H182" s="36" t="s">
        <v>199</v>
      </c>
      <c r="I182" s="36">
        <v>1</v>
      </c>
      <c r="J182" s="37"/>
      <c r="K182" s="38" t="s">
        <v>168</v>
      </c>
      <c r="L182" s="38">
        <v>1</v>
      </c>
      <c r="M182" s="18"/>
      <c r="O182" s="1">
        <v>1</v>
      </c>
      <c r="P182" s="1">
        <v>1</v>
      </c>
      <c r="Q182" s="1">
        <v>0</v>
      </c>
      <c r="R182" s="1">
        <v>0</v>
      </c>
      <c r="S182" s="14"/>
      <c r="U182" s="9" t="s">
        <v>171</v>
      </c>
      <c r="V182" s="10" t="s">
        <v>172</v>
      </c>
      <c r="W182" s="9">
        <v>7.23</v>
      </c>
      <c r="X182" s="9">
        <v>0.82</v>
      </c>
      <c r="Y182" s="9">
        <v>1.1200000000000001</v>
      </c>
      <c r="Z182" s="9">
        <v>0.64</v>
      </c>
      <c r="AA182" s="9">
        <v>2.5</v>
      </c>
      <c r="AB182" s="9">
        <v>0.86</v>
      </c>
      <c r="AC182" s="9">
        <v>0.94</v>
      </c>
      <c r="AD182" s="9">
        <v>1.18</v>
      </c>
      <c r="AE182" s="9">
        <v>1.08</v>
      </c>
      <c r="AF182" s="9">
        <v>1.73</v>
      </c>
      <c r="AH182" s="9" t="s">
        <v>173</v>
      </c>
      <c r="AI182" s="10" t="s">
        <v>174</v>
      </c>
      <c r="AJ182" s="9">
        <v>6.21</v>
      </c>
      <c r="AK182" s="9">
        <v>6.68</v>
      </c>
      <c r="AL182" s="9">
        <v>3</v>
      </c>
      <c r="AM182" s="9">
        <v>6.93</v>
      </c>
      <c r="AN182" s="9">
        <v>1.68</v>
      </c>
      <c r="AO182" s="9">
        <v>7.37</v>
      </c>
      <c r="AP182" s="9">
        <v>5.21</v>
      </c>
      <c r="AR182" s="9" t="s">
        <v>175</v>
      </c>
      <c r="AS182" s="10" t="s">
        <v>176</v>
      </c>
      <c r="AT182" s="9">
        <v>2.92</v>
      </c>
      <c r="AU182" s="9">
        <v>1.24</v>
      </c>
      <c r="AV182" s="9">
        <v>2.2999999999999998</v>
      </c>
      <c r="AW182" s="9">
        <v>2</v>
      </c>
      <c r="AX182" s="14"/>
    </row>
    <row r="183" spans="1:50" ht="24" customHeight="1" thickTop="1" thickBot="1" x14ac:dyDescent="0.35">
      <c r="A183" s="63"/>
      <c r="B183" s="76"/>
      <c r="C183" s="25"/>
      <c r="D183" s="1"/>
      <c r="E183" s="36" t="s">
        <v>152</v>
      </c>
      <c r="F183" s="36">
        <v>1</v>
      </c>
      <c r="G183" s="1"/>
      <c r="H183" s="36" t="s">
        <v>200</v>
      </c>
      <c r="I183" s="36">
        <v>1</v>
      </c>
      <c r="J183" s="39"/>
      <c r="K183" s="39"/>
      <c r="L183" s="39"/>
      <c r="M183" s="18"/>
      <c r="O183" s="1">
        <v>2</v>
      </c>
      <c r="P183" s="1">
        <v>2</v>
      </c>
      <c r="Q183" s="1">
        <v>0</v>
      </c>
      <c r="R183" s="1">
        <v>0</v>
      </c>
      <c r="S183" s="14"/>
      <c r="U183" s="9" t="s">
        <v>179</v>
      </c>
      <c r="V183" s="10" t="s">
        <v>180</v>
      </c>
      <c r="W183" s="9">
        <v>8.67</v>
      </c>
      <c r="X183" s="9">
        <v>0.67</v>
      </c>
      <c r="Y183" s="9">
        <v>1.04</v>
      </c>
      <c r="Z183" s="9">
        <v>0.75</v>
      </c>
      <c r="AA183" s="9">
        <v>2.74</v>
      </c>
      <c r="AB183" s="9">
        <v>0.8</v>
      </c>
      <c r="AC183" s="9">
        <v>0.98</v>
      </c>
      <c r="AD183" s="9">
        <v>1.03</v>
      </c>
      <c r="AE183" s="9">
        <v>1.22</v>
      </c>
      <c r="AF183" s="9">
        <v>2.2000000000000002</v>
      </c>
      <c r="AH183" s="11" t="s">
        <v>181</v>
      </c>
      <c r="AI183" s="12" t="s">
        <v>182</v>
      </c>
      <c r="AJ183" s="11">
        <v>6.88</v>
      </c>
      <c r="AK183" s="11">
        <v>7.39</v>
      </c>
      <c r="AL183" s="11">
        <v>3</v>
      </c>
      <c r="AM183" s="11">
        <v>7.76</v>
      </c>
      <c r="AN183" s="11">
        <v>2.38</v>
      </c>
      <c r="AO183" s="11">
        <v>8.7899999999999991</v>
      </c>
      <c r="AP183" s="11">
        <v>5.77</v>
      </c>
      <c r="AR183" s="11" t="s">
        <v>183</v>
      </c>
      <c r="AS183" s="12" t="s">
        <v>184</v>
      </c>
      <c r="AT183" s="11">
        <v>3.47</v>
      </c>
      <c r="AU183" s="11">
        <v>1.02</v>
      </c>
      <c r="AV183" s="11">
        <v>2.65</v>
      </c>
      <c r="AW183" s="11">
        <v>2</v>
      </c>
      <c r="AX183" s="14"/>
    </row>
    <row r="184" spans="1:50" ht="23.5" customHeight="1" thickTop="1" thickBot="1" x14ac:dyDescent="0.35">
      <c r="A184" s="63"/>
      <c r="B184" s="76"/>
      <c r="C184" s="25"/>
      <c r="D184" s="1"/>
      <c r="E184" s="36" t="s">
        <v>153</v>
      </c>
      <c r="F184" s="36">
        <v>1</v>
      </c>
      <c r="G184" s="1"/>
      <c r="H184" s="36" t="s">
        <v>201</v>
      </c>
      <c r="I184" s="36">
        <v>1</v>
      </c>
      <c r="J184" s="25"/>
      <c r="K184" s="25"/>
      <c r="L184" s="25"/>
      <c r="M184" s="18"/>
      <c r="O184" s="1">
        <v>3</v>
      </c>
      <c r="P184" s="1">
        <v>0</v>
      </c>
      <c r="Q184" s="1">
        <v>1</v>
      </c>
      <c r="R184" s="1">
        <v>0</v>
      </c>
      <c r="S184" s="14"/>
      <c r="U184" s="11" t="s">
        <v>187</v>
      </c>
      <c r="V184" s="12" t="s">
        <v>188</v>
      </c>
      <c r="W184" s="11">
        <v>9.1</v>
      </c>
      <c r="X184" s="11">
        <v>0.75</v>
      </c>
      <c r="Y184" s="11">
        <v>1.25</v>
      </c>
      <c r="Z184" s="11">
        <v>0.59</v>
      </c>
      <c r="AA184" s="11">
        <v>2.95</v>
      </c>
      <c r="AB184" s="11">
        <v>0.89</v>
      </c>
      <c r="AC184" s="11">
        <v>0.91</v>
      </c>
      <c r="AD184" s="11">
        <v>1.2</v>
      </c>
      <c r="AE184" s="11">
        <v>1.35</v>
      </c>
      <c r="AF184" s="11">
        <v>2.4500000000000002</v>
      </c>
      <c r="AX184" s="14"/>
    </row>
    <row r="185" spans="1:50" ht="23.5" customHeight="1" thickTop="1" thickBot="1" x14ac:dyDescent="0.35">
      <c r="A185" s="63"/>
      <c r="B185" s="76"/>
      <c r="C185" s="25"/>
      <c r="D185" s="1"/>
      <c r="E185" s="1" t="s">
        <v>156</v>
      </c>
      <c r="F185" s="36">
        <v>1</v>
      </c>
      <c r="G185" s="37"/>
      <c r="H185" s="38" t="s">
        <v>164</v>
      </c>
      <c r="I185" s="38">
        <v>1</v>
      </c>
      <c r="J185" s="36"/>
      <c r="K185" s="25"/>
      <c r="L185" s="25"/>
      <c r="M185" s="18"/>
      <c r="O185" s="1">
        <v>4</v>
      </c>
      <c r="P185" s="1">
        <v>1</v>
      </c>
      <c r="Q185" s="1">
        <v>1</v>
      </c>
      <c r="R185" s="1">
        <v>0</v>
      </c>
      <c r="S185" s="14"/>
      <c r="U185" s="9"/>
      <c r="V185" s="10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X185" s="14"/>
    </row>
    <row r="186" spans="1:50" ht="23.5" customHeight="1" thickTop="1" thickBot="1" x14ac:dyDescent="0.35">
      <c r="A186" s="63"/>
      <c r="B186" s="76"/>
      <c r="C186" s="25"/>
      <c r="D186" s="37"/>
      <c r="E186" s="38" t="s">
        <v>197</v>
      </c>
      <c r="F186" s="38">
        <v>1</v>
      </c>
      <c r="G186" s="39"/>
      <c r="H186" s="39"/>
      <c r="I186" s="39"/>
      <c r="J186" s="36"/>
      <c r="K186" s="36"/>
      <c r="L186" s="25"/>
      <c r="M186" s="18"/>
      <c r="O186" s="4">
        <v>5</v>
      </c>
      <c r="P186" s="4">
        <v>0</v>
      </c>
      <c r="Q186" s="4">
        <v>1</v>
      </c>
      <c r="R186" s="4">
        <v>2</v>
      </c>
      <c r="S186" s="14"/>
      <c r="U186" s="9"/>
      <c r="V186" s="10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X186" s="14"/>
    </row>
    <row r="187" spans="1:50" ht="23" customHeight="1" thickTop="1" x14ac:dyDescent="0.3">
      <c r="A187" s="63"/>
      <c r="B187" s="76"/>
      <c r="C187" s="25"/>
      <c r="D187" s="39"/>
      <c r="E187" s="39"/>
      <c r="F187" s="39"/>
      <c r="G187" s="25"/>
      <c r="H187" s="39"/>
      <c r="I187" s="25"/>
      <c r="J187" s="25"/>
      <c r="K187" s="25"/>
      <c r="L187" s="25"/>
      <c r="M187" s="18"/>
      <c r="O187" s="1"/>
      <c r="P187" s="1"/>
      <c r="Q187" s="1"/>
      <c r="R187" s="1"/>
      <c r="S187" s="14"/>
      <c r="AX187" s="14"/>
    </row>
    <row r="188" spans="1:50" ht="23" customHeight="1" thickBot="1" x14ac:dyDescent="0.35">
      <c r="A188" s="63"/>
      <c r="B188" s="81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19"/>
      <c r="N188" s="15"/>
      <c r="O188" s="15"/>
      <c r="P188" s="15"/>
      <c r="Q188" s="15"/>
      <c r="R188" s="15"/>
      <c r="S188" s="16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6"/>
    </row>
    <row r="189" spans="1:50" ht="15" customHeight="1" thickTop="1" thickBot="1" x14ac:dyDescent="0.35">
      <c r="A189" s="63"/>
      <c r="B189" s="89" t="s">
        <v>41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17"/>
      <c r="N189" s="24"/>
      <c r="O189" s="24"/>
      <c r="P189" s="24"/>
      <c r="Q189" s="24"/>
      <c r="R189" s="24"/>
      <c r="S189" s="1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17"/>
    </row>
    <row r="190" spans="1:50" ht="31" customHeight="1" thickTop="1" thickBot="1" x14ac:dyDescent="0.35">
      <c r="A190" s="63"/>
      <c r="B190" s="76"/>
      <c r="C190" s="24"/>
      <c r="D190" s="27" t="s">
        <v>191</v>
      </c>
      <c r="E190" s="27" t="s">
        <v>192</v>
      </c>
      <c r="F190" s="27" t="s">
        <v>193</v>
      </c>
      <c r="G190" s="27" t="s">
        <v>191</v>
      </c>
      <c r="H190" s="27" t="s">
        <v>192</v>
      </c>
      <c r="I190" s="27" t="s">
        <v>193</v>
      </c>
      <c r="J190" s="27" t="s">
        <v>191</v>
      </c>
      <c r="K190" s="27" t="s">
        <v>192</v>
      </c>
      <c r="L190" s="27" t="s">
        <v>193</v>
      </c>
      <c r="M190" s="17"/>
      <c r="N190" s="24"/>
      <c r="O190" s="24"/>
      <c r="P190" s="24"/>
      <c r="Q190" s="24"/>
      <c r="R190" s="24"/>
      <c r="S190" s="1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17"/>
    </row>
    <row r="191" spans="1:50" ht="23.5" customHeight="1" thickTop="1" thickBot="1" x14ac:dyDescent="0.35">
      <c r="A191" s="63"/>
      <c r="B191" s="76"/>
      <c r="C191" s="33"/>
      <c r="D191" s="35" t="s">
        <v>194</v>
      </c>
      <c r="E191" s="36" t="s">
        <v>148</v>
      </c>
      <c r="F191" s="36">
        <v>5</v>
      </c>
      <c r="G191" s="1" t="s">
        <v>198</v>
      </c>
      <c r="H191" s="36" t="s">
        <v>158</v>
      </c>
      <c r="I191" s="36">
        <v>2</v>
      </c>
      <c r="J191" s="1" t="s">
        <v>202</v>
      </c>
      <c r="K191" s="36" t="s">
        <v>203</v>
      </c>
      <c r="L191" s="36">
        <v>2</v>
      </c>
      <c r="M191" s="18"/>
      <c r="N191" s="13"/>
      <c r="O191" s="34"/>
      <c r="P191" s="34"/>
      <c r="Q191" s="34"/>
      <c r="S191" s="14"/>
      <c r="T191" s="13"/>
      <c r="AX191" s="14"/>
    </row>
    <row r="192" spans="1:50" ht="31" customHeight="1" thickTop="1" thickBot="1" x14ac:dyDescent="0.35">
      <c r="A192" s="63"/>
      <c r="B192" s="76"/>
      <c r="C192" s="25"/>
      <c r="D192" s="1"/>
      <c r="E192" s="36" t="s">
        <v>195</v>
      </c>
      <c r="F192" s="36">
        <v>2</v>
      </c>
      <c r="G192" s="1"/>
      <c r="H192" s="36" t="s">
        <v>159</v>
      </c>
      <c r="I192" s="36">
        <v>1</v>
      </c>
      <c r="J192" s="1"/>
      <c r="K192" s="36" t="s">
        <v>166</v>
      </c>
      <c r="L192" s="36">
        <v>1</v>
      </c>
      <c r="M192" s="18"/>
      <c r="O192" s="20" t="s">
        <v>205</v>
      </c>
      <c r="P192" s="82" t="s">
        <v>206</v>
      </c>
      <c r="Q192" s="83"/>
      <c r="R192" s="83"/>
      <c r="S192" s="14"/>
      <c r="Z192" s="23" t="s">
        <v>194</v>
      </c>
      <c r="AK192" s="23" t="s">
        <v>198</v>
      </c>
      <c r="AT192" s="23" t="s">
        <v>202</v>
      </c>
      <c r="AX192" s="14"/>
    </row>
    <row r="193" spans="1:50" ht="25" customHeight="1" thickTop="1" thickBot="1" x14ac:dyDescent="0.35">
      <c r="A193" s="63"/>
      <c r="B193" s="76"/>
      <c r="C193" s="25"/>
      <c r="D193" s="1"/>
      <c r="E193" s="36" t="s">
        <v>196</v>
      </c>
      <c r="F193" s="36">
        <v>2</v>
      </c>
      <c r="G193" s="1"/>
      <c r="H193" s="36" t="s">
        <v>160</v>
      </c>
      <c r="I193" s="36">
        <v>1</v>
      </c>
      <c r="J193" s="1"/>
      <c r="K193" s="36" t="s">
        <v>167</v>
      </c>
      <c r="L193" s="36">
        <v>1</v>
      </c>
      <c r="M193" s="18"/>
      <c r="O193" s="21"/>
      <c r="P193" s="2" t="s">
        <v>178</v>
      </c>
      <c r="Q193" s="2" t="s">
        <v>186</v>
      </c>
      <c r="R193" s="2" t="s">
        <v>190</v>
      </c>
      <c r="S193" s="14"/>
      <c r="U193" s="7" t="s">
        <v>146</v>
      </c>
      <c r="V193" s="7" t="s">
        <v>147</v>
      </c>
      <c r="W193" s="7" t="s">
        <v>148</v>
      </c>
      <c r="X193" s="7" t="s">
        <v>149</v>
      </c>
      <c r="Y193" s="7" t="s">
        <v>150</v>
      </c>
      <c r="Z193" s="8" t="s">
        <v>151</v>
      </c>
      <c r="AA193" s="7" t="s">
        <v>152</v>
      </c>
      <c r="AB193" s="7" t="s">
        <v>153</v>
      </c>
      <c r="AC193" s="7" t="s">
        <v>154</v>
      </c>
      <c r="AD193" s="7" t="s">
        <v>155</v>
      </c>
      <c r="AE193" s="8" t="s">
        <v>156</v>
      </c>
      <c r="AF193" s="7" t="s">
        <v>157</v>
      </c>
      <c r="AH193" s="7" t="s">
        <v>146</v>
      </c>
      <c r="AI193" s="7" t="s">
        <v>147</v>
      </c>
      <c r="AJ193" s="7" t="s">
        <v>158</v>
      </c>
      <c r="AK193" s="7" t="s">
        <v>159</v>
      </c>
      <c r="AL193" s="7" t="s">
        <v>160</v>
      </c>
      <c r="AM193" s="7" t="s">
        <v>161</v>
      </c>
      <c r="AN193" s="7" t="s">
        <v>162</v>
      </c>
      <c r="AO193" s="7" t="s">
        <v>163</v>
      </c>
      <c r="AP193" s="7" t="s">
        <v>164</v>
      </c>
      <c r="AR193" s="7" t="s">
        <v>146</v>
      </c>
      <c r="AS193" s="7" t="s">
        <v>147</v>
      </c>
      <c r="AT193" s="7" t="s">
        <v>165</v>
      </c>
      <c r="AU193" s="7" t="s">
        <v>166</v>
      </c>
      <c r="AV193" s="7" t="s">
        <v>167</v>
      </c>
      <c r="AW193" s="7" t="s">
        <v>168</v>
      </c>
      <c r="AX193" s="14"/>
    </row>
    <row r="194" spans="1:50" ht="23.5" customHeight="1" thickBot="1" x14ac:dyDescent="0.35">
      <c r="A194" s="63"/>
      <c r="B194" s="76"/>
      <c r="C194" s="25"/>
      <c r="D194" s="1"/>
      <c r="E194" s="1" t="s">
        <v>151</v>
      </c>
      <c r="F194" s="36">
        <v>1</v>
      </c>
      <c r="G194" s="1"/>
      <c r="H194" s="36" t="s">
        <v>199</v>
      </c>
      <c r="I194" s="36">
        <v>1</v>
      </c>
      <c r="J194" s="37"/>
      <c r="K194" s="38" t="s">
        <v>168</v>
      </c>
      <c r="L194" s="38">
        <v>1</v>
      </c>
      <c r="M194" s="18"/>
      <c r="O194" s="1">
        <v>1</v>
      </c>
      <c r="P194" s="1">
        <v>1</v>
      </c>
      <c r="Q194" s="1">
        <v>0</v>
      </c>
      <c r="R194" s="1">
        <v>0</v>
      </c>
      <c r="S194" s="14"/>
      <c r="U194" s="9" t="s">
        <v>171</v>
      </c>
      <c r="V194" s="10" t="s">
        <v>172</v>
      </c>
      <c r="W194" s="9">
        <v>7.66</v>
      </c>
      <c r="X194" s="9">
        <v>0.73</v>
      </c>
      <c r="Y194" s="9">
        <v>1.17</v>
      </c>
      <c r="Z194" s="9">
        <v>0.63</v>
      </c>
      <c r="AA194" s="9">
        <v>2.82</v>
      </c>
      <c r="AB194" s="9">
        <v>0.8</v>
      </c>
      <c r="AC194" s="9">
        <v>0.96</v>
      </c>
      <c r="AD194" s="9">
        <v>1.18</v>
      </c>
      <c r="AE194" s="9">
        <v>1.02</v>
      </c>
      <c r="AF194" s="9">
        <v>1.76</v>
      </c>
      <c r="AH194" s="9" t="s">
        <v>173</v>
      </c>
      <c r="AI194" s="10" t="s">
        <v>174</v>
      </c>
      <c r="AJ194" s="9">
        <v>6.47</v>
      </c>
      <c r="AK194" s="9">
        <v>6.79</v>
      </c>
      <c r="AL194" s="9">
        <v>3</v>
      </c>
      <c r="AM194" s="9">
        <v>6.36</v>
      </c>
      <c r="AN194" s="9">
        <v>1.93</v>
      </c>
      <c r="AO194" s="9">
        <v>7.59</v>
      </c>
      <c r="AP194" s="9">
        <v>5.36</v>
      </c>
      <c r="AR194" s="9" t="s">
        <v>175</v>
      </c>
      <c r="AS194" s="10" t="s">
        <v>176</v>
      </c>
      <c r="AT194" s="9">
        <v>2.61</v>
      </c>
      <c r="AU194" s="9">
        <v>1.17</v>
      </c>
      <c r="AV194" s="9">
        <v>2.12</v>
      </c>
      <c r="AW194" s="9">
        <v>2</v>
      </c>
      <c r="AX194" s="14"/>
    </row>
    <row r="195" spans="1:50" ht="24" customHeight="1" thickTop="1" thickBot="1" x14ac:dyDescent="0.35">
      <c r="A195" s="63"/>
      <c r="B195" s="76"/>
      <c r="C195" s="25"/>
      <c r="D195" s="1"/>
      <c r="E195" s="36" t="s">
        <v>152</v>
      </c>
      <c r="F195" s="36">
        <v>1</v>
      </c>
      <c r="G195" s="1"/>
      <c r="H195" s="36" t="s">
        <v>200</v>
      </c>
      <c r="I195" s="36">
        <v>1</v>
      </c>
      <c r="J195" s="39"/>
      <c r="K195" s="39"/>
      <c r="L195" s="39"/>
      <c r="M195" s="18"/>
      <c r="O195" s="1">
        <v>2</v>
      </c>
      <c r="P195" s="1">
        <v>1</v>
      </c>
      <c r="Q195" s="1">
        <v>1</v>
      </c>
      <c r="R195" s="1">
        <v>0</v>
      </c>
      <c r="S195" s="14"/>
      <c r="U195" s="9" t="s">
        <v>179</v>
      </c>
      <c r="V195" s="10" t="s">
        <v>180</v>
      </c>
      <c r="W195" s="9">
        <v>8.4</v>
      </c>
      <c r="X195" s="9">
        <v>0.87</v>
      </c>
      <c r="Y195" s="9">
        <v>1.01</v>
      </c>
      <c r="Z195" s="9">
        <v>0.56999999999999995</v>
      </c>
      <c r="AA195" s="9">
        <v>2.5</v>
      </c>
      <c r="AB195" s="9">
        <v>0.84</v>
      </c>
      <c r="AC195" s="9">
        <v>0.91</v>
      </c>
      <c r="AD195" s="9">
        <v>1.03</v>
      </c>
      <c r="AE195" s="9">
        <v>1.25</v>
      </c>
      <c r="AF195" s="9">
        <v>2.33</v>
      </c>
      <c r="AH195" s="11" t="s">
        <v>181</v>
      </c>
      <c r="AI195" s="12" t="s">
        <v>182</v>
      </c>
      <c r="AJ195" s="11">
        <v>6.77</v>
      </c>
      <c r="AK195" s="11">
        <v>7.13</v>
      </c>
      <c r="AL195" s="11">
        <v>3</v>
      </c>
      <c r="AM195" s="11">
        <v>7.47</v>
      </c>
      <c r="AN195" s="11">
        <v>2.23</v>
      </c>
      <c r="AO195" s="11">
        <v>8.49</v>
      </c>
      <c r="AP195" s="11">
        <v>5.67</v>
      </c>
      <c r="AR195" s="11" t="s">
        <v>183</v>
      </c>
      <c r="AS195" s="12" t="s">
        <v>184</v>
      </c>
      <c r="AT195" s="11">
        <v>3.12</v>
      </c>
      <c r="AU195" s="11">
        <v>1.07</v>
      </c>
      <c r="AV195" s="11">
        <v>2.7</v>
      </c>
      <c r="AW195" s="11">
        <v>2</v>
      </c>
      <c r="AX195" s="14"/>
    </row>
    <row r="196" spans="1:50" ht="23.5" customHeight="1" thickTop="1" thickBot="1" x14ac:dyDescent="0.35">
      <c r="A196" s="63"/>
      <c r="B196" s="76"/>
      <c r="C196" s="25"/>
      <c r="D196" s="1"/>
      <c r="E196" s="36" t="s">
        <v>153</v>
      </c>
      <c r="F196" s="36">
        <v>1</v>
      </c>
      <c r="G196" s="1"/>
      <c r="H196" s="36" t="s">
        <v>201</v>
      </c>
      <c r="I196" s="36">
        <v>1</v>
      </c>
      <c r="J196" s="25"/>
      <c r="K196" s="25"/>
      <c r="L196" s="25"/>
      <c r="M196" s="18"/>
      <c r="O196" s="1">
        <v>3</v>
      </c>
      <c r="P196" s="1">
        <v>0</v>
      </c>
      <c r="Q196" s="1">
        <v>1</v>
      </c>
      <c r="R196" s="1">
        <v>0</v>
      </c>
      <c r="S196" s="14"/>
      <c r="U196" s="11" t="s">
        <v>187</v>
      </c>
      <c r="V196" s="12" t="s">
        <v>188</v>
      </c>
      <c r="W196" s="11">
        <v>9.25</v>
      </c>
      <c r="X196" s="11">
        <v>0.68</v>
      </c>
      <c r="Y196" s="11">
        <v>1.23</v>
      </c>
      <c r="Z196" s="11">
        <v>0.71</v>
      </c>
      <c r="AA196" s="11">
        <v>2.65</v>
      </c>
      <c r="AB196" s="11">
        <v>0.89</v>
      </c>
      <c r="AC196" s="11">
        <v>0.98</v>
      </c>
      <c r="AD196" s="11">
        <v>1.2</v>
      </c>
      <c r="AE196" s="11">
        <v>1.32</v>
      </c>
      <c r="AF196" s="11">
        <v>1.5</v>
      </c>
      <c r="AX196" s="14"/>
    </row>
    <row r="197" spans="1:50" ht="23.5" customHeight="1" thickTop="1" thickBot="1" x14ac:dyDescent="0.35">
      <c r="A197" s="63"/>
      <c r="B197" s="76"/>
      <c r="C197" s="25"/>
      <c r="D197" s="1"/>
      <c r="E197" s="1" t="s">
        <v>156</v>
      </c>
      <c r="F197" s="36">
        <v>1</v>
      </c>
      <c r="G197" s="37"/>
      <c r="H197" s="38" t="s">
        <v>164</v>
      </c>
      <c r="I197" s="38">
        <v>1</v>
      </c>
      <c r="J197" s="36"/>
      <c r="K197" s="25"/>
      <c r="L197" s="25"/>
      <c r="M197" s="18"/>
      <c r="O197" s="1">
        <v>4</v>
      </c>
      <c r="P197" s="1">
        <v>1</v>
      </c>
      <c r="Q197" s="1">
        <v>1</v>
      </c>
      <c r="R197" s="1">
        <v>0</v>
      </c>
      <c r="S197" s="14"/>
      <c r="U197" s="9"/>
      <c r="V197" s="10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X197" s="14"/>
    </row>
    <row r="198" spans="1:50" ht="23.5" customHeight="1" thickTop="1" thickBot="1" x14ac:dyDescent="0.35">
      <c r="A198" s="63"/>
      <c r="B198" s="76"/>
      <c r="C198" s="25"/>
      <c r="D198" s="37"/>
      <c r="E198" s="38" t="s">
        <v>197</v>
      </c>
      <c r="F198" s="38">
        <v>1</v>
      </c>
      <c r="G198" s="39"/>
      <c r="H198" s="39"/>
      <c r="I198" s="39"/>
      <c r="J198" s="36"/>
      <c r="K198" s="36"/>
      <c r="L198" s="25"/>
      <c r="M198" s="18"/>
      <c r="O198" s="4">
        <v>5</v>
      </c>
      <c r="P198" s="4">
        <v>1</v>
      </c>
      <c r="Q198" s="4">
        <v>0</v>
      </c>
      <c r="R198" s="4">
        <v>2</v>
      </c>
      <c r="S198" s="14"/>
      <c r="U198" s="9"/>
      <c r="V198" s="10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X198" s="14"/>
    </row>
    <row r="199" spans="1:50" ht="23" customHeight="1" thickTop="1" x14ac:dyDescent="0.3">
      <c r="A199" s="63"/>
      <c r="B199" s="76"/>
      <c r="C199" s="25"/>
      <c r="D199" s="39"/>
      <c r="E199" s="39"/>
      <c r="F199" s="39"/>
      <c r="G199" s="25"/>
      <c r="H199" s="25"/>
      <c r="I199" s="25"/>
      <c r="J199" s="25"/>
      <c r="K199" s="25"/>
      <c r="L199" s="25"/>
      <c r="M199" s="18"/>
      <c r="O199" s="1"/>
      <c r="P199" s="1"/>
      <c r="Q199" s="1"/>
      <c r="R199" s="1"/>
      <c r="S199" s="14"/>
      <c r="AX199" s="14"/>
    </row>
    <row r="200" spans="1:50" ht="23" customHeight="1" thickBot="1" x14ac:dyDescent="0.35">
      <c r="A200" s="63"/>
      <c r="B200" s="81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19"/>
      <c r="N200" s="15"/>
      <c r="O200" s="15"/>
      <c r="P200" s="15"/>
      <c r="Q200" s="15"/>
      <c r="R200" s="15"/>
      <c r="S200" s="16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6"/>
    </row>
    <row r="201" spans="1:50" ht="15" customHeight="1" thickTop="1" thickBot="1" x14ac:dyDescent="0.35">
      <c r="A201" s="63"/>
      <c r="B201" s="89" t="s">
        <v>42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17"/>
      <c r="N201" s="24"/>
      <c r="O201" s="24"/>
      <c r="P201" s="24"/>
      <c r="Q201" s="24"/>
      <c r="R201" s="24"/>
      <c r="S201" s="1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17"/>
    </row>
    <row r="202" spans="1:50" ht="31" customHeight="1" thickTop="1" thickBot="1" x14ac:dyDescent="0.35">
      <c r="A202" s="63"/>
      <c r="B202" s="76"/>
      <c r="C202" s="24"/>
      <c r="D202" s="27" t="s">
        <v>191</v>
      </c>
      <c r="E202" s="27" t="s">
        <v>192</v>
      </c>
      <c r="F202" s="27" t="s">
        <v>193</v>
      </c>
      <c r="G202" s="27" t="s">
        <v>191</v>
      </c>
      <c r="H202" s="27" t="s">
        <v>192</v>
      </c>
      <c r="I202" s="27" t="s">
        <v>193</v>
      </c>
      <c r="J202" s="27" t="s">
        <v>191</v>
      </c>
      <c r="K202" s="27" t="s">
        <v>192</v>
      </c>
      <c r="L202" s="27" t="s">
        <v>193</v>
      </c>
      <c r="M202" s="17"/>
      <c r="N202" s="24"/>
      <c r="O202" s="24"/>
      <c r="P202" s="24"/>
      <c r="Q202" s="24"/>
      <c r="R202" s="24"/>
      <c r="S202" s="1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17"/>
    </row>
    <row r="203" spans="1:50" ht="23.5" customHeight="1" thickTop="1" thickBot="1" x14ac:dyDescent="0.35">
      <c r="A203" s="63"/>
      <c r="B203" s="76"/>
      <c r="C203" s="33"/>
      <c r="D203" s="35" t="s">
        <v>194</v>
      </c>
      <c r="E203" s="36" t="s">
        <v>148</v>
      </c>
      <c r="F203" s="36">
        <v>5</v>
      </c>
      <c r="G203" s="35" t="s">
        <v>198</v>
      </c>
      <c r="H203" s="36" t="s">
        <v>158</v>
      </c>
      <c r="I203" s="36">
        <v>2</v>
      </c>
      <c r="J203" s="35" t="s">
        <v>202</v>
      </c>
      <c r="K203" s="36" t="s">
        <v>203</v>
      </c>
      <c r="L203" s="36">
        <v>2</v>
      </c>
      <c r="M203" s="18"/>
      <c r="N203" s="13"/>
      <c r="O203" s="34"/>
      <c r="P203" s="34"/>
      <c r="Q203" s="34"/>
      <c r="S203" s="14"/>
      <c r="T203" s="13"/>
      <c r="AX203" s="14"/>
    </row>
    <row r="204" spans="1:50" ht="31" customHeight="1" thickTop="1" thickBot="1" x14ac:dyDescent="0.35">
      <c r="A204" s="63"/>
      <c r="B204" s="76"/>
      <c r="C204" s="25"/>
      <c r="D204" s="1"/>
      <c r="E204" s="36" t="s">
        <v>195</v>
      </c>
      <c r="F204" s="36">
        <v>2</v>
      </c>
      <c r="G204" s="1"/>
      <c r="H204" s="36" t="s">
        <v>159</v>
      </c>
      <c r="I204" s="36">
        <v>1</v>
      </c>
      <c r="J204" s="1"/>
      <c r="K204" s="36" t="s">
        <v>166</v>
      </c>
      <c r="L204" s="36">
        <v>1</v>
      </c>
      <c r="M204" s="18"/>
      <c r="O204" s="20" t="s">
        <v>205</v>
      </c>
      <c r="P204" s="82" t="s">
        <v>206</v>
      </c>
      <c r="Q204" s="83"/>
      <c r="R204" s="83"/>
      <c r="S204" s="14"/>
      <c r="Z204" s="23" t="s">
        <v>194</v>
      </c>
      <c r="AK204" s="23" t="s">
        <v>198</v>
      </c>
      <c r="AT204" s="23" t="s">
        <v>202</v>
      </c>
      <c r="AX204" s="14"/>
    </row>
    <row r="205" spans="1:50" ht="25" customHeight="1" thickTop="1" thickBot="1" x14ac:dyDescent="0.35">
      <c r="A205" s="63"/>
      <c r="B205" s="76"/>
      <c r="C205" s="25"/>
      <c r="D205" s="1"/>
      <c r="E205" s="36" t="s">
        <v>196</v>
      </c>
      <c r="F205" s="36">
        <v>2</v>
      </c>
      <c r="G205" s="1"/>
      <c r="H205" s="36" t="s">
        <v>160</v>
      </c>
      <c r="I205" s="36">
        <v>1</v>
      </c>
      <c r="J205" s="1"/>
      <c r="K205" s="36" t="s">
        <v>167</v>
      </c>
      <c r="L205" s="36">
        <v>1</v>
      </c>
      <c r="M205" s="18"/>
      <c r="O205" s="21"/>
      <c r="P205" s="2" t="s">
        <v>178</v>
      </c>
      <c r="Q205" s="2" t="s">
        <v>186</v>
      </c>
      <c r="R205" s="2" t="s">
        <v>190</v>
      </c>
      <c r="S205" s="14"/>
      <c r="U205" s="7" t="s">
        <v>146</v>
      </c>
      <c r="V205" s="7" t="s">
        <v>147</v>
      </c>
      <c r="W205" s="7" t="s">
        <v>148</v>
      </c>
      <c r="X205" s="7" t="s">
        <v>149</v>
      </c>
      <c r="Y205" s="7" t="s">
        <v>150</v>
      </c>
      <c r="Z205" s="8" t="s">
        <v>151</v>
      </c>
      <c r="AA205" s="7" t="s">
        <v>152</v>
      </c>
      <c r="AB205" s="7" t="s">
        <v>153</v>
      </c>
      <c r="AC205" s="7" t="s">
        <v>154</v>
      </c>
      <c r="AD205" s="7" t="s">
        <v>155</v>
      </c>
      <c r="AE205" s="8" t="s">
        <v>156</v>
      </c>
      <c r="AF205" s="7" t="s">
        <v>157</v>
      </c>
      <c r="AH205" s="7" t="s">
        <v>146</v>
      </c>
      <c r="AI205" s="7" t="s">
        <v>147</v>
      </c>
      <c r="AJ205" s="7" t="s">
        <v>158</v>
      </c>
      <c r="AK205" s="7" t="s">
        <v>159</v>
      </c>
      <c r="AL205" s="7" t="s">
        <v>160</v>
      </c>
      <c r="AM205" s="7" t="s">
        <v>161</v>
      </c>
      <c r="AN205" s="7" t="s">
        <v>162</v>
      </c>
      <c r="AO205" s="7" t="s">
        <v>163</v>
      </c>
      <c r="AP205" s="7" t="s">
        <v>164</v>
      </c>
      <c r="AR205" s="7" t="s">
        <v>146</v>
      </c>
      <c r="AS205" s="7" t="s">
        <v>147</v>
      </c>
      <c r="AT205" s="7" t="s">
        <v>165</v>
      </c>
      <c r="AU205" s="7" t="s">
        <v>166</v>
      </c>
      <c r="AV205" s="7" t="s">
        <v>167</v>
      </c>
      <c r="AW205" s="7" t="s">
        <v>168</v>
      </c>
      <c r="AX205" s="14"/>
    </row>
    <row r="206" spans="1:50" ht="23.5" customHeight="1" thickBot="1" x14ac:dyDescent="0.35">
      <c r="A206" s="63"/>
      <c r="B206" s="76"/>
      <c r="C206" s="25"/>
      <c r="D206" s="1"/>
      <c r="E206" s="1" t="s">
        <v>151</v>
      </c>
      <c r="F206" s="36">
        <v>1</v>
      </c>
      <c r="G206" s="1"/>
      <c r="H206" s="36" t="s">
        <v>199</v>
      </c>
      <c r="I206" s="36">
        <v>1</v>
      </c>
      <c r="J206" s="4"/>
      <c r="K206" s="38" t="s">
        <v>168</v>
      </c>
      <c r="L206" s="38">
        <v>1</v>
      </c>
      <c r="M206" s="18"/>
      <c r="O206" s="1">
        <v>1</v>
      </c>
      <c r="P206" s="1">
        <v>1</v>
      </c>
      <c r="Q206" s="1">
        <v>1</v>
      </c>
      <c r="R206" s="1">
        <v>0</v>
      </c>
      <c r="S206" s="14"/>
      <c r="U206" s="9" t="s">
        <v>171</v>
      </c>
      <c r="V206" s="10" t="s">
        <v>172</v>
      </c>
      <c r="W206" s="9">
        <v>7.64</v>
      </c>
      <c r="X206" s="9">
        <v>0.79</v>
      </c>
      <c r="Y206" s="9">
        <v>1.1100000000000001</v>
      </c>
      <c r="Z206" s="9">
        <v>0.62</v>
      </c>
      <c r="AA206" s="9">
        <v>2.71</v>
      </c>
      <c r="AB206" s="9">
        <v>0.84</v>
      </c>
      <c r="AC206" s="9">
        <v>0.95</v>
      </c>
      <c r="AD206" s="9">
        <v>1.07</v>
      </c>
      <c r="AE206" s="9">
        <v>1.25</v>
      </c>
      <c r="AF206" s="9">
        <v>2.19</v>
      </c>
      <c r="AH206" s="9" t="s">
        <v>173</v>
      </c>
      <c r="AI206" s="10" t="s">
        <v>174</v>
      </c>
      <c r="AJ206" s="9">
        <v>6.15</v>
      </c>
      <c r="AK206" s="9">
        <v>6.57</v>
      </c>
      <c r="AL206" s="9">
        <v>3</v>
      </c>
      <c r="AM206" s="9">
        <v>6.17</v>
      </c>
      <c r="AN206" s="9">
        <v>1.57</v>
      </c>
      <c r="AO206" s="9">
        <v>7.18</v>
      </c>
      <c r="AP206" s="9">
        <v>5.15</v>
      </c>
      <c r="AR206" s="9" t="s">
        <v>175</v>
      </c>
      <c r="AS206" s="10" t="s">
        <v>176</v>
      </c>
      <c r="AT206" s="9">
        <v>3.3</v>
      </c>
      <c r="AU206" s="9">
        <v>1.1000000000000001</v>
      </c>
      <c r="AV206" s="9">
        <v>2.5499999999999998</v>
      </c>
      <c r="AW206" s="9">
        <v>2</v>
      </c>
      <c r="AX206" s="14"/>
    </row>
    <row r="207" spans="1:50" ht="24" customHeight="1" thickTop="1" thickBot="1" x14ac:dyDescent="0.35">
      <c r="A207" s="63"/>
      <c r="B207" s="76"/>
      <c r="C207" s="25"/>
      <c r="D207" s="1"/>
      <c r="E207" s="36" t="s">
        <v>152</v>
      </c>
      <c r="F207" s="36">
        <v>1</v>
      </c>
      <c r="G207" s="1"/>
      <c r="H207" s="36" t="s">
        <v>200</v>
      </c>
      <c r="I207" s="36">
        <v>1</v>
      </c>
      <c r="J207" s="39"/>
      <c r="K207" s="39"/>
      <c r="L207" s="39"/>
      <c r="M207" s="18"/>
      <c r="O207" s="1">
        <v>2</v>
      </c>
      <c r="P207" s="1">
        <v>1</v>
      </c>
      <c r="Q207" s="1">
        <v>0</v>
      </c>
      <c r="R207" s="1">
        <v>1</v>
      </c>
      <c r="S207" s="14"/>
      <c r="U207" s="9" t="s">
        <v>179</v>
      </c>
      <c r="V207" s="10" t="s">
        <v>180</v>
      </c>
      <c r="W207" s="9">
        <v>8.42</v>
      </c>
      <c r="X207" s="9">
        <v>0.87</v>
      </c>
      <c r="Y207" s="9">
        <v>1.04</v>
      </c>
      <c r="Z207" s="9">
        <v>0.75</v>
      </c>
      <c r="AA207" s="9">
        <v>2.5</v>
      </c>
      <c r="AB207" s="9">
        <v>0.8</v>
      </c>
      <c r="AC207" s="9">
        <v>0.99</v>
      </c>
      <c r="AD207" s="9">
        <v>1.18</v>
      </c>
      <c r="AE207" s="9">
        <v>1.1000000000000001</v>
      </c>
      <c r="AF207" s="9">
        <v>1.62</v>
      </c>
      <c r="AH207" s="11" t="s">
        <v>181</v>
      </c>
      <c r="AI207" s="12" t="s">
        <v>182</v>
      </c>
      <c r="AJ207" s="11">
        <v>6.91</v>
      </c>
      <c r="AK207" s="11">
        <v>7.43</v>
      </c>
      <c r="AL207" s="11">
        <v>3</v>
      </c>
      <c r="AM207" s="11">
        <v>7.82</v>
      </c>
      <c r="AN207" s="11">
        <v>2.4300000000000002</v>
      </c>
      <c r="AO207" s="11">
        <v>8.83</v>
      </c>
      <c r="AP207" s="11">
        <v>5.91</v>
      </c>
      <c r="AR207" s="11" t="s">
        <v>183</v>
      </c>
      <c r="AS207" s="12" t="s">
        <v>184</v>
      </c>
      <c r="AT207" s="11">
        <v>2.57</v>
      </c>
      <c r="AU207" s="11">
        <v>1.22</v>
      </c>
      <c r="AV207" s="11">
        <v>2.95</v>
      </c>
      <c r="AW207" s="11">
        <v>2</v>
      </c>
      <c r="AX207" s="14"/>
    </row>
    <row r="208" spans="1:50" ht="23.5" customHeight="1" thickTop="1" thickBot="1" x14ac:dyDescent="0.35">
      <c r="A208" s="63"/>
      <c r="B208" s="76"/>
      <c r="C208" s="25"/>
      <c r="D208" s="1"/>
      <c r="E208" s="36" t="s">
        <v>153</v>
      </c>
      <c r="F208" s="36">
        <v>1</v>
      </c>
      <c r="G208" s="1"/>
      <c r="H208" s="36" t="s">
        <v>201</v>
      </c>
      <c r="I208" s="36">
        <v>1</v>
      </c>
      <c r="J208" s="25"/>
      <c r="K208" s="25"/>
      <c r="L208" s="25"/>
      <c r="M208" s="18"/>
      <c r="O208" s="1">
        <v>3</v>
      </c>
      <c r="P208" s="1">
        <v>0</v>
      </c>
      <c r="Q208" s="1">
        <v>1</v>
      </c>
      <c r="R208" s="1">
        <v>0</v>
      </c>
      <c r="S208" s="14"/>
      <c r="U208" s="11" t="s">
        <v>187</v>
      </c>
      <c r="V208" s="12" t="s">
        <v>188</v>
      </c>
      <c r="W208" s="11">
        <v>9.1999999999999993</v>
      </c>
      <c r="X208" s="11">
        <v>0.65</v>
      </c>
      <c r="Y208" s="11">
        <v>1.25</v>
      </c>
      <c r="Z208" s="11">
        <v>0.57999999999999996</v>
      </c>
      <c r="AA208" s="11">
        <v>2.88</v>
      </c>
      <c r="AB208" s="11">
        <v>0.89</v>
      </c>
      <c r="AC208" s="11">
        <v>0.91</v>
      </c>
      <c r="AD208" s="11">
        <v>1</v>
      </c>
      <c r="AE208" s="11">
        <v>1.35</v>
      </c>
      <c r="AF208" s="11">
        <v>2.4</v>
      </c>
      <c r="AX208" s="14"/>
    </row>
    <row r="209" spans="1:50" ht="23.5" customHeight="1" thickTop="1" thickBot="1" x14ac:dyDescent="0.35">
      <c r="A209" s="63"/>
      <c r="B209" s="76"/>
      <c r="C209" s="25"/>
      <c r="D209" s="1"/>
      <c r="E209" s="1" t="s">
        <v>156</v>
      </c>
      <c r="F209" s="36">
        <v>1</v>
      </c>
      <c r="G209" s="4"/>
      <c r="H209" s="38" t="s">
        <v>164</v>
      </c>
      <c r="I209" s="38">
        <v>1</v>
      </c>
      <c r="J209" s="36"/>
      <c r="K209" s="25"/>
      <c r="L209" s="25"/>
      <c r="M209" s="18"/>
      <c r="O209" s="1">
        <v>3</v>
      </c>
      <c r="P209" s="1">
        <v>0</v>
      </c>
      <c r="Q209" s="1">
        <v>2</v>
      </c>
      <c r="R209" s="1">
        <v>0</v>
      </c>
      <c r="S209" s="14"/>
      <c r="U209" s="9"/>
      <c r="V209" s="10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X209" s="14"/>
    </row>
    <row r="210" spans="1:50" ht="23.5" customHeight="1" thickTop="1" thickBot="1" x14ac:dyDescent="0.35">
      <c r="A210" s="63"/>
      <c r="B210" s="76"/>
      <c r="C210" s="25"/>
      <c r="D210" s="4"/>
      <c r="E210" s="38" t="s">
        <v>197</v>
      </c>
      <c r="F210" s="38">
        <v>1</v>
      </c>
      <c r="G210" s="39"/>
      <c r="H210" s="39"/>
      <c r="I210" s="39"/>
      <c r="J210" s="36"/>
      <c r="K210" s="36"/>
      <c r="L210" s="25"/>
      <c r="M210" s="18"/>
      <c r="O210" s="4">
        <v>5</v>
      </c>
      <c r="P210" s="4">
        <v>1</v>
      </c>
      <c r="Q210" s="4">
        <v>0</v>
      </c>
      <c r="R210" s="4">
        <v>2</v>
      </c>
      <c r="S210" s="14"/>
      <c r="U210" s="9"/>
      <c r="V210" s="10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X210" s="14"/>
    </row>
    <row r="211" spans="1:50" ht="23" customHeight="1" thickTop="1" x14ac:dyDescent="0.3">
      <c r="A211" s="63"/>
      <c r="B211" s="76"/>
      <c r="C211" s="25"/>
      <c r="D211" s="39"/>
      <c r="E211" s="39"/>
      <c r="F211" s="39"/>
      <c r="G211" s="25"/>
      <c r="H211" s="25"/>
      <c r="I211" s="25"/>
      <c r="J211" s="25"/>
      <c r="K211" s="25"/>
      <c r="L211" s="25"/>
      <c r="M211" s="18"/>
      <c r="O211" s="1"/>
      <c r="P211" s="1"/>
      <c r="Q211" s="1"/>
      <c r="R211" s="1"/>
      <c r="S211" s="14"/>
      <c r="AX211" s="14"/>
    </row>
    <row r="212" spans="1:50" ht="23" customHeight="1" thickBot="1" x14ac:dyDescent="0.35">
      <c r="A212" s="64"/>
      <c r="B212" s="81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19"/>
      <c r="N212" s="15"/>
      <c r="O212" s="15"/>
      <c r="P212" s="15"/>
      <c r="Q212" s="15"/>
      <c r="R212" s="15"/>
      <c r="S212" s="16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6"/>
    </row>
    <row r="213" spans="1:50" ht="15" customHeight="1" thickTop="1" thickBot="1" x14ac:dyDescent="0.35">
      <c r="A213" s="90">
        <v>3</v>
      </c>
      <c r="B213" s="89" t="s">
        <v>43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17"/>
      <c r="N213" s="24"/>
      <c r="O213" s="24"/>
      <c r="P213" s="24"/>
      <c r="Q213" s="24"/>
      <c r="R213" s="24"/>
      <c r="S213" s="1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17"/>
    </row>
    <row r="214" spans="1:50" ht="31" customHeight="1" thickTop="1" thickBot="1" x14ac:dyDescent="0.35">
      <c r="A214" s="63"/>
      <c r="B214" s="76"/>
      <c r="C214" s="24"/>
      <c r="D214" s="27" t="s">
        <v>191</v>
      </c>
      <c r="E214" s="27" t="s">
        <v>192</v>
      </c>
      <c r="F214" s="27" t="s">
        <v>193</v>
      </c>
      <c r="G214" s="27" t="s">
        <v>191</v>
      </c>
      <c r="H214" s="27" t="s">
        <v>192</v>
      </c>
      <c r="I214" s="27" t="s">
        <v>193</v>
      </c>
      <c r="J214" s="27" t="s">
        <v>191</v>
      </c>
      <c r="K214" s="27" t="s">
        <v>192</v>
      </c>
      <c r="L214" s="27" t="s">
        <v>193</v>
      </c>
      <c r="M214" s="17"/>
      <c r="N214" s="24"/>
      <c r="O214" s="24"/>
      <c r="P214" s="24"/>
      <c r="Q214" s="24"/>
      <c r="R214" s="24"/>
      <c r="S214" s="1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17"/>
    </row>
    <row r="215" spans="1:50" ht="23.5" customHeight="1" thickTop="1" thickBot="1" x14ac:dyDescent="0.35">
      <c r="A215" s="63"/>
      <c r="B215" s="76"/>
      <c r="C215" s="33"/>
      <c r="D215" s="88" t="s">
        <v>194</v>
      </c>
      <c r="E215" s="36" t="s">
        <v>148</v>
      </c>
      <c r="F215" s="36">
        <v>3</v>
      </c>
      <c r="G215" s="85" t="s">
        <v>198</v>
      </c>
      <c r="H215" s="36" t="s">
        <v>158</v>
      </c>
      <c r="I215" s="36">
        <v>1</v>
      </c>
      <c r="J215" s="85" t="s">
        <v>202</v>
      </c>
      <c r="K215" s="36" t="s">
        <v>203</v>
      </c>
      <c r="L215" s="36">
        <v>1</v>
      </c>
      <c r="M215" s="18"/>
      <c r="N215" s="13"/>
      <c r="O215" s="34"/>
      <c r="P215" s="34"/>
      <c r="Q215" s="34"/>
      <c r="S215" s="14"/>
      <c r="T215" s="13"/>
      <c r="AX215" s="14"/>
    </row>
    <row r="216" spans="1:50" ht="23.5" customHeight="1" thickTop="1" thickBot="1" x14ac:dyDescent="0.35">
      <c r="A216" s="63"/>
      <c r="B216" s="76"/>
      <c r="C216" s="25"/>
      <c r="D216" s="86"/>
      <c r="E216" s="36" t="s">
        <v>195</v>
      </c>
      <c r="F216" s="36">
        <v>1</v>
      </c>
      <c r="G216" s="86"/>
      <c r="H216" s="36" t="s">
        <v>159</v>
      </c>
      <c r="I216" s="36">
        <v>1</v>
      </c>
      <c r="J216" s="86"/>
      <c r="K216" s="36" t="s">
        <v>166</v>
      </c>
      <c r="L216" s="36">
        <v>1</v>
      </c>
      <c r="M216" s="18"/>
      <c r="O216" s="82" t="s">
        <v>205</v>
      </c>
      <c r="P216" s="82" t="s">
        <v>206</v>
      </c>
      <c r="Q216" s="83"/>
      <c r="R216" s="83"/>
      <c r="S216" s="14"/>
      <c r="Z216" s="23" t="s">
        <v>194</v>
      </c>
      <c r="AK216" s="23" t="s">
        <v>198</v>
      </c>
      <c r="AT216" s="23" t="s">
        <v>202</v>
      </c>
      <c r="AX216" s="14"/>
    </row>
    <row r="217" spans="1:50" ht="25" customHeight="1" thickTop="1" thickBot="1" x14ac:dyDescent="0.35">
      <c r="A217" s="63"/>
      <c r="B217" s="76"/>
      <c r="C217" s="25"/>
      <c r="D217" s="86"/>
      <c r="E217" s="36" t="s">
        <v>196</v>
      </c>
      <c r="F217" s="36">
        <v>1</v>
      </c>
      <c r="G217" s="86"/>
      <c r="H217" s="36" t="s">
        <v>160</v>
      </c>
      <c r="I217" s="36">
        <v>1</v>
      </c>
      <c r="J217" s="86"/>
      <c r="K217" s="36" t="s">
        <v>167</v>
      </c>
      <c r="L217" s="36">
        <v>1</v>
      </c>
      <c r="M217" s="18"/>
      <c r="O217" s="84"/>
      <c r="P217" s="2" t="s">
        <v>178</v>
      </c>
      <c r="Q217" s="2" t="s">
        <v>186</v>
      </c>
      <c r="R217" s="2" t="s">
        <v>190</v>
      </c>
      <c r="S217" s="14"/>
      <c r="U217" s="7" t="s">
        <v>146</v>
      </c>
      <c r="V217" s="7" t="s">
        <v>147</v>
      </c>
      <c r="W217" s="7" t="s">
        <v>148</v>
      </c>
      <c r="X217" s="7" t="s">
        <v>149</v>
      </c>
      <c r="Y217" s="7" t="s">
        <v>150</v>
      </c>
      <c r="Z217" s="8" t="s">
        <v>151</v>
      </c>
      <c r="AA217" s="7" t="s">
        <v>152</v>
      </c>
      <c r="AB217" s="7" t="s">
        <v>153</v>
      </c>
      <c r="AC217" s="7" t="s">
        <v>154</v>
      </c>
      <c r="AD217" s="7" t="s">
        <v>155</v>
      </c>
      <c r="AE217" s="8" t="s">
        <v>156</v>
      </c>
      <c r="AF217" s="7" t="s">
        <v>157</v>
      </c>
      <c r="AH217" s="7" t="s">
        <v>146</v>
      </c>
      <c r="AI217" s="7" t="s">
        <v>147</v>
      </c>
      <c r="AJ217" s="7" t="s">
        <v>158</v>
      </c>
      <c r="AK217" s="7" t="s">
        <v>159</v>
      </c>
      <c r="AL217" s="7" t="s">
        <v>160</v>
      </c>
      <c r="AM217" s="7" t="s">
        <v>161</v>
      </c>
      <c r="AN217" s="7" t="s">
        <v>162</v>
      </c>
      <c r="AO217" s="7" t="s">
        <v>163</v>
      </c>
      <c r="AP217" s="7" t="s">
        <v>164</v>
      </c>
      <c r="AR217" s="7" t="s">
        <v>146</v>
      </c>
      <c r="AS217" s="7" t="s">
        <v>147</v>
      </c>
      <c r="AT217" s="7" t="s">
        <v>165</v>
      </c>
      <c r="AU217" s="7" t="s">
        <v>166</v>
      </c>
      <c r="AV217" s="7" t="s">
        <v>167</v>
      </c>
      <c r="AW217" s="7" t="s">
        <v>168</v>
      </c>
      <c r="AX217" s="14"/>
    </row>
    <row r="218" spans="1:50" ht="23.5" customHeight="1" thickBot="1" x14ac:dyDescent="0.35">
      <c r="A218" s="63"/>
      <c r="B218" s="76"/>
      <c r="C218" s="25"/>
      <c r="D218" s="86"/>
      <c r="E218" s="1" t="s">
        <v>151</v>
      </c>
      <c r="F218" s="36">
        <v>1</v>
      </c>
      <c r="G218" s="86"/>
      <c r="H218" s="36" t="s">
        <v>199</v>
      </c>
      <c r="I218" s="36">
        <v>1</v>
      </c>
      <c r="J218" s="87"/>
      <c r="K218" s="38" t="s">
        <v>168</v>
      </c>
      <c r="L218" s="38">
        <v>1</v>
      </c>
      <c r="M218" s="18"/>
      <c r="O218" s="1">
        <v>1</v>
      </c>
      <c r="P218" s="1">
        <v>1</v>
      </c>
      <c r="Q218" s="1">
        <v>0</v>
      </c>
      <c r="R218" s="1">
        <v>0</v>
      </c>
      <c r="S218" s="14"/>
      <c r="U218" s="9" t="s">
        <v>171</v>
      </c>
      <c r="V218" s="10" t="s">
        <v>172</v>
      </c>
      <c r="W218" s="9">
        <v>7.89</v>
      </c>
      <c r="X218" s="9">
        <v>0.68</v>
      </c>
      <c r="Y218" s="9">
        <v>1.1200000000000001</v>
      </c>
      <c r="Z218" s="9">
        <v>0.62</v>
      </c>
      <c r="AA218" s="9">
        <v>2.5</v>
      </c>
      <c r="AB218" s="9">
        <v>0.83</v>
      </c>
      <c r="AC218" s="9">
        <v>0.95</v>
      </c>
      <c r="AD218" s="9">
        <v>1</v>
      </c>
      <c r="AE218" s="9">
        <v>1.25</v>
      </c>
      <c r="AF218" s="9">
        <v>1.5</v>
      </c>
      <c r="AH218" s="9" t="s">
        <v>173</v>
      </c>
      <c r="AI218" s="10" t="s">
        <v>174</v>
      </c>
      <c r="AJ218" s="9">
        <v>6.53</v>
      </c>
      <c r="AK218" s="9">
        <v>6.83</v>
      </c>
      <c r="AL218" s="9">
        <v>3</v>
      </c>
      <c r="AM218" s="9">
        <v>6.53</v>
      </c>
      <c r="AN218" s="9">
        <v>1.83</v>
      </c>
      <c r="AO218" s="9">
        <v>7.53</v>
      </c>
      <c r="AP218" s="9">
        <v>5.43</v>
      </c>
      <c r="AR218" s="9" t="s">
        <v>175</v>
      </c>
      <c r="AS218" s="10" t="s">
        <v>176</v>
      </c>
      <c r="AT218" s="9">
        <v>2.85</v>
      </c>
      <c r="AU218" s="9">
        <v>1.0900000000000001</v>
      </c>
      <c r="AV218" s="9">
        <v>2.4</v>
      </c>
      <c r="AW218" s="9">
        <v>2</v>
      </c>
      <c r="AX218" s="14"/>
    </row>
    <row r="219" spans="1:50" ht="24" customHeight="1" thickTop="1" thickBot="1" x14ac:dyDescent="0.35">
      <c r="A219" s="63"/>
      <c r="B219" s="76"/>
      <c r="C219" s="25"/>
      <c r="D219" s="86"/>
      <c r="E219" s="36" t="s">
        <v>152</v>
      </c>
      <c r="F219" s="36">
        <v>1</v>
      </c>
      <c r="G219" s="86"/>
      <c r="H219" s="36" t="s">
        <v>200</v>
      </c>
      <c r="I219" s="36">
        <v>1</v>
      </c>
      <c r="J219" s="39"/>
      <c r="K219" s="39"/>
      <c r="L219" s="39"/>
      <c r="M219" s="18"/>
      <c r="O219" s="1">
        <v>2</v>
      </c>
      <c r="P219" s="1">
        <v>0</v>
      </c>
      <c r="Q219" s="1">
        <v>1</v>
      </c>
      <c r="R219" s="1">
        <v>0</v>
      </c>
      <c r="S219" s="14"/>
      <c r="U219" s="9" t="s">
        <v>179</v>
      </c>
      <c r="V219" s="10" t="s">
        <v>180</v>
      </c>
      <c r="W219" s="9">
        <v>8.56</v>
      </c>
      <c r="X219" s="9">
        <v>0.75</v>
      </c>
      <c r="Y219" s="9">
        <v>1.03</v>
      </c>
      <c r="Z219" s="9">
        <v>0.75</v>
      </c>
      <c r="AA219" s="9">
        <v>2.5</v>
      </c>
      <c r="AB219" s="9">
        <v>0.8</v>
      </c>
      <c r="AC219" s="9">
        <v>1</v>
      </c>
      <c r="AD219" s="9">
        <v>1</v>
      </c>
      <c r="AE219" s="9">
        <v>1.3</v>
      </c>
      <c r="AF219" s="9">
        <v>1.5</v>
      </c>
      <c r="AH219" s="11" t="s">
        <v>181</v>
      </c>
      <c r="AI219" s="12" t="s">
        <v>182</v>
      </c>
      <c r="AJ219" s="11">
        <v>6.82</v>
      </c>
      <c r="AK219" s="11">
        <v>7.28</v>
      </c>
      <c r="AL219" s="11">
        <v>3</v>
      </c>
      <c r="AM219" s="11">
        <v>7.53</v>
      </c>
      <c r="AN219" s="11">
        <v>2.1800000000000002</v>
      </c>
      <c r="AO219" s="11">
        <v>8.5299999999999994</v>
      </c>
      <c r="AP219" s="11">
        <v>5.73</v>
      </c>
      <c r="AR219" s="11" t="s">
        <v>183</v>
      </c>
      <c r="AS219" s="12" t="s">
        <v>184</v>
      </c>
      <c r="AT219" s="11">
        <v>3.25</v>
      </c>
      <c r="AU219" s="11">
        <v>1.1499999999999999</v>
      </c>
      <c r="AV219" s="11">
        <v>2.25</v>
      </c>
      <c r="AW219" s="11">
        <v>2</v>
      </c>
      <c r="AX219" s="14"/>
    </row>
    <row r="220" spans="1:50" ht="23.5" customHeight="1" thickTop="1" thickBot="1" x14ac:dyDescent="0.35">
      <c r="A220" s="63"/>
      <c r="B220" s="76"/>
      <c r="C220" s="25"/>
      <c r="D220" s="86"/>
      <c r="E220" s="36" t="s">
        <v>153</v>
      </c>
      <c r="F220" s="36">
        <v>1</v>
      </c>
      <c r="G220" s="86"/>
      <c r="H220" s="36" t="s">
        <v>201</v>
      </c>
      <c r="I220" s="36">
        <v>1</v>
      </c>
      <c r="J220" s="25"/>
      <c r="K220" s="25"/>
      <c r="L220" s="25"/>
      <c r="M220" s="18"/>
      <c r="O220" s="4">
        <v>3</v>
      </c>
      <c r="P220" s="4">
        <v>1</v>
      </c>
      <c r="Q220" s="4">
        <v>0</v>
      </c>
      <c r="R220" s="4">
        <v>1</v>
      </c>
      <c r="S220" s="14"/>
      <c r="U220" s="11" t="s">
        <v>187</v>
      </c>
      <c r="V220" s="12" t="s">
        <v>188</v>
      </c>
      <c r="W220" s="11">
        <v>9.02</v>
      </c>
      <c r="X220" s="11">
        <v>0.9</v>
      </c>
      <c r="Y220" s="11">
        <v>1.25</v>
      </c>
      <c r="Z220" s="11">
        <v>0.56999999999999995</v>
      </c>
      <c r="AA220" s="11">
        <v>2.85</v>
      </c>
      <c r="AB220" s="11">
        <v>0.89</v>
      </c>
      <c r="AC220" s="11">
        <v>1</v>
      </c>
      <c r="AD220" s="11">
        <v>1.1499999999999999</v>
      </c>
      <c r="AE220" s="11">
        <v>1.4</v>
      </c>
      <c r="AF220" s="11">
        <v>2.2999999999999998</v>
      </c>
      <c r="AX220" s="14"/>
    </row>
    <row r="221" spans="1:50" ht="23.5" customHeight="1" thickTop="1" thickBot="1" x14ac:dyDescent="0.35">
      <c r="A221" s="63"/>
      <c r="B221" s="76"/>
      <c r="C221" s="25"/>
      <c r="D221" s="86"/>
      <c r="E221" s="1" t="s">
        <v>156</v>
      </c>
      <c r="F221" s="36">
        <v>1</v>
      </c>
      <c r="G221" s="87"/>
      <c r="H221" s="38" t="s">
        <v>164</v>
      </c>
      <c r="I221" s="38">
        <v>1</v>
      </c>
      <c r="J221" s="36"/>
      <c r="K221" s="25"/>
      <c r="L221" s="25"/>
      <c r="M221" s="18"/>
      <c r="O221" s="1"/>
      <c r="P221" s="1"/>
      <c r="Q221" s="1"/>
      <c r="R221" s="1"/>
      <c r="S221" s="14"/>
      <c r="U221" s="9"/>
      <c r="V221" s="10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X221" s="14"/>
    </row>
    <row r="222" spans="1:50" ht="23.5" customHeight="1" thickTop="1" thickBot="1" x14ac:dyDescent="0.35">
      <c r="A222" s="63"/>
      <c r="B222" s="76"/>
      <c r="C222" s="25"/>
      <c r="D222" s="87"/>
      <c r="E222" s="38" t="s">
        <v>197</v>
      </c>
      <c r="F222" s="38">
        <v>1</v>
      </c>
      <c r="G222" s="39"/>
      <c r="H222" s="39"/>
      <c r="I222" s="39"/>
      <c r="J222" s="36"/>
      <c r="K222" s="36"/>
      <c r="L222" s="25"/>
      <c r="M222" s="18"/>
      <c r="O222" s="1"/>
      <c r="P222" s="1"/>
      <c r="Q222" s="1"/>
      <c r="R222" s="1"/>
      <c r="S222" s="14"/>
      <c r="U222" s="9"/>
      <c r="V222" s="10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X222" s="14"/>
    </row>
    <row r="223" spans="1:50" ht="23" customHeight="1" thickTop="1" x14ac:dyDescent="0.3">
      <c r="A223" s="63"/>
      <c r="B223" s="76"/>
      <c r="C223" s="25"/>
      <c r="D223" s="39"/>
      <c r="E223" s="39"/>
      <c r="F223" s="39"/>
      <c r="G223" s="25"/>
      <c r="H223" s="25"/>
      <c r="I223" s="25"/>
      <c r="J223" s="25"/>
      <c r="K223" s="25"/>
      <c r="L223" s="25"/>
      <c r="M223" s="18"/>
      <c r="O223" s="1"/>
      <c r="P223" s="1"/>
      <c r="Q223" s="1"/>
      <c r="R223" s="1"/>
      <c r="S223" s="14"/>
      <c r="AX223" s="14"/>
    </row>
    <row r="224" spans="1:50" ht="23" customHeight="1" thickBot="1" x14ac:dyDescent="0.35">
      <c r="A224" s="63"/>
      <c r="B224" s="81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19"/>
      <c r="N224" s="15"/>
      <c r="O224" s="15"/>
      <c r="P224" s="15"/>
      <c r="Q224" s="15"/>
      <c r="R224" s="15"/>
      <c r="S224" s="16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6"/>
    </row>
    <row r="225" spans="1:50" ht="15" customHeight="1" thickTop="1" thickBot="1" x14ac:dyDescent="0.35">
      <c r="A225" s="63"/>
      <c r="B225" s="89" t="s">
        <v>44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17"/>
      <c r="N225" s="24"/>
      <c r="O225" s="24"/>
      <c r="P225" s="24"/>
      <c r="Q225" s="24"/>
      <c r="R225" s="24"/>
      <c r="S225" s="1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17"/>
    </row>
    <row r="226" spans="1:50" ht="31" customHeight="1" thickTop="1" thickBot="1" x14ac:dyDescent="0.35">
      <c r="A226" s="63"/>
      <c r="B226" s="76"/>
      <c r="C226" s="24"/>
      <c r="D226" s="27" t="s">
        <v>191</v>
      </c>
      <c r="E226" s="27" t="s">
        <v>192</v>
      </c>
      <c r="F226" s="27" t="s">
        <v>193</v>
      </c>
      <c r="G226" s="27" t="s">
        <v>191</v>
      </c>
      <c r="H226" s="27" t="s">
        <v>192</v>
      </c>
      <c r="I226" s="27" t="s">
        <v>193</v>
      </c>
      <c r="J226" s="27" t="s">
        <v>191</v>
      </c>
      <c r="K226" s="27" t="s">
        <v>192</v>
      </c>
      <c r="L226" s="27" t="s">
        <v>193</v>
      </c>
      <c r="M226" s="17"/>
      <c r="N226" s="24"/>
      <c r="O226" s="24"/>
      <c r="P226" s="24"/>
      <c r="Q226" s="24"/>
      <c r="R226" s="24"/>
      <c r="S226" s="1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17"/>
    </row>
    <row r="227" spans="1:50" ht="23.5" customHeight="1" thickTop="1" thickBot="1" x14ac:dyDescent="0.35">
      <c r="A227" s="63"/>
      <c r="B227" s="76"/>
      <c r="C227" s="33"/>
      <c r="D227" s="88" t="s">
        <v>194</v>
      </c>
      <c r="E227" s="36" t="s">
        <v>148</v>
      </c>
      <c r="F227" s="36">
        <v>3</v>
      </c>
      <c r="G227" s="85" t="s">
        <v>198</v>
      </c>
      <c r="H227" s="36" t="s">
        <v>158</v>
      </c>
      <c r="I227" s="36">
        <v>1</v>
      </c>
      <c r="J227" s="85" t="s">
        <v>202</v>
      </c>
      <c r="K227" s="36" t="s">
        <v>203</v>
      </c>
      <c r="L227" s="36">
        <v>1</v>
      </c>
      <c r="M227" s="18"/>
      <c r="N227" s="13"/>
      <c r="O227" s="34"/>
      <c r="P227" s="34"/>
      <c r="Q227" s="34"/>
      <c r="S227" s="14"/>
      <c r="T227" s="13"/>
      <c r="AX227" s="14"/>
    </row>
    <row r="228" spans="1:50" ht="23.5" customHeight="1" thickTop="1" thickBot="1" x14ac:dyDescent="0.35">
      <c r="A228" s="63"/>
      <c r="B228" s="76"/>
      <c r="C228" s="25"/>
      <c r="D228" s="86"/>
      <c r="E228" s="36" t="s">
        <v>195</v>
      </c>
      <c r="F228" s="36">
        <v>1</v>
      </c>
      <c r="G228" s="86"/>
      <c r="H228" s="36" t="s">
        <v>159</v>
      </c>
      <c r="I228" s="36">
        <v>1</v>
      </c>
      <c r="J228" s="86"/>
      <c r="K228" s="36" t="s">
        <v>166</v>
      </c>
      <c r="L228" s="36">
        <v>1</v>
      </c>
      <c r="M228" s="18"/>
      <c r="O228" s="82" t="s">
        <v>205</v>
      </c>
      <c r="P228" s="82" t="s">
        <v>206</v>
      </c>
      <c r="Q228" s="83"/>
      <c r="R228" s="83"/>
      <c r="S228" s="14"/>
      <c r="Z228" s="23" t="s">
        <v>194</v>
      </c>
      <c r="AK228" s="23" t="s">
        <v>198</v>
      </c>
      <c r="AT228" s="23" t="s">
        <v>202</v>
      </c>
      <c r="AX228" s="14"/>
    </row>
    <row r="229" spans="1:50" ht="25" customHeight="1" thickTop="1" thickBot="1" x14ac:dyDescent="0.35">
      <c r="A229" s="63"/>
      <c r="B229" s="76"/>
      <c r="C229" s="25"/>
      <c r="D229" s="86"/>
      <c r="E229" s="36" t="s">
        <v>196</v>
      </c>
      <c r="F229" s="36">
        <v>1</v>
      </c>
      <c r="G229" s="86"/>
      <c r="H229" s="36" t="s">
        <v>159</v>
      </c>
      <c r="I229" s="36">
        <v>1</v>
      </c>
      <c r="J229" s="86"/>
      <c r="K229" s="36" t="s">
        <v>167</v>
      </c>
      <c r="L229" s="36">
        <v>1</v>
      </c>
      <c r="M229" s="18"/>
      <c r="O229" s="84"/>
      <c r="P229" s="2" t="s">
        <v>178</v>
      </c>
      <c r="Q229" s="2" t="s">
        <v>186</v>
      </c>
      <c r="R229" s="2" t="s">
        <v>190</v>
      </c>
      <c r="S229" s="14"/>
      <c r="U229" s="7" t="s">
        <v>146</v>
      </c>
      <c r="V229" s="7" t="s">
        <v>147</v>
      </c>
      <c r="W229" s="7" t="s">
        <v>148</v>
      </c>
      <c r="X229" s="7" t="s">
        <v>149</v>
      </c>
      <c r="Y229" s="7" t="s">
        <v>150</v>
      </c>
      <c r="Z229" s="8" t="s">
        <v>151</v>
      </c>
      <c r="AA229" s="7" t="s">
        <v>152</v>
      </c>
      <c r="AB229" s="7" t="s">
        <v>153</v>
      </c>
      <c r="AC229" s="7" t="s">
        <v>154</v>
      </c>
      <c r="AD229" s="7" t="s">
        <v>155</v>
      </c>
      <c r="AE229" s="8" t="s">
        <v>156</v>
      </c>
      <c r="AF229" s="7" t="s">
        <v>157</v>
      </c>
      <c r="AH229" s="7" t="s">
        <v>146</v>
      </c>
      <c r="AI229" s="7" t="s">
        <v>147</v>
      </c>
      <c r="AJ229" s="7" t="s">
        <v>158</v>
      </c>
      <c r="AK229" s="7" t="s">
        <v>159</v>
      </c>
      <c r="AL229" s="7" t="s">
        <v>160</v>
      </c>
      <c r="AM229" s="7" t="s">
        <v>161</v>
      </c>
      <c r="AN229" s="7" t="s">
        <v>162</v>
      </c>
      <c r="AO229" s="7" t="s">
        <v>163</v>
      </c>
      <c r="AP229" s="7" t="s">
        <v>164</v>
      </c>
      <c r="AR229" s="7" t="s">
        <v>146</v>
      </c>
      <c r="AS229" s="7" t="s">
        <v>147</v>
      </c>
      <c r="AT229" s="7" t="s">
        <v>165</v>
      </c>
      <c r="AU229" s="7" t="s">
        <v>166</v>
      </c>
      <c r="AV229" s="7" t="s">
        <v>167</v>
      </c>
      <c r="AW229" s="7" t="s">
        <v>168</v>
      </c>
      <c r="AX229" s="14"/>
    </row>
    <row r="230" spans="1:50" ht="23.5" customHeight="1" thickBot="1" x14ac:dyDescent="0.35">
      <c r="A230" s="63"/>
      <c r="B230" s="76"/>
      <c r="C230" s="25"/>
      <c r="D230" s="86"/>
      <c r="E230" s="1" t="s">
        <v>151</v>
      </c>
      <c r="F230" s="36">
        <v>1</v>
      </c>
      <c r="G230" s="86"/>
      <c r="H230" s="36" t="s">
        <v>199</v>
      </c>
      <c r="I230" s="36">
        <v>1</v>
      </c>
      <c r="J230" s="87"/>
      <c r="K230" s="38" t="s">
        <v>168</v>
      </c>
      <c r="L230" s="38">
        <v>1</v>
      </c>
      <c r="M230" s="18"/>
      <c r="O230" s="1">
        <v>1</v>
      </c>
      <c r="P230" s="1">
        <v>1</v>
      </c>
      <c r="Q230" s="1">
        <v>2</v>
      </c>
      <c r="R230" s="1">
        <v>0</v>
      </c>
      <c r="S230" s="14"/>
      <c r="U230" s="9" t="s">
        <v>171</v>
      </c>
      <c r="V230" s="10" t="s">
        <v>172</v>
      </c>
      <c r="W230" s="9">
        <v>7.09</v>
      </c>
      <c r="X230" s="9">
        <v>0.79</v>
      </c>
      <c r="Y230" s="9">
        <v>1.1299999999999999</v>
      </c>
      <c r="Z230" s="9">
        <v>0.56999999999999995</v>
      </c>
      <c r="AA230" s="9">
        <v>2.89</v>
      </c>
      <c r="AB230" s="9">
        <v>0.85</v>
      </c>
      <c r="AC230" s="9">
        <v>0.93</v>
      </c>
      <c r="AD230" s="9">
        <v>1.2</v>
      </c>
      <c r="AE230" s="9">
        <v>1.02</v>
      </c>
      <c r="AF230" s="9">
        <v>2.0099999999999998</v>
      </c>
      <c r="AH230" s="9" t="s">
        <v>173</v>
      </c>
      <c r="AI230" s="10" t="s">
        <v>174</v>
      </c>
      <c r="AJ230" s="9">
        <v>6.28</v>
      </c>
      <c r="AK230" s="9">
        <v>6.63</v>
      </c>
      <c r="AL230" s="9">
        <v>3</v>
      </c>
      <c r="AM230" s="9">
        <v>6.83</v>
      </c>
      <c r="AN230" s="9">
        <v>1.63</v>
      </c>
      <c r="AO230" s="9">
        <v>7.28</v>
      </c>
      <c r="AP230" s="9">
        <v>5.28</v>
      </c>
      <c r="AR230" s="9" t="s">
        <v>175</v>
      </c>
      <c r="AS230" s="10" t="s">
        <v>176</v>
      </c>
      <c r="AT230" s="9">
        <v>3.18</v>
      </c>
      <c r="AU230" s="9">
        <v>1.2</v>
      </c>
      <c r="AV230" s="9">
        <v>2.85</v>
      </c>
      <c r="AW230" s="9">
        <v>2</v>
      </c>
      <c r="AX230" s="14"/>
    </row>
    <row r="231" spans="1:50" ht="24" customHeight="1" thickTop="1" thickBot="1" x14ac:dyDescent="0.35">
      <c r="A231" s="63"/>
      <c r="B231" s="76"/>
      <c r="C231" s="25"/>
      <c r="D231" s="86"/>
      <c r="E231" s="36" t="s">
        <v>152</v>
      </c>
      <c r="F231" s="36">
        <v>1</v>
      </c>
      <c r="G231" s="86"/>
      <c r="H231" s="36" t="s">
        <v>200</v>
      </c>
      <c r="I231" s="36">
        <v>1</v>
      </c>
      <c r="J231" s="39"/>
      <c r="K231" s="39"/>
      <c r="L231" s="39"/>
      <c r="M231" s="18"/>
      <c r="O231" s="1">
        <v>2</v>
      </c>
      <c r="P231" s="1">
        <v>0</v>
      </c>
      <c r="Q231" s="1">
        <v>0</v>
      </c>
      <c r="R231" s="1">
        <v>1</v>
      </c>
      <c r="S231" s="14"/>
      <c r="U231" s="9" t="s">
        <v>179</v>
      </c>
      <c r="V231" s="10" t="s">
        <v>180</v>
      </c>
      <c r="W231" s="9">
        <v>8.82</v>
      </c>
      <c r="X231" s="9">
        <v>0.68</v>
      </c>
      <c r="Y231" s="9">
        <v>1.07</v>
      </c>
      <c r="Z231" s="9">
        <v>0.65</v>
      </c>
      <c r="AA231" s="9">
        <v>2.5</v>
      </c>
      <c r="AB231" s="9">
        <v>0.89</v>
      </c>
      <c r="AC231" s="9">
        <v>0.92</v>
      </c>
      <c r="AD231" s="9">
        <v>1.07</v>
      </c>
      <c r="AE231" s="9">
        <v>1.1499999999999999</v>
      </c>
      <c r="AF231" s="9">
        <v>1.93</v>
      </c>
      <c r="AH231" s="11" t="s">
        <v>181</v>
      </c>
      <c r="AI231" s="12" t="s">
        <v>182</v>
      </c>
      <c r="AJ231" s="11">
        <v>6.84</v>
      </c>
      <c r="AK231" s="11">
        <v>7.33</v>
      </c>
      <c r="AL231" s="11">
        <v>3</v>
      </c>
      <c r="AM231" s="11">
        <v>7.73</v>
      </c>
      <c r="AN231" s="11">
        <v>2.33</v>
      </c>
      <c r="AO231" s="11">
        <v>8.73</v>
      </c>
      <c r="AP231" s="11">
        <v>5.78</v>
      </c>
      <c r="AR231" s="11" t="s">
        <v>183</v>
      </c>
      <c r="AS231" s="12" t="s">
        <v>184</v>
      </c>
      <c r="AT231" s="11">
        <v>2.76</v>
      </c>
      <c r="AU231" s="11">
        <v>1.03</v>
      </c>
      <c r="AV231" s="11">
        <v>2.35</v>
      </c>
      <c r="AW231" s="11">
        <v>2</v>
      </c>
      <c r="AX231" s="14"/>
    </row>
    <row r="232" spans="1:50" ht="23.5" customHeight="1" thickTop="1" thickBot="1" x14ac:dyDescent="0.35">
      <c r="A232" s="63"/>
      <c r="B232" s="76"/>
      <c r="C232" s="25"/>
      <c r="D232" s="86"/>
      <c r="E232" s="36" t="s">
        <v>153</v>
      </c>
      <c r="F232" s="36">
        <v>1</v>
      </c>
      <c r="G232" s="86"/>
      <c r="H232" s="36" t="s">
        <v>201</v>
      </c>
      <c r="I232" s="36">
        <v>1</v>
      </c>
      <c r="J232" s="25"/>
      <c r="K232" s="25"/>
      <c r="L232" s="25"/>
      <c r="M232" s="18"/>
      <c r="O232" s="4">
        <v>3</v>
      </c>
      <c r="P232" s="4">
        <v>0</v>
      </c>
      <c r="Q232" s="4">
        <v>0</v>
      </c>
      <c r="R232" s="4">
        <v>1</v>
      </c>
      <c r="S232" s="14"/>
      <c r="U232" s="11" t="s">
        <v>187</v>
      </c>
      <c r="V232" s="12" t="s">
        <v>188</v>
      </c>
      <c r="W232" s="11">
        <v>9.07</v>
      </c>
      <c r="X232" s="11">
        <v>0.85</v>
      </c>
      <c r="Y232" s="11">
        <v>1.25</v>
      </c>
      <c r="Z232" s="11">
        <v>0.75</v>
      </c>
      <c r="AA232" s="11">
        <v>2.71</v>
      </c>
      <c r="AB232" s="11">
        <v>0.82</v>
      </c>
      <c r="AC232" s="11">
        <v>1</v>
      </c>
      <c r="AD232" s="11">
        <v>1.1499999999999999</v>
      </c>
      <c r="AE232" s="11">
        <v>1.38</v>
      </c>
      <c r="AF232" s="11">
        <v>2.5</v>
      </c>
      <c r="AX232" s="14"/>
    </row>
    <row r="233" spans="1:50" ht="23.5" customHeight="1" thickTop="1" thickBot="1" x14ac:dyDescent="0.35">
      <c r="A233" s="63"/>
      <c r="B233" s="76"/>
      <c r="C233" s="25"/>
      <c r="D233" s="86"/>
      <c r="E233" s="1" t="s">
        <v>156</v>
      </c>
      <c r="F233" s="36">
        <v>1</v>
      </c>
      <c r="G233" s="87"/>
      <c r="H233" s="38" t="s">
        <v>164</v>
      </c>
      <c r="I233" s="38">
        <v>1</v>
      </c>
      <c r="J233" s="36"/>
      <c r="K233" s="25"/>
      <c r="L233" s="25"/>
      <c r="M233" s="18"/>
      <c r="O233" s="1"/>
      <c r="P233" s="1"/>
      <c r="Q233" s="1"/>
      <c r="R233" s="1"/>
      <c r="S233" s="14"/>
      <c r="U233" s="9"/>
      <c r="V233" s="10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X233" s="14"/>
    </row>
    <row r="234" spans="1:50" ht="23.5" customHeight="1" thickTop="1" thickBot="1" x14ac:dyDescent="0.35">
      <c r="A234" s="63"/>
      <c r="B234" s="76"/>
      <c r="C234" s="25"/>
      <c r="D234" s="87"/>
      <c r="E234" s="38" t="s">
        <v>197</v>
      </c>
      <c r="F234" s="38">
        <v>1</v>
      </c>
      <c r="G234" s="39"/>
      <c r="H234" s="39"/>
      <c r="I234" s="39"/>
      <c r="J234" s="36"/>
      <c r="K234" s="36"/>
      <c r="L234" s="25"/>
      <c r="M234" s="18"/>
      <c r="O234" s="1"/>
      <c r="P234" s="1"/>
      <c r="Q234" s="1"/>
      <c r="R234" s="1"/>
      <c r="S234" s="14"/>
      <c r="U234" s="9"/>
      <c r="V234" s="10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X234" s="14"/>
    </row>
    <row r="235" spans="1:50" ht="23" customHeight="1" thickTop="1" x14ac:dyDescent="0.3">
      <c r="A235" s="63"/>
      <c r="B235" s="76"/>
      <c r="C235" s="25"/>
      <c r="D235" s="39"/>
      <c r="E235" s="39"/>
      <c r="F235" s="39"/>
      <c r="G235" s="25"/>
      <c r="H235" s="25"/>
      <c r="I235" s="25"/>
      <c r="J235" s="25"/>
      <c r="K235" s="25"/>
      <c r="L235" s="25"/>
      <c r="M235" s="18"/>
      <c r="O235" s="1"/>
      <c r="P235" s="1"/>
      <c r="Q235" s="1"/>
      <c r="R235" s="1"/>
      <c r="S235" s="14"/>
      <c r="AX235" s="14"/>
    </row>
    <row r="236" spans="1:50" ht="23" customHeight="1" thickBot="1" x14ac:dyDescent="0.35">
      <c r="A236" s="63"/>
      <c r="B236" s="81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19"/>
      <c r="N236" s="15"/>
      <c r="O236" s="15"/>
      <c r="P236" s="15"/>
      <c r="Q236" s="15"/>
      <c r="R236" s="15"/>
      <c r="S236" s="16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6"/>
    </row>
    <row r="237" spans="1:50" ht="15" customHeight="1" thickTop="1" thickBot="1" x14ac:dyDescent="0.35">
      <c r="A237" s="63"/>
      <c r="B237" s="89" t="s">
        <v>45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17"/>
      <c r="N237" s="24"/>
      <c r="O237" s="24"/>
      <c r="P237" s="24"/>
      <c r="Q237" s="24"/>
      <c r="R237" s="24"/>
      <c r="S237" s="1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17"/>
    </row>
    <row r="238" spans="1:50" ht="31" customHeight="1" thickTop="1" thickBot="1" x14ac:dyDescent="0.35">
      <c r="A238" s="63"/>
      <c r="B238" s="76"/>
      <c r="C238" s="24"/>
      <c r="D238" s="27" t="s">
        <v>191</v>
      </c>
      <c r="E238" s="27" t="s">
        <v>192</v>
      </c>
      <c r="F238" s="27" t="s">
        <v>193</v>
      </c>
      <c r="G238" s="27" t="s">
        <v>191</v>
      </c>
      <c r="H238" s="27" t="s">
        <v>192</v>
      </c>
      <c r="I238" s="27" t="s">
        <v>193</v>
      </c>
      <c r="J238" s="27" t="s">
        <v>191</v>
      </c>
      <c r="K238" s="27" t="s">
        <v>192</v>
      </c>
      <c r="L238" s="27" t="s">
        <v>193</v>
      </c>
      <c r="M238" s="17"/>
      <c r="N238" s="24"/>
      <c r="O238" s="24"/>
      <c r="P238" s="24"/>
      <c r="Q238" s="24"/>
      <c r="R238" s="24"/>
      <c r="S238" s="1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17"/>
    </row>
    <row r="239" spans="1:50" ht="23.5" customHeight="1" thickTop="1" thickBot="1" x14ac:dyDescent="0.35">
      <c r="A239" s="63"/>
      <c r="B239" s="76"/>
      <c r="C239" s="33"/>
      <c r="D239" s="88" t="s">
        <v>194</v>
      </c>
      <c r="E239" s="36" t="s">
        <v>148</v>
      </c>
      <c r="F239" s="36">
        <v>5</v>
      </c>
      <c r="G239" s="85" t="s">
        <v>198</v>
      </c>
      <c r="H239" s="36" t="s">
        <v>158</v>
      </c>
      <c r="I239" s="36">
        <v>1</v>
      </c>
      <c r="J239" s="85" t="s">
        <v>202</v>
      </c>
      <c r="K239" s="36" t="s">
        <v>203</v>
      </c>
      <c r="L239" s="36">
        <v>2</v>
      </c>
      <c r="M239" s="18"/>
      <c r="N239" s="13"/>
      <c r="O239" s="34"/>
      <c r="P239" s="34"/>
      <c r="Q239" s="34"/>
      <c r="S239" s="14"/>
      <c r="T239" s="13"/>
      <c r="AX239" s="14"/>
    </row>
    <row r="240" spans="1:50" ht="23.5" customHeight="1" thickTop="1" thickBot="1" x14ac:dyDescent="0.35">
      <c r="A240" s="63"/>
      <c r="B240" s="76"/>
      <c r="C240" s="25"/>
      <c r="D240" s="86"/>
      <c r="E240" s="36" t="s">
        <v>195</v>
      </c>
      <c r="F240" s="36">
        <v>1</v>
      </c>
      <c r="G240" s="86"/>
      <c r="H240" s="36" t="s">
        <v>159</v>
      </c>
      <c r="I240" s="36">
        <v>1</v>
      </c>
      <c r="J240" s="86"/>
      <c r="K240" s="36" t="s">
        <v>166</v>
      </c>
      <c r="L240" s="36">
        <v>1</v>
      </c>
      <c r="M240" s="18"/>
      <c r="O240" s="82" t="s">
        <v>205</v>
      </c>
      <c r="P240" s="82" t="s">
        <v>206</v>
      </c>
      <c r="Q240" s="83"/>
      <c r="R240" s="83"/>
      <c r="S240" s="14"/>
      <c r="Z240" s="23" t="s">
        <v>194</v>
      </c>
      <c r="AK240" s="23" t="s">
        <v>198</v>
      </c>
      <c r="AT240" s="23" t="s">
        <v>202</v>
      </c>
      <c r="AX240" s="14"/>
    </row>
    <row r="241" spans="1:50" ht="25" customHeight="1" thickTop="1" thickBot="1" x14ac:dyDescent="0.35">
      <c r="A241" s="63"/>
      <c r="B241" s="76"/>
      <c r="C241" s="25"/>
      <c r="D241" s="86"/>
      <c r="E241" s="36" t="s">
        <v>196</v>
      </c>
      <c r="F241" s="36">
        <v>1</v>
      </c>
      <c r="G241" s="86"/>
      <c r="H241" s="36" t="s">
        <v>160</v>
      </c>
      <c r="I241" s="36">
        <v>1</v>
      </c>
      <c r="J241" s="86"/>
      <c r="K241" s="36" t="s">
        <v>167</v>
      </c>
      <c r="L241" s="36">
        <v>1</v>
      </c>
      <c r="M241" s="18"/>
      <c r="O241" s="84"/>
      <c r="P241" s="2" t="s">
        <v>178</v>
      </c>
      <c r="Q241" s="2" t="s">
        <v>186</v>
      </c>
      <c r="R241" s="2" t="s">
        <v>190</v>
      </c>
      <c r="S241" s="14"/>
      <c r="U241" s="7" t="s">
        <v>146</v>
      </c>
      <c r="V241" s="7" t="s">
        <v>147</v>
      </c>
      <c r="W241" s="7" t="s">
        <v>148</v>
      </c>
      <c r="X241" s="7" t="s">
        <v>149</v>
      </c>
      <c r="Y241" s="7" t="s">
        <v>150</v>
      </c>
      <c r="Z241" s="8" t="s">
        <v>151</v>
      </c>
      <c r="AA241" s="7" t="s">
        <v>152</v>
      </c>
      <c r="AB241" s="7" t="s">
        <v>153</v>
      </c>
      <c r="AC241" s="7" t="s">
        <v>154</v>
      </c>
      <c r="AD241" s="7" t="s">
        <v>155</v>
      </c>
      <c r="AE241" s="8" t="s">
        <v>156</v>
      </c>
      <c r="AF241" s="7" t="s">
        <v>157</v>
      </c>
      <c r="AH241" s="7" t="s">
        <v>146</v>
      </c>
      <c r="AI241" s="7" t="s">
        <v>147</v>
      </c>
      <c r="AJ241" s="7" t="s">
        <v>158</v>
      </c>
      <c r="AK241" s="7" t="s">
        <v>159</v>
      </c>
      <c r="AL241" s="7" t="s">
        <v>160</v>
      </c>
      <c r="AM241" s="7" t="s">
        <v>161</v>
      </c>
      <c r="AN241" s="7" t="s">
        <v>162</v>
      </c>
      <c r="AO241" s="7" t="s">
        <v>163</v>
      </c>
      <c r="AP241" s="7" t="s">
        <v>164</v>
      </c>
      <c r="AR241" s="7" t="s">
        <v>146</v>
      </c>
      <c r="AS241" s="7" t="s">
        <v>147</v>
      </c>
      <c r="AT241" s="7" t="s">
        <v>165</v>
      </c>
      <c r="AU241" s="7" t="s">
        <v>166</v>
      </c>
      <c r="AV241" s="7" t="s">
        <v>167</v>
      </c>
      <c r="AW241" s="7" t="s">
        <v>168</v>
      </c>
      <c r="AX241" s="14"/>
    </row>
    <row r="242" spans="1:50" ht="23.5" customHeight="1" thickBot="1" x14ac:dyDescent="0.35">
      <c r="A242" s="63"/>
      <c r="B242" s="76"/>
      <c r="C242" s="25"/>
      <c r="D242" s="86"/>
      <c r="E242" s="1" t="s">
        <v>151</v>
      </c>
      <c r="F242" s="36">
        <v>1</v>
      </c>
      <c r="G242" s="86"/>
      <c r="H242" s="36" t="s">
        <v>199</v>
      </c>
      <c r="I242" s="36">
        <v>1</v>
      </c>
      <c r="J242" s="87"/>
      <c r="K242" s="38" t="s">
        <v>168</v>
      </c>
      <c r="L242" s="38">
        <v>1</v>
      </c>
      <c r="M242" s="18"/>
      <c r="O242" s="1">
        <v>1</v>
      </c>
      <c r="P242" s="1">
        <v>1</v>
      </c>
      <c r="Q242" s="1">
        <v>2</v>
      </c>
      <c r="R242" s="1">
        <v>1</v>
      </c>
      <c r="S242" s="14"/>
      <c r="U242" s="9" t="s">
        <v>171</v>
      </c>
      <c r="V242" s="10" t="s">
        <v>172</v>
      </c>
      <c r="W242" s="9">
        <v>7.51</v>
      </c>
      <c r="X242" s="9">
        <v>0.74</v>
      </c>
      <c r="Y242" s="9">
        <v>1.1599999999999999</v>
      </c>
      <c r="Z242" s="9">
        <v>0.69</v>
      </c>
      <c r="AA242" s="9">
        <v>2.5</v>
      </c>
      <c r="AB242" s="9">
        <v>0.81</v>
      </c>
      <c r="AC242" s="9">
        <v>0.96</v>
      </c>
      <c r="AD242" s="9">
        <v>1</v>
      </c>
      <c r="AE242" s="9">
        <v>1.25</v>
      </c>
      <c r="AF242" s="9">
        <v>1.86</v>
      </c>
      <c r="AH242" s="9" t="s">
        <v>173</v>
      </c>
      <c r="AI242" s="10" t="s">
        <v>174</v>
      </c>
      <c r="AJ242" s="9">
        <v>6.42</v>
      </c>
      <c r="AK242" s="9">
        <v>6.72</v>
      </c>
      <c r="AL242" s="9">
        <v>3</v>
      </c>
      <c r="AM242" s="9">
        <v>6.39</v>
      </c>
      <c r="AN242" s="9">
        <v>1.97</v>
      </c>
      <c r="AO242" s="9">
        <v>7.42</v>
      </c>
      <c r="AP242" s="9">
        <v>5.32</v>
      </c>
      <c r="AR242" s="9" t="s">
        <v>175</v>
      </c>
      <c r="AS242" s="10" t="s">
        <v>176</v>
      </c>
      <c r="AT242" s="9">
        <v>2.99</v>
      </c>
      <c r="AU242" s="9">
        <v>1.1299999999999999</v>
      </c>
      <c r="AV242" s="9">
        <v>2.6</v>
      </c>
      <c r="AW242" s="9">
        <v>2</v>
      </c>
      <c r="AX242" s="14"/>
    </row>
    <row r="243" spans="1:50" ht="24" customHeight="1" thickTop="1" thickBot="1" x14ac:dyDescent="0.35">
      <c r="A243" s="63"/>
      <c r="B243" s="76"/>
      <c r="C243" s="25"/>
      <c r="D243" s="86"/>
      <c r="E243" s="36" t="s">
        <v>152</v>
      </c>
      <c r="F243" s="36">
        <v>1</v>
      </c>
      <c r="G243" s="86"/>
      <c r="H243" s="36" t="s">
        <v>200</v>
      </c>
      <c r="I243" s="36">
        <v>1</v>
      </c>
      <c r="J243" s="39"/>
      <c r="K243" s="39"/>
      <c r="L243" s="39"/>
      <c r="M243" s="18"/>
      <c r="O243" s="1">
        <v>2</v>
      </c>
      <c r="P243" s="1">
        <v>0</v>
      </c>
      <c r="Q243" s="1">
        <v>0</v>
      </c>
      <c r="R243" s="1">
        <v>0</v>
      </c>
      <c r="S243" s="14"/>
      <c r="U243" s="9" t="s">
        <v>179</v>
      </c>
      <c r="V243" s="10" t="s">
        <v>180</v>
      </c>
      <c r="W243" s="9">
        <v>8.26</v>
      </c>
      <c r="X243" s="9">
        <v>0.83</v>
      </c>
      <c r="Y243" s="9">
        <v>1.03</v>
      </c>
      <c r="Z243" s="9">
        <v>0.57999999999999996</v>
      </c>
      <c r="AA243" s="9">
        <v>2.92</v>
      </c>
      <c r="AB243" s="9">
        <v>0.86</v>
      </c>
      <c r="AC243" s="9">
        <v>0.98</v>
      </c>
      <c r="AD243" s="9">
        <v>1.18</v>
      </c>
      <c r="AE243" s="9">
        <v>1.05</v>
      </c>
      <c r="AF243" s="9">
        <v>2.27</v>
      </c>
      <c r="AH243" s="11" t="s">
        <v>181</v>
      </c>
      <c r="AI243" s="12" t="s">
        <v>182</v>
      </c>
      <c r="AJ243" s="11">
        <v>6.73</v>
      </c>
      <c r="AK243" s="11">
        <v>7.17</v>
      </c>
      <c r="AL243" s="11">
        <v>3</v>
      </c>
      <c r="AM243" s="11">
        <v>7.43</v>
      </c>
      <c r="AN243" s="11">
        <v>2.27</v>
      </c>
      <c r="AO243" s="11">
        <v>8.42</v>
      </c>
      <c r="AP243" s="11">
        <v>5.62</v>
      </c>
      <c r="AR243" s="11" t="s">
        <v>183</v>
      </c>
      <c r="AS243" s="12" t="s">
        <v>184</v>
      </c>
      <c r="AT243" s="11">
        <v>3.33</v>
      </c>
      <c r="AU243" s="11">
        <v>1.06</v>
      </c>
      <c r="AV243" s="11">
        <v>2.1800000000000002</v>
      </c>
      <c r="AW243" s="11">
        <v>2</v>
      </c>
      <c r="AX243" s="14"/>
    </row>
    <row r="244" spans="1:50" ht="23.5" customHeight="1" thickTop="1" thickBot="1" x14ac:dyDescent="0.35">
      <c r="A244" s="63"/>
      <c r="B244" s="76"/>
      <c r="C244" s="25"/>
      <c r="D244" s="86"/>
      <c r="E244" s="36" t="s">
        <v>153</v>
      </c>
      <c r="F244" s="36">
        <v>1</v>
      </c>
      <c r="G244" s="86"/>
      <c r="H244" s="36" t="s">
        <v>201</v>
      </c>
      <c r="I244" s="36">
        <v>1</v>
      </c>
      <c r="J244" s="25"/>
      <c r="K244" s="25"/>
      <c r="L244" s="25"/>
      <c r="M244" s="18"/>
      <c r="O244" s="4">
        <v>3</v>
      </c>
      <c r="P244" s="4">
        <v>0</v>
      </c>
      <c r="Q244" s="4">
        <v>0</v>
      </c>
      <c r="R244" s="4">
        <v>1</v>
      </c>
      <c r="S244" s="14"/>
      <c r="U244" s="11" t="s">
        <v>187</v>
      </c>
      <c r="V244" s="12" t="s">
        <v>188</v>
      </c>
      <c r="W244" s="11">
        <v>9.18</v>
      </c>
      <c r="X244" s="11">
        <v>0.65</v>
      </c>
      <c r="Y244" s="11">
        <v>1.23</v>
      </c>
      <c r="Z244" s="11">
        <v>0.71</v>
      </c>
      <c r="AA244" s="11">
        <v>2.5</v>
      </c>
      <c r="AB244" s="11">
        <v>0.88</v>
      </c>
      <c r="AC244" s="11">
        <v>0.91</v>
      </c>
      <c r="AD244" s="11">
        <v>1.2</v>
      </c>
      <c r="AE244" s="11">
        <v>1.32</v>
      </c>
      <c r="AF244" s="11">
        <v>1.71</v>
      </c>
      <c r="AX244" s="14"/>
    </row>
    <row r="245" spans="1:50" ht="23.5" customHeight="1" thickTop="1" thickBot="1" x14ac:dyDescent="0.35">
      <c r="A245" s="63"/>
      <c r="B245" s="76"/>
      <c r="C245" s="25"/>
      <c r="D245" s="86"/>
      <c r="E245" s="1" t="s">
        <v>156</v>
      </c>
      <c r="F245" s="36">
        <v>1</v>
      </c>
      <c r="G245" s="87"/>
      <c r="H245" s="38" t="s">
        <v>164</v>
      </c>
      <c r="I245" s="38">
        <v>1</v>
      </c>
      <c r="J245" s="36"/>
      <c r="K245" s="25"/>
      <c r="L245" s="25"/>
      <c r="M245" s="18"/>
      <c r="O245" s="1"/>
      <c r="P245" s="1"/>
      <c r="Q245" s="1"/>
      <c r="R245" s="1"/>
      <c r="S245" s="14"/>
      <c r="U245" s="9"/>
      <c r="V245" s="10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X245" s="14"/>
    </row>
    <row r="246" spans="1:50" ht="23.5" customHeight="1" thickTop="1" thickBot="1" x14ac:dyDescent="0.35">
      <c r="A246" s="63"/>
      <c r="B246" s="76"/>
      <c r="C246" s="25"/>
      <c r="D246" s="87"/>
      <c r="E246" s="38" t="s">
        <v>197</v>
      </c>
      <c r="F246" s="38">
        <v>1</v>
      </c>
      <c r="G246" s="39"/>
      <c r="H246" s="39"/>
      <c r="I246" s="39"/>
      <c r="J246" s="36"/>
      <c r="K246" s="36"/>
      <c r="L246" s="25"/>
      <c r="M246" s="18"/>
      <c r="O246" s="1"/>
      <c r="P246" s="1"/>
      <c r="Q246" s="1"/>
      <c r="R246" s="1"/>
      <c r="S246" s="14"/>
      <c r="U246" s="9"/>
      <c r="V246" s="10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X246" s="14"/>
    </row>
    <row r="247" spans="1:50" ht="23" customHeight="1" thickTop="1" x14ac:dyDescent="0.3">
      <c r="A247" s="63"/>
      <c r="B247" s="76"/>
      <c r="C247" s="25"/>
      <c r="D247" s="39"/>
      <c r="E247" s="39"/>
      <c r="F247" s="39"/>
      <c r="G247" s="25"/>
      <c r="H247" s="25"/>
      <c r="I247" s="25"/>
      <c r="J247" s="25"/>
      <c r="K247" s="25"/>
      <c r="L247" s="25"/>
      <c r="M247" s="18"/>
      <c r="O247" s="1"/>
      <c r="P247" s="1"/>
      <c r="Q247" s="1"/>
      <c r="R247" s="1"/>
      <c r="S247" s="14"/>
      <c r="AX247" s="14"/>
    </row>
    <row r="248" spans="1:50" ht="23" customHeight="1" thickBot="1" x14ac:dyDescent="0.35">
      <c r="A248" s="63"/>
      <c r="B248" s="81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19"/>
      <c r="N248" s="15"/>
      <c r="O248" s="15"/>
      <c r="P248" s="15"/>
      <c r="Q248" s="15"/>
      <c r="R248" s="15"/>
      <c r="S248" s="16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6"/>
    </row>
    <row r="249" spans="1:50" ht="15" customHeight="1" thickTop="1" thickBot="1" x14ac:dyDescent="0.35">
      <c r="A249" s="63"/>
      <c r="B249" s="89" t="s">
        <v>46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17"/>
      <c r="N249" s="24"/>
      <c r="O249" s="24"/>
      <c r="P249" s="24"/>
      <c r="Q249" s="24"/>
      <c r="R249" s="24"/>
      <c r="S249" s="1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17"/>
    </row>
    <row r="250" spans="1:50" ht="31" customHeight="1" thickTop="1" thickBot="1" x14ac:dyDescent="0.35">
      <c r="A250" s="63"/>
      <c r="B250" s="76"/>
      <c r="C250" s="24"/>
      <c r="D250" s="27" t="s">
        <v>191</v>
      </c>
      <c r="E250" s="27" t="s">
        <v>192</v>
      </c>
      <c r="F250" s="27" t="s">
        <v>193</v>
      </c>
      <c r="G250" s="27" t="s">
        <v>191</v>
      </c>
      <c r="H250" s="27" t="s">
        <v>192</v>
      </c>
      <c r="I250" s="27" t="s">
        <v>193</v>
      </c>
      <c r="J250" s="27" t="s">
        <v>191</v>
      </c>
      <c r="K250" s="27" t="s">
        <v>192</v>
      </c>
      <c r="L250" s="27" t="s">
        <v>193</v>
      </c>
      <c r="M250" s="17"/>
      <c r="N250" s="24"/>
      <c r="O250" s="24"/>
      <c r="P250" s="24"/>
      <c r="Q250" s="24"/>
      <c r="R250" s="24"/>
      <c r="S250" s="1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17"/>
    </row>
    <row r="251" spans="1:50" ht="23.5" customHeight="1" thickTop="1" thickBot="1" x14ac:dyDescent="0.35">
      <c r="A251" s="63"/>
      <c r="B251" s="76"/>
      <c r="C251" s="33"/>
      <c r="D251" s="88" t="s">
        <v>194</v>
      </c>
      <c r="E251" s="36" t="s">
        <v>148</v>
      </c>
      <c r="F251" s="36">
        <v>5</v>
      </c>
      <c r="G251" s="85" t="s">
        <v>198</v>
      </c>
      <c r="H251" s="36" t="s">
        <v>158</v>
      </c>
      <c r="I251" s="36">
        <v>1</v>
      </c>
      <c r="J251" s="85" t="s">
        <v>202</v>
      </c>
      <c r="K251" s="36" t="s">
        <v>203</v>
      </c>
      <c r="L251" s="36">
        <v>2</v>
      </c>
      <c r="M251" s="18"/>
      <c r="N251" s="13"/>
      <c r="O251" s="34"/>
      <c r="P251" s="34"/>
      <c r="Q251" s="24"/>
      <c r="S251" s="14"/>
      <c r="T251" s="13"/>
      <c r="AX251" s="14"/>
    </row>
    <row r="252" spans="1:50" ht="23.5" customHeight="1" thickTop="1" thickBot="1" x14ac:dyDescent="0.35">
      <c r="A252" s="63"/>
      <c r="B252" s="76"/>
      <c r="C252" s="25"/>
      <c r="D252" s="86"/>
      <c r="E252" s="36" t="s">
        <v>195</v>
      </c>
      <c r="F252" s="36">
        <v>1</v>
      </c>
      <c r="G252" s="86"/>
      <c r="H252" s="36" t="s">
        <v>159</v>
      </c>
      <c r="I252" s="36">
        <v>1</v>
      </c>
      <c r="J252" s="86"/>
      <c r="K252" s="36" t="s">
        <v>166</v>
      </c>
      <c r="L252" s="36">
        <v>1</v>
      </c>
      <c r="M252" s="18"/>
      <c r="O252" s="82" t="s">
        <v>205</v>
      </c>
      <c r="P252" s="82" t="s">
        <v>206</v>
      </c>
      <c r="Q252" s="83"/>
      <c r="R252" s="83"/>
      <c r="S252" s="14"/>
      <c r="Z252" s="23" t="s">
        <v>194</v>
      </c>
      <c r="AK252" s="23" t="s">
        <v>198</v>
      </c>
      <c r="AT252" s="23" t="s">
        <v>202</v>
      </c>
      <c r="AX252" s="14"/>
    </row>
    <row r="253" spans="1:50" ht="25" customHeight="1" thickTop="1" thickBot="1" x14ac:dyDescent="0.35">
      <c r="A253" s="63"/>
      <c r="B253" s="76"/>
      <c r="C253" s="25"/>
      <c r="D253" s="86"/>
      <c r="E253" s="36" t="s">
        <v>196</v>
      </c>
      <c r="F253" s="36">
        <v>1</v>
      </c>
      <c r="G253" s="86"/>
      <c r="H253" s="36" t="s">
        <v>160</v>
      </c>
      <c r="I253" s="36">
        <v>1</v>
      </c>
      <c r="J253" s="86"/>
      <c r="K253" s="36" t="s">
        <v>167</v>
      </c>
      <c r="L253" s="36">
        <v>1</v>
      </c>
      <c r="M253" s="18"/>
      <c r="O253" s="84"/>
      <c r="P253" s="2" t="s">
        <v>178</v>
      </c>
      <c r="Q253" s="2" t="s">
        <v>186</v>
      </c>
      <c r="R253" s="2" t="s">
        <v>190</v>
      </c>
      <c r="S253" s="14"/>
      <c r="U253" s="7" t="s">
        <v>146</v>
      </c>
      <c r="V253" s="7" t="s">
        <v>147</v>
      </c>
      <c r="W253" s="7" t="s">
        <v>148</v>
      </c>
      <c r="X253" s="7" t="s">
        <v>149</v>
      </c>
      <c r="Y253" s="7" t="s">
        <v>150</v>
      </c>
      <c r="Z253" s="8" t="s">
        <v>151</v>
      </c>
      <c r="AA253" s="7" t="s">
        <v>152</v>
      </c>
      <c r="AB253" s="7" t="s">
        <v>153</v>
      </c>
      <c r="AC253" s="7" t="s">
        <v>154</v>
      </c>
      <c r="AD253" s="7" t="s">
        <v>155</v>
      </c>
      <c r="AE253" s="8" t="s">
        <v>156</v>
      </c>
      <c r="AF253" s="7" t="s">
        <v>157</v>
      </c>
      <c r="AH253" s="7" t="s">
        <v>146</v>
      </c>
      <c r="AI253" s="7" t="s">
        <v>147</v>
      </c>
      <c r="AJ253" s="7" t="s">
        <v>158</v>
      </c>
      <c r="AK253" s="7" t="s">
        <v>159</v>
      </c>
      <c r="AL253" s="7" t="s">
        <v>160</v>
      </c>
      <c r="AM253" s="7" t="s">
        <v>161</v>
      </c>
      <c r="AN253" s="7" t="s">
        <v>162</v>
      </c>
      <c r="AO253" s="7" t="s">
        <v>163</v>
      </c>
      <c r="AP253" s="7" t="s">
        <v>164</v>
      </c>
      <c r="AR253" s="7" t="s">
        <v>146</v>
      </c>
      <c r="AS253" s="7" t="s">
        <v>147</v>
      </c>
      <c r="AT253" s="7" t="s">
        <v>165</v>
      </c>
      <c r="AU253" s="7" t="s">
        <v>166</v>
      </c>
      <c r="AV253" s="7" t="s">
        <v>167</v>
      </c>
      <c r="AW253" s="7" t="s">
        <v>168</v>
      </c>
      <c r="AX253" s="14"/>
    </row>
    <row r="254" spans="1:50" ht="23.5" customHeight="1" thickBot="1" x14ac:dyDescent="0.35">
      <c r="A254" s="63"/>
      <c r="B254" s="76"/>
      <c r="C254" s="25"/>
      <c r="D254" s="86"/>
      <c r="E254" s="1" t="s">
        <v>151</v>
      </c>
      <c r="F254" s="36">
        <v>1</v>
      </c>
      <c r="G254" s="86"/>
      <c r="H254" s="36" t="s">
        <v>199</v>
      </c>
      <c r="I254" s="36">
        <v>1</v>
      </c>
      <c r="J254" s="87"/>
      <c r="K254" s="38" t="s">
        <v>168</v>
      </c>
      <c r="L254" s="38">
        <v>1</v>
      </c>
      <c r="M254" s="18"/>
      <c r="O254" s="1">
        <v>1</v>
      </c>
      <c r="P254" s="1">
        <v>0</v>
      </c>
      <c r="Q254" s="1">
        <v>1</v>
      </c>
      <c r="R254" s="1">
        <v>1</v>
      </c>
      <c r="S254" s="14"/>
      <c r="U254" s="9" t="s">
        <v>171</v>
      </c>
      <c r="V254" s="10" t="s">
        <v>172</v>
      </c>
      <c r="W254" s="9">
        <v>7.94</v>
      </c>
      <c r="X254" s="9">
        <v>0.76</v>
      </c>
      <c r="Y254" s="9">
        <v>1.1000000000000001</v>
      </c>
      <c r="Z254" s="9">
        <v>0.62</v>
      </c>
      <c r="AA254" s="9">
        <v>2.77</v>
      </c>
      <c r="AB254" s="9">
        <v>0.84</v>
      </c>
      <c r="AC254" s="9">
        <v>0.95</v>
      </c>
      <c r="AD254" s="9">
        <v>1.03</v>
      </c>
      <c r="AE254" s="9">
        <v>1.28</v>
      </c>
      <c r="AF254" s="9">
        <v>2.14</v>
      </c>
      <c r="AH254" s="9" t="s">
        <v>173</v>
      </c>
      <c r="AI254" s="10" t="s">
        <v>174</v>
      </c>
      <c r="AJ254" s="9">
        <v>6.94</v>
      </c>
      <c r="AK254" s="9">
        <v>7.48</v>
      </c>
      <c r="AL254" s="9">
        <v>3</v>
      </c>
      <c r="AM254" s="9">
        <v>7.87</v>
      </c>
      <c r="AN254" s="9">
        <v>2.48</v>
      </c>
      <c r="AO254" s="9">
        <v>8.94</v>
      </c>
      <c r="AP254" s="9">
        <v>5.94</v>
      </c>
      <c r="AR254" s="9" t="s">
        <v>175</v>
      </c>
      <c r="AS254" s="10" t="s">
        <v>176</v>
      </c>
      <c r="AT254" s="9">
        <v>2.69</v>
      </c>
      <c r="AU254" s="9">
        <v>1.18</v>
      </c>
      <c r="AV254" s="9">
        <v>2.75</v>
      </c>
      <c r="AW254" s="9">
        <v>2</v>
      </c>
      <c r="AX254" s="14"/>
    </row>
    <row r="255" spans="1:50" ht="24" customHeight="1" thickTop="1" thickBot="1" x14ac:dyDescent="0.35">
      <c r="A255" s="63"/>
      <c r="B255" s="76"/>
      <c r="C255" s="25"/>
      <c r="D255" s="86"/>
      <c r="E255" s="36" t="s">
        <v>152</v>
      </c>
      <c r="F255" s="36">
        <v>1</v>
      </c>
      <c r="G255" s="86"/>
      <c r="H255" s="36" t="s">
        <v>200</v>
      </c>
      <c r="I255" s="36">
        <v>1</v>
      </c>
      <c r="J255" s="39"/>
      <c r="K255" s="39"/>
      <c r="L255" s="39"/>
      <c r="M255" s="18"/>
      <c r="O255" s="1">
        <v>2</v>
      </c>
      <c r="P255" s="1">
        <v>0</v>
      </c>
      <c r="Q255" s="1">
        <v>1</v>
      </c>
      <c r="R255" s="1">
        <v>0</v>
      </c>
      <c r="S255" s="14"/>
      <c r="U255" s="9" t="s">
        <v>179</v>
      </c>
      <c r="V255" s="10" t="s">
        <v>180</v>
      </c>
      <c r="W255" s="9">
        <v>8.59</v>
      </c>
      <c r="X255" s="9">
        <v>0.67</v>
      </c>
      <c r="Y255" s="9">
        <v>1.05</v>
      </c>
      <c r="Z255" s="9">
        <v>0.75</v>
      </c>
      <c r="AA255" s="9">
        <v>2.5</v>
      </c>
      <c r="AB255" s="9">
        <v>0.8</v>
      </c>
      <c r="AC255" s="9">
        <v>0.99</v>
      </c>
      <c r="AD255" s="9">
        <v>1.1200000000000001</v>
      </c>
      <c r="AE255" s="9">
        <v>1.1000000000000001</v>
      </c>
      <c r="AF255" s="9">
        <v>1.62</v>
      </c>
      <c r="AH255" s="11" t="s">
        <v>181</v>
      </c>
      <c r="AI255" s="12" t="s">
        <v>182</v>
      </c>
      <c r="AJ255" s="11">
        <v>6.07</v>
      </c>
      <c r="AK255" s="11">
        <v>6.54</v>
      </c>
      <c r="AL255" s="11">
        <v>3</v>
      </c>
      <c r="AM255" s="11">
        <v>6.03</v>
      </c>
      <c r="AN255" s="11">
        <v>1.54</v>
      </c>
      <c r="AO255" s="11">
        <v>7.04</v>
      </c>
      <c r="AP255" s="11">
        <v>5.04</v>
      </c>
      <c r="AR255" s="11" t="s">
        <v>183</v>
      </c>
      <c r="AS255" s="12" t="s">
        <v>184</v>
      </c>
      <c r="AT255" s="11">
        <v>3.4</v>
      </c>
      <c r="AU255" s="11">
        <v>1.04</v>
      </c>
      <c r="AV255" s="11">
        <v>2.4500000000000002</v>
      </c>
      <c r="AW255" s="11">
        <v>2</v>
      </c>
      <c r="AX255" s="14"/>
    </row>
    <row r="256" spans="1:50" ht="23.5" customHeight="1" thickTop="1" thickBot="1" x14ac:dyDescent="0.35">
      <c r="A256" s="63"/>
      <c r="B256" s="76"/>
      <c r="C256" s="25"/>
      <c r="D256" s="86"/>
      <c r="E256" s="36" t="s">
        <v>153</v>
      </c>
      <c r="F256" s="36">
        <v>1</v>
      </c>
      <c r="G256" s="86"/>
      <c r="H256" s="36" t="s">
        <v>201</v>
      </c>
      <c r="I256" s="36">
        <v>1</v>
      </c>
      <c r="J256" s="25"/>
      <c r="K256" s="25"/>
      <c r="L256" s="25"/>
      <c r="M256" s="18"/>
      <c r="O256" s="4">
        <v>3</v>
      </c>
      <c r="P256" s="4">
        <v>2</v>
      </c>
      <c r="Q256" s="4">
        <v>0</v>
      </c>
      <c r="R256" s="4">
        <v>2</v>
      </c>
      <c r="S256" s="14"/>
      <c r="U256" s="11" t="s">
        <v>187</v>
      </c>
      <c r="V256" s="12" t="s">
        <v>188</v>
      </c>
      <c r="W256" s="11">
        <v>9.1999999999999993</v>
      </c>
      <c r="X256" s="11">
        <v>0.9</v>
      </c>
      <c r="Y256" s="11">
        <v>1.25</v>
      </c>
      <c r="Z256" s="11">
        <v>0.56999999999999995</v>
      </c>
      <c r="AA256" s="11">
        <v>2.83</v>
      </c>
      <c r="AB256" s="11">
        <v>0.89</v>
      </c>
      <c r="AC256" s="11">
        <v>0.93</v>
      </c>
      <c r="AD256" s="11">
        <v>1</v>
      </c>
      <c r="AE256" s="11">
        <v>1.35</v>
      </c>
      <c r="AF256" s="11">
        <v>2.4</v>
      </c>
      <c r="AX256" s="14"/>
    </row>
    <row r="257" spans="1:50" ht="23.5" customHeight="1" thickTop="1" thickBot="1" x14ac:dyDescent="0.35">
      <c r="A257" s="63"/>
      <c r="B257" s="76"/>
      <c r="C257" s="25"/>
      <c r="D257" s="86"/>
      <c r="E257" s="1" t="s">
        <v>156</v>
      </c>
      <c r="F257" s="36">
        <v>1</v>
      </c>
      <c r="G257" s="87"/>
      <c r="H257" s="38" t="s">
        <v>164</v>
      </c>
      <c r="I257" s="38">
        <v>1</v>
      </c>
      <c r="J257" s="36"/>
      <c r="K257" s="25"/>
      <c r="L257" s="25"/>
      <c r="M257" s="18"/>
      <c r="O257" s="1"/>
      <c r="P257" s="1"/>
      <c r="Q257" s="1"/>
      <c r="R257" s="1"/>
      <c r="S257" s="14"/>
      <c r="U257" s="9"/>
      <c r="V257" s="10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X257" s="14"/>
    </row>
    <row r="258" spans="1:50" ht="23.5" customHeight="1" thickTop="1" thickBot="1" x14ac:dyDescent="0.35">
      <c r="A258" s="63"/>
      <c r="B258" s="76"/>
      <c r="C258" s="25"/>
      <c r="D258" s="87"/>
      <c r="E258" s="38" t="s">
        <v>197</v>
      </c>
      <c r="F258" s="38">
        <v>1</v>
      </c>
      <c r="G258" s="39"/>
      <c r="H258" s="39"/>
      <c r="I258" s="39"/>
      <c r="J258" s="36"/>
      <c r="K258" s="36"/>
      <c r="L258" s="25"/>
      <c r="M258" s="18"/>
      <c r="S258" s="14"/>
      <c r="U258" s="9"/>
      <c r="V258" s="10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X258" s="14"/>
    </row>
    <row r="259" spans="1:50" ht="23" customHeight="1" thickTop="1" x14ac:dyDescent="0.3">
      <c r="A259" s="63"/>
      <c r="B259" s="76"/>
      <c r="C259" s="25"/>
      <c r="D259" s="39"/>
      <c r="E259" s="39"/>
      <c r="F259" s="39"/>
      <c r="G259" s="25"/>
      <c r="H259" s="25"/>
      <c r="I259" s="25"/>
      <c r="J259" s="25"/>
      <c r="K259" s="25"/>
      <c r="L259" s="25"/>
      <c r="M259" s="18"/>
      <c r="O259" s="1"/>
      <c r="P259" s="1"/>
      <c r="Q259" s="1"/>
      <c r="R259" s="1"/>
      <c r="S259" s="14"/>
      <c r="AX259" s="14"/>
    </row>
    <row r="260" spans="1:50" ht="23" customHeight="1" thickBot="1" x14ac:dyDescent="0.35">
      <c r="A260" s="63"/>
      <c r="B260" s="81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19"/>
      <c r="N260" s="15"/>
      <c r="O260" s="15"/>
      <c r="P260" s="15"/>
      <c r="Q260" s="15"/>
      <c r="R260" s="15"/>
      <c r="S260" s="16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6"/>
    </row>
    <row r="261" spans="1:50" ht="15" customHeight="1" thickTop="1" thickBot="1" x14ac:dyDescent="0.35">
      <c r="A261" s="63"/>
      <c r="B261" s="89" t="s">
        <v>47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17"/>
      <c r="N261" s="24"/>
      <c r="O261" s="24"/>
      <c r="P261" s="24"/>
      <c r="Q261" s="24"/>
      <c r="R261" s="24"/>
      <c r="S261" s="1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17"/>
    </row>
    <row r="262" spans="1:50" ht="31" customHeight="1" thickTop="1" thickBot="1" x14ac:dyDescent="0.35">
      <c r="A262" s="63"/>
      <c r="B262" s="76"/>
      <c r="C262" s="24"/>
      <c r="D262" s="27" t="s">
        <v>191</v>
      </c>
      <c r="E262" s="27" t="s">
        <v>192</v>
      </c>
      <c r="F262" s="27" t="s">
        <v>193</v>
      </c>
      <c r="G262" s="27" t="s">
        <v>191</v>
      </c>
      <c r="H262" s="27" t="s">
        <v>192</v>
      </c>
      <c r="I262" s="27" t="s">
        <v>193</v>
      </c>
      <c r="J262" s="27" t="s">
        <v>191</v>
      </c>
      <c r="K262" s="27" t="s">
        <v>192</v>
      </c>
      <c r="L262" s="27" t="s">
        <v>193</v>
      </c>
      <c r="M262" s="17"/>
      <c r="N262" s="24"/>
      <c r="O262" s="24"/>
      <c r="P262" s="24"/>
      <c r="Q262" s="24"/>
      <c r="R262" s="24"/>
      <c r="S262" s="1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17"/>
    </row>
    <row r="263" spans="1:50" ht="23.5" customHeight="1" thickTop="1" thickBot="1" x14ac:dyDescent="0.35">
      <c r="A263" s="63"/>
      <c r="B263" s="76"/>
      <c r="C263" s="33"/>
      <c r="D263" s="88" t="s">
        <v>194</v>
      </c>
      <c r="E263" s="36" t="s">
        <v>148</v>
      </c>
      <c r="F263" s="36">
        <v>5</v>
      </c>
      <c r="G263" s="85" t="s">
        <v>198</v>
      </c>
      <c r="H263" s="36" t="s">
        <v>158</v>
      </c>
      <c r="I263" s="36">
        <v>1</v>
      </c>
      <c r="J263" s="85" t="s">
        <v>202</v>
      </c>
      <c r="K263" s="36" t="s">
        <v>203</v>
      </c>
      <c r="L263" s="36">
        <v>1</v>
      </c>
      <c r="M263" s="18"/>
      <c r="N263" s="13"/>
      <c r="O263" s="34"/>
      <c r="P263" s="34"/>
      <c r="Q263" s="24"/>
      <c r="S263" s="14"/>
      <c r="T263" s="13"/>
      <c r="AX263" s="14"/>
    </row>
    <row r="264" spans="1:50" ht="23.5" customHeight="1" thickTop="1" thickBot="1" x14ac:dyDescent="0.35">
      <c r="A264" s="63"/>
      <c r="B264" s="76"/>
      <c r="C264" s="25"/>
      <c r="D264" s="86"/>
      <c r="E264" s="36" t="s">
        <v>195</v>
      </c>
      <c r="F264" s="36">
        <v>2</v>
      </c>
      <c r="G264" s="86"/>
      <c r="H264" s="36" t="s">
        <v>159</v>
      </c>
      <c r="I264" s="36">
        <v>1</v>
      </c>
      <c r="J264" s="86"/>
      <c r="K264" s="36" t="s">
        <v>166</v>
      </c>
      <c r="L264" s="36">
        <v>1</v>
      </c>
      <c r="M264" s="18"/>
      <c r="O264" s="82" t="s">
        <v>205</v>
      </c>
      <c r="P264" s="82" t="s">
        <v>206</v>
      </c>
      <c r="Q264" s="83"/>
      <c r="R264" s="83"/>
      <c r="S264" s="14"/>
      <c r="Z264" s="23" t="s">
        <v>194</v>
      </c>
      <c r="AK264" s="23" t="s">
        <v>198</v>
      </c>
      <c r="AT264" s="23" t="s">
        <v>202</v>
      </c>
      <c r="AX264" s="14"/>
    </row>
    <row r="265" spans="1:50" ht="25" customHeight="1" thickTop="1" thickBot="1" x14ac:dyDescent="0.35">
      <c r="A265" s="63"/>
      <c r="B265" s="76"/>
      <c r="C265" s="25"/>
      <c r="D265" s="86"/>
      <c r="E265" s="36" t="s">
        <v>196</v>
      </c>
      <c r="F265" s="36">
        <v>2</v>
      </c>
      <c r="G265" s="86"/>
      <c r="H265" s="36" t="s">
        <v>160</v>
      </c>
      <c r="I265" s="36">
        <v>1</v>
      </c>
      <c r="J265" s="86"/>
      <c r="K265" s="36" t="s">
        <v>167</v>
      </c>
      <c r="L265" s="36">
        <v>1</v>
      </c>
      <c r="M265" s="18"/>
      <c r="O265" s="84"/>
      <c r="P265" s="2" t="s">
        <v>178</v>
      </c>
      <c r="Q265" s="2" t="s">
        <v>186</v>
      </c>
      <c r="R265" s="2" t="s">
        <v>190</v>
      </c>
      <c r="S265" s="14"/>
      <c r="U265" s="7" t="s">
        <v>146</v>
      </c>
      <c r="V265" s="7" t="s">
        <v>147</v>
      </c>
      <c r="W265" s="7" t="s">
        <v>148</v>
      </c>
      <c r="X265" s="7" t="s">
        <v>149</v>
      </c>
      <c r="Y265" s="7" t="s">
        <v>150</v>
      </c>
      <c r="Z265" s="8" t="s">
        <v>151</v>
      </c>
      <c r="AA265" s="7" t="s">
        <v>152</v>
      </c>
      <c r="AB265" s="7" t="s">
        <v>153</v>
      </c>
      <c r="AC265" s="7" t="s">
        <v>154</v>
      </c>
      <c r="AD265" s="7" t="s">
        <v>155</v>
      </c>
      <c r="AE265" s="8" t="s">
        <v>156</v>
      </c>
      <c r="AF265" s="7" t="s">
        <v>157</v>
      </c>
      <c r="AH265" s="7" t="s">
        <v>146</v>
      </c>
      <c r="AI265" s="7" t="s">
        <v>147</v>
      </c>
      <c r="AJ265" s="7" t="s">
        <v>158</v>
      </c>
      <c r="AK265" s="7" t="s">
        <v>159</v>
      </c>
      <c r="AL265" s="7" t="s">
        <v>160</v>
      </c>
      <c r="AM265" s="7" t="s">
        <v>161</v>
      </c>
      <c r="AN265" s="7" t="s">
        <v>162</v>
      </c>
      <c r="AO265" s="7" t="s">
        <v>163</v>
      </c>
      <c r="AP265" s="7" t="s">
        <v>164</v>
      </c>
      <c r="AR265" s="7" t="s">
        <v>146</v>
      </c>
      <c r="AS265" s="7" t="s">
        <v>147</v>
      </c>
      <c r="AT265" s="7" t="s">
        <v>165</v>
      </c>
      <c r="AU265" s="7" t="s">
        <v>166</v>
      </c>
      <c r="AV265" s="7" t="s">
        <v>167</v>
      </c>
      <c r="AW265" s="7" t="s">
        <v>168</v>
      </c>
      <c r="AX265" s="14"/>
    </row>
    <row r="266" spans="1:50" ht="23.5" customHeight="1" thickBot="1" x14ac:dyDescent="0.35">
      <c r="A266" s="63"/>
      <c r="B266" s="76"/>
      <c r="C266" s="25"/>
      <c r="D266" s="86"/>
      <c r="E266" s="1" t="s">
        <v>151</v>
      </c>
      <c r="F266" s="36">
        <v>1</v>
      </c>
      <c r="G266" s="86"/>
      <c r="H266" s="36" t="s">
        <v>199</v>
      </c>
      <c r="I266" s="36">
        <v>1</v>
      </c>
      <c r="J266" s="87"/>
      <c r="K266" s="38" t="s">
        <v>168</v>
      </c>
      <c r="L266" s="38">
        <v>1</v>
      </c>
      <c r="M266" s="18"/>
      <c r="O266" s="1">
        <v>1</v>
      </c>
      <c r="P266" s="1">
        <v>1</v>
      </c>
      <c r="Q266" s="1">
        <v>0</v>
      </c>
      <c r="R266" s="1">
        <v>0</v>
      </c>
      <c r="S266" s="14"/>
      <c r="U266" s="9" t="s">
        <v>171</v>
      </c>
      <c r="V266" s="10" t="s">
        <v>172</v>
      </c>
      <c r="W266" s="9">
        <v>7.12</v>
      </c>
      <c r="X266" s="9">
        <v>0.81</v>
      </c>
      <c r="Y266" s="9">
        <v>1.19</v>
      </c>
      <c r="Z266" s="9">
        <v>0.67</v>
      </c>
      <c r="AA266" s="9">
        <v>2.5</v>
      </c>
      <c r="AB266" s="9">
        <v>0.87</v>
      </c>
      <c r="AC266" s="9">
        <v>0.97</v>
      </c>
      <c r="AD266" s="9">
        <v>1.1499999999999999</v>
      </c>
      <c r="AE266" s="9">
        <v>1.08</v>
      </c>
      <c r="AF266" s="9">
        <v>1.97</v>
      </c>
      <c r="AH266" s="9" t="s">
        <v>173</v>
      </c>
      <c r="AI266" s="10" t="s">
        <v>174</v>
      </c>
      <c r="AJ266" s="9">
        <v>6.38</v>
      </c>
      <c r="AK266" s="9">
        <v>6.76</v>
      </c>
      <c r="AL266" s="9">
        <v>3</v>
      </c>
      <c r="AM266" s="9">
        <v>6.87</v>
      </c>
      <c r="AN266" s="9">
        <v>1.76</v>
      </c>
      <c r="AO266" s="9">
        <v>7.24</v>
      </c>
      <c r="AP266" s="9">
        <v>5.37</v>
      </c>
      <c r="AR266" s="9" t="s">
        <v>175</v>
      </c>
      <c r="AS266" s="10" t="s">
        <v>176</v>
      </c>
      <c r="AT266" s="9">
        <v>3.02</v>
      </c>
      <c r="AU266" s="9">
        <v>1.25</v>
      </c>
      <c r="AV266" s="9">
        <v>2.2000000000000002</v>
      </c>
      <c r="AW266" s="9">
        <v>2</v>
      </c>
      <c r="AX266" s="14"/>
    </row>
    <row r="267" spans="1:50" ht="24" customHeight="1" thickTop="1" thickBot="1" x14ac:dyDescent="0.35">
      <c r="A267" s="63"/>
      <c r="B267" s="76"/>
      <c r="C267" s="25"/>
      <c r="D267" s="86"/>
      <c r="E267" s="36" t="s">
        <v>152</v>
      </c>
      <c r="F267" s="36">
        <v>1</v>
      </c>
      <c r="G267" s="86"/>
      <c r="H267" s="36" t="s">
        <v>200</v>
      </c>
      <c r="I267" s="36">
        <v>1</v>
      </c>
      <c r="J267" s="39"/>
      <c r="K267" s="39"/>
      <c r="L267" s="39"/>
      <c r="M267" s="18"/>
      <c r="O267" s="1">
        <v>2</v>
      </c>
      <c r="P267" s="1">
        <v>0</v>
      </c>
      <c r="Q267" s="1">
        <v>1</v>
      </c>
      <c r="R267" s="1">
        <v>1</v>
      </c>
      <c r="S267" s="14"/>
      <c r="U267" s="9" t="s">
        <v>179</v>
      </c>
      <c r="V267" s="10" t="s">
        <v>180</v>
      </c>
      <c r="W267" s="9">
        <v>8.73</v>
      </c>
      <c r="X267" s="9">
        <v>0.72</v>
      </c>
      <c r="Y267" s="9">
        <v>1.02</v>
      </c>
      <c r="Z267" s="9">
        <v>0.61</v>
      </c>
      <c r="AA267" s="9">
        <v>2.63</v>
      </c>
      <c r="AB267" s="9">
        <v>0.83</v>
      </c>
      <c r="AC267" s="9">
        <v>0.92</v>
      </c>
      <c r="AD267" s="9">
        <v>1.03</v>
      </c>
      <c r="AE267" s="9">
        <v>1.22</v>
      </c>
      <c r="AF267" s="9">
        <v>2.31</v>
      </c>
      <c r="AH267" s="11" t="s">
        <v>181</v>
      </c>
      <c r="AI267" s="12" t="s">
        <v>182</v>
      </c>
      <c r="AJ267" s="11">
        <v>6.85</v>
      </c>
      <c r="AK267" s="11">
        <v>7.36</v>
      </c>
      <c r="AL267" s="11">
        <v>3</v>
      </c>
      <c r="AM267" s="11">
        <v>7.58</v>
      </c>
      <c r="AN267" s="11">
        <v>2.2400000000000002</v>
      </c>
      <c r="AO267" s="11">
        <v>8.58</v>
      </c>
      <c r="AP267" s="11">
        <v>5.86</v>
      </c>
      <c r="AR267" s="11" t="s">
        <v>183</v>
      </c>
      <c r="AS267" s="12" t="s">
        <v>184</v>
      </c>
      <c r="AT267" s="11">
        <v>2.83</v>
      </c>
      <c r="AU267" s="11">
        <v>1.05</v>
      </c>
      <c r="AV267" s="11">
        <v>2.9</v>
      </c>
      <c r="AW267" s="11">
        <v>2</v>
      </c>
      <c r="AX267" s="14"/>
    </row>
    <row r="268" spans="1:50" ht="23.5" customHeight="1" thickTop="1" thickBot="1" x14ac:dyDescent="0.35">
      <c r="A268" s="63"/>
      <c r="B268" s="76"/>
      <c r="C268" s="25"/>
      <c r="D268" s="86"/>
      <c r="E268" s="36" t="s">
        <v>153</v>
      </c>
      <c r="F268" s="36">
        <v>1</v>
      </c>
      <c r="G268" s="86"/>
      <c r="H268" s="36" t="s">
        <v>201</v>
      </c>
      <c r="I268" s="36">
        <v>1</v>
      </c>
      <c r="J268" s="25"/>
      <c r="K268" s="25"/>
      <c r="L268" s="25"/>
      <c r="M268" s="18"/>
      <c r="O268" s="1">
        <v>3</v>
      </c>
      <c r="P268" s="1">
        <v>0</v>
      </c>
      <c r="Q268" s="1">
        <v>1</v>
      </c>
      <c r="R268" s="1">
        <v>0</v>
      </c>
      <c r="S268" s="14"/>
      <c r="U268" s="11" t="s">
        <v>187</v>
      </c>
      <c r="V268" s="12" t="s">
        <v>188</v>
      </c>
      <c r="W268" s="11">
        <v>9.0500000000000007</v>
      </c>
      <c r="X268" s="11">
        <v>0.65</v>
      </c>
      <c r="Y268" s="11">
        <v>1.21</v>
      </c>
      <c r="Z268" s="11">
        <v>0.75</v>
      </c>
      <c r="AA268" s="11">
        <v>2.97</v>
      </c>
      <c r="AB268" s="11">
        <v>0.81</v>
      </c>
      <c r="AC268" s="11">
        <v>1</v>
      </c>
      <c r="AD268" s="11">
        <v>1.2</v>
      </c>
      <c r="AE268" s="11">
        <v>1.4</v>
      </c>
      <c r="AF268" s="11">
        <v>1.54</v>
      </c>
      <c r="AX268" s="14"/>
    </row>
    <row r="269" spans="1:50" ht="23.5" customHeight="1" thickTop="1" thickBot="1" x14ac:dyDescent="0.35">
      <c r="A269" s="63"/>
      <c r="B269" s="76"/>
      <c r="C269" s="25"/>
      <c r="D269" s="86"/>
      <c r="E269" s="1" t="s">
        <v>156</v>
      </c>
      <c r="F269" s="36">
        <v>1</v>
      </c>
      <c r="G269" s="87"/>
      <c r="H269" s="38" t="s">
        <v>164</v>
      </c>
      <c r="I269" s="38">
        <v>1</v>
      </c>
      <c r="J269" s="36"/>
      <c r="K269" s="25"/>
      <c r="L269" s="25"/>
      <c r="M269" s="18"/>
      <c r="O269" s="1">
        <v>4</v>
      </c>
      <c r="P269" s="1">
        <v>2</v>
      </c>
      <c r="Q269" s="1">
        <v>0</v>
      </c>
      <c r="R269" s="1">
        <v>0</v>
      </c>
      <c r="S269" s="14"/>
      <c r="U269" s="9"/>
      <c r="V269" s="10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X269" s="14"/>
    </row>
    <row r="270" spans="1:50" ht="23.5" customHeight="1" thickTop="1" thickBot="1" x14ac:dyDescent="0.35">
      <c r="A270" s="63"/>
      <c r="B270" s="76"/>
      <c r="C270" s="25"/>
      <c r="D270" s="87"/>
      <c r="E270" s="38" t="s">
        <v>197</v>
      </c>
      <c r="F270" s="38">
        <v>1</v>
      </c>
      <c r="G270" s="39"/>
      <c r="H270" s="39"/>
      <c r="I270" s="39"/>
      <c r="J270" s="36"/>
      <c r="K270" s="36"/>
      <c r="L270" s="25"/>
      <c r="M270" s="18"/>
      <c r="O270" s="4">
        <v>5</v>
      </c>
      <c r="P270" s="4">
        <v>0</v>
      </c>
      <c r="Q270" s="4">
        <v>0</v>
      </c>
      <c r="R270" s="4">
        <v>2</v>
      </c>
      <c r="S270" s="14"/>
      <c r="U270" s="9"/>
      <c r="V270" s="10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X270" s="14"/>
    </row>
    <row r="271" spans="1:50" ht="23" customHeight="1" thickTop="1" x14ac:dyDescent="0.3">
      <c r="A271" s="63"/>
      <c r="B271" s="76"/>
      <c r="C271" s="25"/>
      <c r="D271" s="39"/>
      <c r="E271" s="39"/>
      <c r="F271" s="39"/>
      <c r="G271" s="25"/>
      <c r="H271" s="25"/>
      <c r="I271" s="25"/>
      <c r="J271" s="25"/>
      <c r="K271" s="25"/>
      <c r="L271" s="25"/>
      <c r="M271" s="18"/>
      <c r="O271" s="1"/>
      <c r="P271" s="1"/>
      <c r="Q271" s="1"/>
      <c r="R271" s="1"/>
      <c r="S271" s="14"/>
      <c r="AX271" s="14"/>
    </row>
    <row r="272" spans="1:50" ht="23" customHeight="1" thickBot="1" x14ac:dyDescent="0.35">
      <c r="A272" s="63"/>
      <c r="B272" s="81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19"/>
      <c r="N272" s="15"/>
      <c r="O272" s="15"/>
      <c r="P272" s="15"/>
      <c r="Q272" s="15"/>
      <c r="R272" s="15"/>
      <c r="S272" s="16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6"/>
    </row>
    <row r="273" spans="1:50" ht="15" customHeight="1" thickTop="1" thickBot="1" x14ac:dyDescent="0.35">
      <c r="A273" s="63"/>
      <c r="B273" s="89" t="s">
        <v>22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17"/>
      <c r="N273" s="24"/>
      <c r="O273" s="24"/>
      <c r="P273" s="24"/>
      <c r="Q273" s="24"/>
      <c r="R273" s="24"/>
      <c r="S273" s="1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17"/>
    </row>
    <row r="274" spans="1:50" ht="31" customHeight="1" thickTop="1" thickBot="1" x14ac:dyDescent="0.35">
      <c r="A274" s="63"/>
      <c r="B274" s="76"/>
      <c r="C274" s="24"/>
      <c r="D274" s="27" t="s">
        <v>191</v>
      </c>
      <c r="E274" s="27" t="s">
        <v>192</v>
      </c>
      <c r="F274" s="27" t="s">
        <v>193</v>
      </c>
      <c r="G274" s="27" t="s">
        <v>191</v>
      </c>
      <c r="H274" s="27" t="s">
        <v>192</v>
      </c>
      <c r="I274" s="27" t="s">
        <v>193</v>
      </c>
      <c r="J274" s="27" t="s">
        <v>191</v>
      </c>
      <c r="K274" s="27" t="s">
        <v>192</v>
      </c>
      <c r="L274" s="27" t="s">
        <v>193</v>
      </c>
      <c r="M274" s="17"/>
      <c r="N274" s="24"/>
      <c r="O274" s="24"/>
      <c r="P274" s="24"/>
      <c r="Q274" s="24"/>
      <c r="R274" s="24"/>
      <c r="S274" s="1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17"/>
    </row>
    <row r="275" spans="1:50" ht="23.5" customHeight="1" thickTop="1" thickBot="1" x14ac:dyDescent="0.35">
      <c r="A275" s="63"/>
      <c r="B275" s="76"/>
      <c r="C275" s="33"/>
      <c r="D275" s="35" t="s">
        <v>194</v>
      </c>
      <c r="E275" s="36" t="s">
        <v>148</v>
      </c>
      <c r="F275" s="36">
        <v>5</v>
      </c>
      <c r="G275" s="1" t="s">
        <v>198</v>
      </c>
      <c r="H275" s="36" t="s">
        <v>158</v>
      </c>
      <c r="I275" s="36">
        <v>1</v>
      </c>
      <c r="J275" s="1" t="s">
        <v>202</v>
      </c>
      <c r="K275" s="36" t="s">
        <v>203</v>
      </c>
      <c r="L275" s="36">
        <v>1</v>
      </c>
      <c r="M275" s="18"/>
      <c r="N275" s="13"/>
      <c r="O275" s="34"/>
      <c r="P275" s="34"/>
      <c r="Q275" s="34"/>
      <c r="S275" s="14"/>
      <c r="T275" s="13"/>
      <c r="AX275" s="14"/>
    </row>
    <row r="276" spans="1:50" ht="31" customHeight="1" thickTop="1" thickBot="1" x14ac:dyDescent="0.35">
      <c r="A276" s="63"/>
      <c r="B276" s="76"/>
      <c r="C276" s="25"/>
      <c r="D276" s="1"/>
      <c r="E276" s="36" t="s">
        <v>195</v>
      </c>
      <c r="F276" s="36">
        <v>2</v>
      </c>
      <c r="G276" s="1"/>
      <c r="H276" s="36" t="s">
        <v>159</v>
      </c>
      <c r="I276" s="36">
        <v>1</v>
      </c>
      <c r="J276" s="1"/>
      <c r="K276" s="36" t="s">
        <v>166</v>
      </c>
      <c r="L276" s="36">
        <v>1</v>
      </c>
      <c r="M276" s="18"/>
      <c r="O276" s="20" t="s">
        <v>205</v>
      </c>
      <c r="P276" s="22" t="s">
        <v>206</v>
      </c>
      <c r="Q276" s="22"/>
      <c r="R276" s="22"/>
      <c r="S276" s="14"/>
      <c r="Z276" s="23" t="s">
        <v>194</v>
      </c>
      <c r="AK276" s="23" t="s">
        <v>198</v>
      </c>
      <c r="AT276" s="23" t="s">
        <v>202</v>
      </c>
      <c r="AX276" s="14"/>
    </row>
    <row r="277" spans="1:50" ht="25" customHeight="1" thickTop="1" thickBot="1" x14ac:dyDescent="0.35">
      <c r="A277" s="63"/>
      <c r="B277" s="76"/>
      <c r="C277" s="25"/>
      <c r="D277" s="1"/>
      <c r="E277" s="36" t="s">
        <v>196</v>
      </c>
      <c r="F277" s="36">
        <v>2</v>
      </c>
      <c r="G277" s="1"/>
      <c r="H277" s="36" t="s">
        <v>160</v>
      </c>
      <c r="I277" s="36">
        <v>1</v>
      </c>
      <c r="J277" s="1"/>
      <c r="K277" s="36" t="s">
        <v>167</v>
      </c>
      <c r="L277" s="36">
        <v>1</v>
      </c>
      <c r="M277" s="18"/>
      <c r="O277" s="21"/>
      <c r="P277" s="2" t="s">
        <v>178</v>
      </c>
      <c r="Q277" s="2" t="s">
        <v>186</v>
      </c>
      <c r="R277" s="2" t="s">
        <v>190</v>
      </c>
      <c r="S277" s="14"/>
      <c r="U277" s="7" t="s">
        <v>146</v>
      </c>
      <c r="V277" s="7" t="s">
        <v>147</v>
      </c>
      <c r="W277" s="7" t="s">
        <v>148</v>
      </c>
      <c r="X277" s="7" t="s">
        <v>149</v>
      </c>
      <c r="Y277" s="7" t="s">
        <v>150</v>
      </c>
      <c r="Z277" s="8" t="s">
        <v>151</v>
      </c>
      <c r="AA277" s="7" t="s">
        <v>152</v>
      </c>
      <c r="AB277" s="7" t="s">
        <v>153</v>
      </c>
      <c r="AC277" s="7" t="s">
        <v>154</v>
      </c>
      <c r="AD277" s="7" t="s">
        <v>155</v>
      </c>
      <c r="AE277" s="8" t="s">
        <v>156</v>
      </c>
      <c r="AF277" s="7" t="s">
        <v>157</v>
      </c>
      <c r="AH277" s="7" t="s">
        <v>146</v>
      </c>
      <c r="AI277" s="7" t="s">
        <v>147</v>
      </c>
      <c r="AJ277" s="7" t="s">
        <v>158</v>
      </c>
      <c r="AK277" s="7" t="s">
        <v>159</v>
      </c>
      <c r="AL277" s="7" t="s">
        <v>160</v>
      </c>
      <c r="AM277" s="7" t="s">
        <v>161</v>
      </c>
      <c r="AN277" s="7" t="s">
        <v>162</v>
      </c>
      <c r="AO277" s="7" t="s">
        <v>163</v>
      </c>
      <c r="AP277" s="7" t="s">
        <v>164</v>
      </c>
      <c r="AR277" s="7" t="s">
        <v>146</v>
      </c>
      <c r="AS277" s="7" t="s">
        <v>147</v>
      </c>
      <c r="AT277" s="7" t="s">
        <v>165</v>
      </c>
      <c r="AU277" s="7" t="s">
        <v>166</v>
      </c>
      <c r="AV277" s="7" t="s">
        <v>167</v>
      </c>
      <c r="AW277" s="7" t="s">
        <v>168</v>
      </c>
      <c r="AX277" s="14"/>
    </row>
    <row r="278" spans="1:50" ht="23.5" customHeight="1" thickBot="1" x14ac:dyDescent="0.35">
      <c r="A278" s="63"/>
      <c r="B278" s="76"/>
      <c r="C278" s="25"/>
      <c r="D278" s="1"/>
      <c r="E278" s="1" t="s">
        <v>151</v>
      </c>
      <c r="F278" s="36">
        <v>1</v>
      </c>
      <c r="G278" s="1"/>
      <c r="H278" s="36" t="s">
        <v>199</v>
      </c>
      <c r="I278" s="36">
        <v>1</v>
      </c>
      <c r="J278" s="37"/>
      <c r="K278" s="38" t="s">
        <v>168</v>
      </c>
      <c r="L278" s="38">
        <v>1</v>
      </c>
      <c r="M278" s="18"/>
      <c r="O278" s="1">
        <v>1</v>
      </c>
      <c r="P278" s="1">
        <v>1</v>
      </c>
      <c r="Q278" s="1">
        <v>2</v>
      </c>
      <c r="R278" s="1">
        <v>0</v>
      </c>
      <c r="S278" s="14"/>
      <c r="U278" s="9" t="s">
        <v>171</v>
      </c>
      <c r="V278" s="10" t="s">
        <v>172</v>
      </c>
      <c r="W278" s="9">
        <v>7.38</v>
      </c>
      <c r="X278" s="9">
        <v>0.78</v>
      </c>
      <c r="Y278" s="9">
        <v>1.1399999999999999</v>
      </c>
      <c r="Z278" s="9">
        <v>0.59</v>
      </c>
      <c r="AA278" s="9">
        <v>2.5</v>
      </c>
      <c r="AB278" s="9">
        <v>0.85</v>
      </c>
      <c r="AC278" s="9">
        <v>0.93</v>
      </c>
      <c r="AD278" s="9">
        <v>1.1000000000000001</v>
      </c>
      <c r="AE278" s="9">
        <v>1.3</v>
      </c>
      <c r="AF278" s="9">
        <v>2.0499999999999998</v>
      </c>
      <c r="AH278" s="9" t="s">
        <v>173</v>
      </c>
      <c r="AI278" s="10" t="s">
        <v>174</v>
      </c>
      <c r="AJ278" s="9">
        <v>6.1</v>
      </c>
      <c r="AK278" s="9">
        <v>6.53</v>
      </c>
      <c r="AL278" s="9">
        <v>3</v>
      </c>
      <c r="AM278" s="9">
        <v>6.07</v>
      </c>
      <c r="AN278" s="9">
        <v>1.52</v>
      </c>
      <c r="AO278" s="9">
        <v>7.03</v>
      </c>
      <c r="AP278" s="9">
        <v>5.0199999999999996</v>
      </c>
      <c r="AR278" s="9" t="s">
        <v>175</v>
      </c>
      <c r="AS278" s="10" t="s">
        <v>176</v>
      </c>
      <c r="AT278" s="9">
        <v>3.37</v>
      </c>
      <c r="AU278" s="9">
        <v>1.1100000000000001</v>
      </c>
      <c r="AV278" s="9">
        <v>2.5</v>
      </c>
      <c r="AW278" s="9">
        <v>2</v>
      </c>
      <c r="AX278" s="14"/>
    </row>
    <row r="279" spans="1:50" ht="24" customHeight="1" thickTop="1" thickBot="1" x14ac:dyDescent="0.35">
      <c r="A279" s="63"/>
      <c r="B279" s="76"/>
      <c r="C279" s="25"/>
      <c r="D279" s="1"/>
      <c r="E279" s="36" t="s">
        <v>152</v>
      </c>
      <c r="F279" s="36">
        <v>1</v>
      </c>
      <c r="G279" s="1"/>
      <c r="H279" s="36" t="s">
        <v>200</v>
      </c>
      <c r="I279" s="36">
        <v>1</v>
      </c>
      <c r="J279" s="39"/>
      <c r="K279" s="39"/>
      <c r="L279" s="39"/>
      <c r="M279" s="18"/>
      <c r="O279" s="1">
        <v>2</v>
      </c>
      <c r="P279" s="1">
        <v>1</v>
      </c>
      <c r="Q279" s="1">
        <v>0</v>
      </c>
      <c r="R279" s="1">
        <v>1</v>
      </c>
      <c r="S279" s="14"/>
      <c r="U279" s="9" t="s">
        <v>179</v>
      </c>
      <c r="V279" s="10" t="s">
        <v>180</v>
      </c>
      <c r="W279" s="9">
        <v>8.17</v>
      </c>
      <c r="X279" s="9">
        <v>0.69</v>
      </c>
      <c r="Y279" s="9">
        <v>1.06</v>
      </c>
      <c r="Z279" s="9">
        <v>0.68</v>
      </c>
      <c r="AA279" s="9">
        <v>2.79</v>
      </c>
      <c r="AB279" s="9">
        <v>0.82</v>
      </c>
      <c r="AC279" s="9">
        <v>0.98</v>
      </c>
      <c r="AD279" s="9">
        <v>1.05</v>
      </c>
      <c r="AE279" s="9">
        <v>1.1499999999999999</v>
      </c>
      <c r="AF279" s="9">
        <v>1.68</v>
      </c>
      <c r="AH279" s="11" t="s">
        <v>181</v>
      </c>
      <c r="AI279" s="12" t="s">
        <v>182</v>
      </c>
      <c r="AJ279" s="11">
        <v>6.96</v>
      </c>
      <c r="AK279" s="11">
        <v>7.46</v>
      </c>
      <c r="AL279" s="11">
        <v>3</v>
      </c>
      <c r="AM279" s="11">
        <v>7.96</v>
      </c>
      <c r="AN279" s="11">
        <v>2.46</v>
      </c>
      <c r="AO279" s="11">
        <v>8.9600000000000009</v>
      </c>
      <c r="AP279" s="11">
        <v>5.97</v>
      </c>
      <c r="AR279" s="11" t="s">
        <v>183</v>
      </c>
      <c r="AS279" s="12" t="s">
        <v>184</v>
      </c>
      <c r="AT279" s="11">
        <v>2.5499999999999998</v>
      </c>
      <c r="AU279" s="11">
        <v>1.19</v>
      </c>
      <c r="AV279" s="11">
        <v>2.2999999999999998</v>
      </c>
      <c r="AW279" s="11">
        <v>2</v>
      </c>
      <c r="AX279" s="14"/>
    </row>
    <row r="280" spans="1:50" ht="23.5" customHeight="1" thickTop="1" thickBot="1" x14ac:dyDescent="0.35">
      <c r="A280" s="63"/>
      <c r="B280" s="76"/>
      <c r="C280" s="25"/>
      <c r="D280" s="1"/>
      <c r="E280" s="36" t="s">
        <v>153</v>
      </c>
      <c r="F280" s="36">
        <v>1</v>
      </c>
      <c r="G280" s="1"/>
      <c r="H280" s="36" t="s">
        <v>201</v>
      </c>
      <c r="I280" s="36">
        <v>1</v>
      </c>
      <c r="J280" s="25"/>
      <c r="K280" s="25"/>
      <c r="L280" s="25"/>
      <c r="M280" s="18"/>
      <c r="O280" s="1">
        <v>3</v>
      </c>
      <c r="P280" s="1">
        <v>0</v>
      </c>
      <c r="Q280" s="1">
        <v>1</v>
      </c>
      <c r="R280" s="1">
        <v>0</v>
      </c>
      <c r="S280" s="14"/>
      <c r="U280" s="11" t="s">
        <v>187</v>
      </c>
      <c r="V280" s="12" t="s">
        <v>188</v>
      </c>
      <c r="W280" s="11">
        <v>9.1199999999999992</v>
      </c>
      <c r="X280" s="11">
        <v>0.85</v>
      </c>
      <c r="Y280" s="11">
        <v>1.25</v>
      </c>
      <c r="Z280" s="11">
        <v>0.72</v>
      </c>
      <c r="AA280" s="11">
        <v>2.5</v>
      </c>
      <c r="AB280" s="11">
        <v>0.88</v>
      </c>
      <c r="AC280" s="11">
        <v>0.95</v>
      </c>
      <c r="AD280" s="11">
        <v>1.2</v>
      </c>
      <c r="AE280" s="11">
        <v>1.38</v>
      </c>
      <c r="AF280" s="11">
        <v>2.42</v>
      </c>
      <c r="AX280" s="14"/>
    </row>
    <row r="281" spans="1:50" ht="23.5" customHeight="1" thickTop="1" thickBot="1" x14ac:dyDescent="0.35">
      <c r="A281" s="63"/>
      <c r="B281" s="76"/>
      <c r="C281" s="25"/>
      <c r="D281" s="1"/>
      <c r="E281" s="1" t="s">
        <v>156</v>
      </c>
      <c r="F281" s="36">
        <v>1</v>
      </c>
      <c r="G281" s="37"/>
      <c r="H281" s="38" t="s">
        <v>164</v>
      </c>
      <c r="I281" s="38">
        <v>1</v>
      </c>
      <c r="J281" s="36"/>
      <c r="K281" s="25"/>
      <c r="L281" s="25"/>
      <c r="M281" s="18"/>
      <c r="O281" s="1">
        <v>4</v>
      </c>
      <c r="P281" s="1">
        <v>1</v>
      </c>
      <c r="Q281" s="1">
        <v>1</v>
      </c>
      <c r="R281" s="1">
        <v>0</v>
      </c>
      <c r="S281" s="14"/>
      <c r="U281" s="9"/>
      <c r="V281" s="10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X281" s="14"/>
    </row>
    <row r="282" spans="1:50" ht="23.5" customHeight="1" thickTop="1" thickBot="1" x14ac:dyDescent="0.35">
      <c r="A282" s="63"/>
      <c r="B282" s="76"/>
      <c r="C282" s="25"/>
      <c r="D282" s="37"/>
      <c r="E282" s="38" t="s">
        <v>197</v>
      </c>
      <c r="F282" s="38">
        <v>1</v>
      </c>
      <c r="G282" s="39"/>
      <c r="H282" s="39"/>
      <c r="I282" s="39"/>
      <c r="J282" s="36"/>
      <c r="K282" s="36"/>
      <c r="L282" s="25"/>
      <c r="M282" s="18"/>
      <c r="O282" s="4">
        <v>5</v>
      </c>
      <c r="P282" s="4">
        <v>0</v>
      </c>
      <c r="Q282" s="4">
        <v>0</v>
      </c>
      <c r="R282" s="4">
        <v>1</v>
      </c>
      <c r="S282" s="14"/>
      <c r="U282" s="9"/>
      <c r="V282" s="10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X282" s="14"/>
    </row>
    <row r="283" spans="1:50" ht="23" customHeight="1" thickTop="1" x14ac:dyDescent="0.3">
      <c r="A283" s="63"/>
      <c r="B283" s="76"/>
      <c r="C283" s="25"/>
      <c r="D283" s="39"/>
      <c r="E283" s="39"/>
      <c r="F283" s="39"/>
      <c r="G283" s="25"/>
      <c r="H283" s="39"/>
      <c r="I283" s="25"/>
      <c r="J283" s="25"/>
      <c r="K283" s="25"/>
      <c r="L283" s="25"/>
      <c r="M283" s="18"/>
      <c r="O283" s="1"/>
      <c r="P283" s="1"/>
      <c r="Q283" s="1"/>
      <c r="R283" s="1"/>
      <c r="S283" s="14"/>
      <c r="AX283" s="14"/>
    </row>
    <row r="284" spans="1:50" ht="23" customHeight="1" thickBot="1" x14ac:dyDescent="0.35">
      <c r="A284" s="63"/>
      <c r="B284" s="81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19"/>
      <c r="N284" s="15"/>
      <c r="O284" s="15"/>
      <c r="P284" s="15"/>
      <c r="Q284" s="15"/>
      <c r="R284" s="15"/>
      <c r="S284" s="16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6"/>
    </row>
    <row r="285" spans="1:50" ht="15" customHeight="1" thickTop="1" thickBot="1" x14ac:dyDescent="0.35">
      <c r="A285" s="63"/>
      <c r="B285" s="89" t="s">
        <v>48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17"/>
      <c r="N285" s="24"/>
      <c r="O285" s="24"/>
      <c r="P285" s="24"/>
      <c r="Q285" s="24"/>
      <c r="R285" s="24"/>
      <c r="S285" s="1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17"/>
    </row>
    <row r="286" spans="1:50" ht="31" customHeight="1" thickTop="1" thickBot="1" x14ac:dyDescent="0.35">
      <c r="A286" s="63"/>
      <c r="B286" s="76"/>
      <c r="C286" s="24"/>
      <c r="D286" s="27" t="s">
        <v>191</v>
      </c>
      <c r="E286" s="27" t="s">
        <v>192</v>
      </c>
      <c r="F286" s="27" t="s">
        <v>193</v>
      </c>
      <c r="G286" s="27" t="s">
        <v>191</v>
      </c>
      <c r="H286" s="27" t="s">
        <v>192</v>
      </c>
      <c r="I286" s="27" t="s">
        <v>193</v>
      </c>
      <c r="J286" s="27" t="s">
        <v>191</v>
      </c>
      <c r="K286" s="27" t="s">
        <v>192</v>
      </c>
      <c r="L286" s="27" t="s">
        <v>193</v>
      </c>
      <c r="M286" s="17"/>
      <c r="N286" s="24"/>
      <c r="O286" s="24"/>
      <c r="P286" s="24"/>
      <c r="Q286" s="24"/>
      <c r="R286" s="24"/>
      <c r="S286" s="1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17"/>
    </row>
    <row r="287" spans="1:50" ht="23.5" customHeight="1" thickTop="1" thickBot="1" x14ac:dyDescent="0.35">
      <c r="A287" s="63"/>
      <c r="B287" s="76"/>
      <c r="C287" s="33"/>
      <c r="D287" s="35" t="s">
        <v>194</v>
      </c>
      <c r="E287" s="36" t="s">
        <v>148</v>
      </c>
      <c r="F287" s="36">
        <v>5</v>
      </c>
      <c r="G287" s="1" t="s">
        <v>198</v>
      </c>
      <c r="H287" s="36" t="s">
        <v>158</v>
      </c>
      <c r="I287" s="36">
        <v>2</v>
      </c>
      <c r="J287" s="1" t="s">
        <v>202</v>
      </c>
      <c r="K287" s="36" t="s">
        <v>203</v>
      </c>
      <c r="L287" s="36">
        <v>2</v>
      </c>
      <c r="M287" s="18"/>
      <c r="N287" s="13"/>
      <c r="O287" s="34"/>
      <c r="P287" s="34"/>
      <c r="Q287" s="34"/>
      <c r="S287" s="14"/>
      <c r="T287" s="13"/>
      <c r="AX287" s="14"/>
    </row>
    <row r="288" spans="1:50" ht="31" customHeight="1" thickTop="1" thickBot="1" x14ac:dyDescent="0.35">
      <c r="A288" s="63"/>
      <c r="B288" s="76"/>
      <c r="C288" s="25"/>
      <c r="D288" s="1"/>
      <c r="E288" s="36" t="s">
        <v>195</v>
      </c>
      <c r="F288" s="36">
        <v>2</v>
      </c>
      <c r="G288" s="1"/>
      <c r="H288" s="36" t="s">
        <v>159</v>
      </c>
      <c r="I288" s="36">
        <v>1</v>
      </c>
      <c r="J288" s="1"/>
      <c r="K288" s="36" t="s">
        <v>166</v>
      </c>
      <c r="L288" s="36">
        <v>1</v>
      </c>
      <c r="M288" s="18"/>
      <c r="O288" s="20" t="s">
        <v>205</v>
      </c>
      <c r="P288" s="22" t="s">
        <v>206</v>
      </c>
      <c r="Q288" s="22"/>
      <c r="R288" s="22"/>
      <c r="S288" s="14"/>
      <c r="Z288" s="23" t="s">
        <v>194</v>
      </c>
      <c r="AK288" s="23" t="s">
        <v>198</v>
      </c>
      <c r="AT288" s="23" t="s">
        <v>202</v>
      </c>
      <c r="AX288" s="14"/>
    </row>
    <row r="289" spans="1:50" ht="25" customHeight="1" thickTop="1" thickBot="1" x14ac:dyDescent="0.35">
      <c r="A289" s="63"/>
      <c r="B289" s="76"/>
      <c r="C289" s="25"/>
      <c r="D289" s="1"/>
      <c r="E289" s="36" t="s">
        <v>196</v>
      </c>
      <c r="F289" s="36">
        <v>2</v>
      </c>
      <c r="G289" s="1"/>
      <c r="H289" s="36" t="s">
        <v>160</v>
      </c>
      <c r="I289" s="36">
        <v>1</v>
      </c>
      <c r="J289" s="1"/>
      <c r="K289" s="36" t="s">
        <v>167</v>
      </c>
      <c r="L289" s="36">
        <v>1</v>
      </c>
      <c r="M289" s="18"/>
      <c r="O289" s="21"/>
      <c r="P289" s="2" t="s">
        <v>178</v>
      </c>
      <c r="Q289" s="2" t="s">
        <v>186</v>
      </c>
      <c r="R289" s="2" t="s">
        <v>190</v>
      </c>
      <c r="S289" s="14"/>
      <c r="U289" s="7" t="s">
        <v>146</v>
      </c>
      <c r="V289" s="7" t="s">
        <v>147</v>
      </c>
      <c r="W289" s="7" t="s">
        <v>148</v>
      </c>
      <c r="X289" s="7" t="s">
        <v>149</v>
      </c>
      <c r="Y289" s="7" t="s">
        <v>150</v>
      </c>
      <c r="Z289" s="8" t="s">
        <v>151</v>
      </c>
      <c r="AA289" s="7" t="s">
        <v>152</v>
      </c>
      <c r="AB289" s="7" t="s">
        <v>153</v>
      </c>
      <c r="AC289" s="7" t="s">
        <v>154</v>
      </c>
      <c r="AD289" s="7" t="s">
        <v>155</v>
      </c>
      <c r="AE289" s="8" t="s">
        <v>156</v>
      </c>
      <c r="AF289" s="7" t="s">
        <v>157</v>
      </c>
      <c r="AH289" s="7" t="s">
        <v>146</v>
      </c>
      <c r="AI289" s="7" t="s">
        <v>147</v>
      </c>
      <c r="AJ289" s="7" t="s">
        <v>158</v>
      </c>
      <c r="AK289" s="7" t="s">
        <v>159</v>
      </c>
      <c r="AL289" s="7" t="s">
        <v>160</v>
      </c>
      <c r="AM289" s="7" t="s">
        <v>161</v>
      </c>
      <c r="AN289" s="7" t="s">
        <v>162</v>
      </c>
      <c r="AO289" s="7" t="s">
        <v>163</v>
      </c>
      <c r="AP289" s="7" t="s">
        <v>164</v>
      </c>
      <c r="AR289" s="7" t="s">
        <v>146</v>
      </c>
      <c r="AS289" s="7" t="s">
        <v>147</v>
      </c>
      <c r="AT289" s="7" t="s">
        <v>165</v>
      </c>
      <c r="AU289" s="7" t="s">
        <v>166</v>
      </c>
      <c r="AV289" s="7" t="s">
        <v>167</v>
      </c>
      <c r="AW289" s="7" t="s">
        <v>168</v>
      </c>
      <c r="AX289" s="14"/>
    </row>
    <row r="290" spans="1:50" ht="23.5" customHeight="1" thickBot="1" x14ac:dyDescent="0.35">
      <c r="A290" s="63"/>
      <c r="B290" s="76"/>
      <c r="C290" s="25"/>
      <c r="D290" s="1"/>
      <c r="E290" s="1" t="s">
        <v>151</v>
      </c>
      <c r="F290" s="36">
        <v>1</v>
      </c>
      <c r="G290" s="1"/>
      <c r="H290" s="36" t="s">
        <v>199</v>
      </c>
      <c r="I290" s="36">
        <v>1</v>
      </c>
      <c r="J290" s="37"/>
      <c r="K290" s="38" t="s">
        <v>168</v>
      </c>
      <c r="L290" s="38">
        <v>1</v>
      </c>
      <c r="M290" s="18"/>
      <c r="O290" s="1">
        <v>1</v>
      </c>
      <c r="P290" s="1">
        <v>1</v>
      </c>
      <c r="Q290" s="1">
        <v>1</v>
      </c>
      <c r="R290" s="1">
        <v>0</v>
      </c>
      <c r="S290" s="14"/>
      <c r="U290" s="9" t="s">
        <v>171</v>
      </c>
      <c r="V290" s="10" t="s">
        <v>172</v>
      </c>
      <c r="W290" s="9">
        <v>7.66</v>
      </c>
      <c r="X290" s="9">
        <v>0.73</v>
      </c>
      <c r="Y290" s="9">
        <v>1.17</v>
      </c>
      <c r="Z290" s="9">
        <v>0.63</v>
      </c>
      <c r="AA290" s="9">
        <v>2.82</v>
      </c>
      <c r="AB290" s="9">
        <v>0.8</v>
      </c>
      <c r="AC290" s="9">
        <v>0.96</v>
      </c>
      <c r="AD290" s="9">
        <v>1.18</v>
      </c>
      <c r="AE290" s="9">
        <v>1.02</v>
      </c>
      <c r="AF290" s="9">
        <v>1.76</v>
      </c>
      <c r="AH290" s="9" t="s">
        <v>173</v>
      </c>
      <c r="AI290" s="10" t="s">
        <v>174</v>
      </c>
      <c r="AJ290" s="9">
        <v>6.57</v>
      </c>
      <c r="AK290" s="9">
        <v>6.88</v>
      </c>
      <c r="AL290" s="9">
        <v>3</v>
      </c>
      <c r="AM290" s="9">
        <v>6.46</v>
      </c>
      <c r="AN290" s="9">
        <v>1.88</v>
      </c>
      <c r="AO290" s="9">
        <v>7.67</v>
      </c>
      <c r="AP290" s="9">
        <v>5.48</v>
      </c>
      <c r="AR290" s="9" t="s">
        <v>175</v>
      </c>
      <c r="AS290" s="10" t="s">
        <v>176</v>
      </c>
      <c r="AT290" s="9">
        <v>2.73</v>
      </c>
      <c r="AU290" s="9">
        <v>1.08</v>
      </c>
      <c r="AV290" s="9">
        <v>2.8</v>
      </c>
      <c r="AW290" s="9">
        <v>2</v>
      </c>
      <c r="AX290" s="14"/>
    </row>
    <row r="291" spans="1:50" ht="24" customHeight="1" thickTop="1" thickBot="1" x14ac:dyDescent="0.35">
      <c r="A291" s="63"/>
      <c r="B291" s="76"/>
      <c r="C291" s="25"/>
      <c r="D291" s="1"/>
      <c r="E291" s="36" t="s">
        <v>152</v>
      </c>
      <c r="F291" s="36">
        <v>1</v>
      </c>
      <c r="G291" s="1"/>
      <c r="H291" s="36" t="s">
        <v>200</v>
      </c>
      <c r="I291" s="36">
        <v>1</v>
      </c>
      <c r="J291" s="39"/>
      <c r="K291" s="39"/>
      <c r="L291" s="39"/>
      <c r="M291" s="18"/>
      <c r="O291" s="1">
        <v>2</v>
      </c>
      <c r="P291" s="1">
        <v>1</v>
      </c>
      <c r="Q291" s="1">
        <v>1</v>
      </c>
      <c r="R291" s="1">
        <v>1</v>
      </c>
      <c r="S291" s="14"/>
      <c r="U291" s="9" t="s">
        <v>179</v>
      </c>
      <c r="V291" s="10" t="s">
        <v>180</v>
      </c>
      <c r="W291" s="9">
        <v>8.4</v>
      </c>
      <c r="X291" s="9">
        <v>0.87</v>
      </c>
      <c r="Y291" s="9">
        <v>1.01</v>
      </c>
      <c r="Z291" s="9">
        <v>0.56999999999999995</v>
      </c>
      <c r="AA291" s="9">
        <v>2.5</v>
      </c>
      <c r="AB291" s="9">
        <v>0.84</v>
      </c>
      <c r="AC291" s="9">
        <v>0.91</v>
      </c>
      <c r="AD291" s="9">
        <v>1.03</v>
      </c>
      <c r="AE291" s="9">
        <v>1.25</v>
      </c>
      <c r="AF291" s="9">
        <v>2.33</v>
      </c>
      <c r="AH291" s="11" t="s">
        <v>181</v>
      </c>
      <c r="AI291" s="12" t="s">
        <v>182</v>
      </c>
      <c r="AJ291" s="11">
        <v>6.77</v>
      </c>
      <c r="AK291" s="11">
        <v>7.22</v>
      </c>
      <c r="AL291" s="11">
        <v>3</v>
      </c>
      <c r="AM291" s="11">
        <v>7.26</v>
      </c>
      <c r="AN291" s="11">
        <v>2.16</v>
      </c>
      <c r="AO291" s="11">
        <v>8.26</v>
      </c>
      <c r="AP291" s="11">
        <v>5.68</v>
      </c>
      <c r="AR291" s="11" t="s">
        <v>183</v>
      </c>
      <c r="AS291" s="12" t="s">
        <v>184</v>
      </c>
      <c r="AT291" s="11">
        <v>3.22</v>
      </c>
      <c r="AU291" s="11">
        <v>1.1399999999999999</v>
      </c>
      <c r="AV291" s="11">
        <v>2.4</v>
      </c>
      <c r="AW291" s="11">
        <v>2</v>
      </c>
      <c r="AX291" s="14"/>
    </row>
    <row r="292" spans="1:50" ht="23.5" customHeight="1" thickTop="1" thickBot="1" x14ac:dyDescent="0.35">
      <c r="A292" s="63"/>
      <c r="B292" s="76"/>
      <c r="C292" s="25"/>
      <c r="D292" s="1"/>
      <c r="E292" s="36" t="s">
        <v>153</v>
      </c>
      <c r="F292" s="36">
        <v>1</v>
      </c>
      <c r="G292" s="1"/>
      <c r="H292" s="36" t="s">
        <v>201</v>
      </c>
      <c r="I292" s="36">
        <v>1</v>
      </c>
      <c r="J292" s="25"/>
      <c r="K292" s="25"/>
      <c r="L292" s="25"/>
      <c r="M292" s="18"/>
      <c r="O292" s="1">
        <v>3</v>
      </c>
      <c r="P292" s="1">
        <v>0</v>
      </c>
      <c r="Q292" s="1">
        <v>1</v>
      </c>
      <c r="R292" s="1">
        <v>0</v>
      </c>
      <c r="S292" s="14"/>
      <c r="U292" s="11" t="s">
        <v>187</v>
      </c>
      <c r="V292" s="12" t="s">
        <v>188</v>
      </c>
      <c r="W292" s="11">
        <v>9.25</v>
      </c>
      <c r="X292" s="11">
        <v>0.68</v>
      </c>
      <c r="Y292" s="11">
        <v>1.23</v>
      </c>
      <c r="Z292" s="11">
        <v>0.71</v>
      </c>
      <c r="AA292" s="11">
        <v>2.65</v>
      </c>
      <c r="AB292" s="11">
        <v>0.89</v>
      </c>
      <c r="AC292" s="11">
        <v>0.98</v>
      </c>
      <c r="AD292" s="11">
        <v>1.2</v>
      </c>
      <c r="AE292" s="11">
        <v>1.32</v>
      </c>
      <c r="AF292" s="11">
        <v>1.5</v>
      </c>
      <c r="AX292" s="14"/>
    </row>
    <row r="293" spans="1:50" ht="23.5" customHeight="1" thickTop="1" thickBot="1" x14ac:dyDescent="0.35">
      <c r="A293" s="63"/>
      <c r="B293" s="76"/>
      <c r="C293" s="25"/>
      <c r="D293" s="1"/>
      <c r="E293" s="1" t="s">
        <v>156</v>
      </c>
      <c r="F293" s="36">
        <v>1</v>
      </c>
      <c r="G293" s="37"/>
      <c r="H293" s="38" t="s">
        <v>164</v>
      </c>
      <c r="I293" s="38">
        <v>1</v>
      </c>
      <c r="J293" s="36"/>
      <c r="K293" s="25"/>
      <c r="L293" s="25"/>
      <c r="M293" s="18"/>
      <c r="O293" s="1">
        <v>4</v>
      </c>
      <c r="P293" s="1">
        <v>0</v>
      </c>
      <c r="Q293" s="1">
        <v>1</v>
      </c>
      <c r="R293" s="1">
        <v>0</v>
      </c>
      <c r="S293" s="14"/>
      <c r="U293" s="9"/>
      <c r="V293" s="10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X293" s="14"/>
    </row>
    <row r="294" spans="1:50" ht="23.5" customHeight="1" thickTop="1" thickBot="1" x14ac:dyDescent="0.35">
      <c r="A294" s="63"/>
      <c r="B294" s="76"/>
      <c r="C294" s="25"/>
      <c r="D294" s="37"/>
      <c r="E294" s="38" t="s">
        <v>197</v>
      </c>
      <c r="F294" s="38">
        <v>1</v>
      </c>
      <c r="G294" s="39"/>
      <c r="H294" s="39"/>
      <c r="I294" s="39"/>
      <c r="J294" s="36"/>
      <c r="K294" s="36"/>
      <c r="L294" s="25"/>
      <c r="M294" s="18"/>
      <c r="O294" s="4">
        <v>5</v>
      </c>
      <c r="P294" s="4">
        <v>1</v>
      </c>
      <c r="Q294" s="4">
        <v>0</v>
      </c>
      <c r="R294" s="4">
        <v>1</v>
      </c>
      <c r="S294" s="14"/>
      <c r="U294" s="9"/>
      <c r="V294" s="10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X294" s="14"/>
    </row>
    <row r="295" spans="1:50" ht="23" customHeight="1" thickTop="1" x14ac:dyDescent="0.3">
      <c r="A295" s="63"/>
      <c r="B295" s="76"/>
      <c r="C295" s="25"/>
      <c r="D295" s="39"/>
      <c r="E295" s="39"/>
      <c r="F295" s="39"/>
      <c r="G295" s="25"/>
      <c r="H295" s="25"/>
      <c r="I295" s="25"/>
      <c r="J295" s="25"/>
      <c r="K295" s="25"/>
      <c r="L295" s="25"/>
      <c r="M295" s="18"/>
      <c r="O295" s="1"/>
      <c r="P295" s="1"/>
      <c r="Q295" s="1"/>
      <c r="R295" s="1"/>
      <c r="S295" s="14"/>
      <c r="AX295" s="14"/>
    </row>
    <row r="296" spans="1:50" ht="23" customHeight="1" thickBot="1" x14ac:dyDescent="0.35">
      <c r="A296" s="63"/>
      <c r="B296" s="81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19"/>
      <c r="N296" s="15"/>
      <c r="O296" s="15"/>
      <c r="P296" s="15"/>
      <c r="Q296" s="15"/>
      <c r="R296" s="15"/>
      <c r="S296" s="16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6"/>
    </row>
    <row r="297" spans="1:50" ht="15" customHeight="1" thickTop="1" thickBot="1" x14ac:dyDescent="0.35">
      <c r="A297" s="63"/>
      <c r="B297" s="89" t="s">
        <v>49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17"/>
      <c r="N297" s="24"/>
      <c r="O297" s="24"/>
      <c r="P297" s="24"/>
      <c r="Q297" s="24"/>
      <c r="R297" s="24"/>
      <c r="S297" s="1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17"/>
    </row>
    <row r="298" spans="1:50" ht="31" customHeight="1" thickTop="1" thickBot="1" x14ac:dyDescent="0.35">
      <c r="A298" s="63"/>
      <c r="B298" s="76"/>
      <c r="C298" s="24"/>
      <c r="D298" s="27" t="s">
        <v>191</v>
      </c>
      <c r="E298" s="27" t="s">
        <v>192</v>
      </c>
      <c r="F298" s="27" t="s">
        <v>193</v>
      </c>
      <c r="G298" s="27" t="s">
        <v>191</v>
      </c>
      <c r="H298" s="27" t="s">
        <v>192</v>
      </c>
      <c r="I298" s="27" t="s">
        <v>193</v>
      </c>
      <c r="J298" s="27" t="s">
        <v>191</v>
      </c>
      <c r="K298" s="27" t="s">
        <v>192</v>
      </c>
      <c r="L298" s="27" t="s">
        <v>193</v>
      </c>
      <c r="M298" s="17"/>
      <c r="N298" s="24"/>
      <c r="O298" s="24"/>
      <c r="P298" s="24"/>
      <c r="Q298" s="24"/>
      <c r="R298" s="24"/>
      <c r="S298" s="1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17"/>
    </row>
    <row r="299" spans="1:50" ht="23.5" customHeight="1" thickTop="1" thickBot="1" x14ac:dyDescent="0.35">
      <c r="A299" s="63"/>
      <c r="B299" s="76"/>
      <c r="C299" s="33"/>
      <c r="D299" s="35" t="s">
        <v>194</v>
      </c>
      <c r="E299" s="36" t="s">
        <v>148</v>
      </c>
      <c r="F299" s="36">
        <v>5</v>
      </c>
      <c r="G299" s="35" t="s">
        <v>198</v>
      </c>
      <c r="H299" s="36" t="s">
        <v>158</v>
      </c>
      <c r="I299" s="36">
        <v>2</v>
      </c>
      <c r="J299" s="35" t="s">
        <v>202</v>
      </c>
      <c r="K299" s="36" t="s">
        <v>203</v>
      </c>
      <c r="L299" s="36">
        <v>2</v>
      </c>
      <c r="M299" s="18"/>
      <c r="N299" s="13"/>
      <c r="O299" s="34"/>
      <c r="P299" s="34"/>
      <c r="Q299" s="34"/>
      <c r="S299" s="14"/>
      <c r="T299" s="13"/>
      <c r="AX299" s="14"/>
    </row>
    <row r="300" spans="1:50" ht="31" customHeight="1" thickTop="1" thickBot="1" x14ac:dyDescent="0.35">
      <c r="A300" s="63"/>
      <c r="B300" s="76"/>
      <c r="C300" s="25"/>
      <c r="D300" s="1"/>
      <c r="E300" s="36" t="s">
        <v>195</v>
      </c>
      <c r="F300" s="36">
        <v>2</v>
      </c>
      <c r="G300" s="1"/>
      <c r="H300" s="36" t="s">
        <v>159</v>
      </c>
      <c r="I300" s="36">
        <v>1</v>
      </c>
      <c r="J300" s="1"/>
      <c r="K300" s="36" t="s">
        <v>166</v>
      </c>
      <c r="L300" s="36">
        <v>1</v>
      </c>
      <c r="M300" s="18"/>
      <c r="O300" s="20" t="s">
        <v>205</v>
      </c>
      <c r="P300" s="22" t="s">
        <v>206</v>
      </c>
      <c r="Q300" s="22"/>
      <c r="R300" s="22"/>
      <c r="S300" s="14"/>
      <c r="Z300" s="23" t="s">
        <v>194</v>
      </c>
      <c r="AK300" s="23" t="s">
        <v>198</v>
      </c>
      <c r="AT300" s="23" t="s">
        <v>202</v>
      </c>
      <c r="AX300" s="14"/>
    </row>
    <row r="301" spans="1:50" ht="25" customHeight="1" thickTop="1" thickBot="1" x14ac:dyDescent="0.35">
      <c r="A301" s="63"/>
      <c r="B301" s="76"/>
      <c r="C301" s="25"/>
      <c r="D301" s="1"/>
      <c r="E301" s="36" t="s">
        <v>196</v>
      </c>
      <c r="F301" s="36">
        <v>2</v>
      </c>
      <c r="G301" s="1"/>
      <c r="H301" s="36" t="s">
        <v>160</v>
      </c>
      <c r="I301" s="36">
        <v>1</v>
      </c>
      <c r="J301" s="1"/>
      <c r="K301" s="36" t="s">
        <v>167</v>
      </c>
      <c r="L301" s="36">
        <v>1</v>
      </c>
      <c r="M301" s="18"/>
      <c r="O301" s="21"/>
      <c r="P301" s="2" t="s">
        <v>178</v>
      </c>
      <c r="Q301" s="2" t="s">
        <v>186</v>
      </c>
      <c r="R301" s="2" t="s">
        <v>190</v>
      </c>
      <c r="S301" s="14"/>
      <c r="U301" s="7" t="s">
        <v>146</v>
      </c>
      <c r="V301" s="7" t="s">
        <v>147</v>
      </c>
      <c r="W301" s="7" t="s">
        <v>148</v>
      </c>
      <c r="X301" s="7" t="s">
        <v>149</v>
      </c>
      <c r="Y301" s="7" t="s">
        <v>150</v>
      </c>
      <c r="Z301" s="8" t="s">
        <v>151</v>
      </c>
      <c r="AA301" s="7" t="s">
        <v>152</v>
      </c>
      <c r="AB301" s="7" t="s">
        <v>153</v>
      </c>
      <c r="AC301" s="7" t="s">
        <v>154</v>
      </c>
      <c r="AD301" s="7" t="s">
        <v>155</v>
      </c>
      <c r="AE301" s="8" t="s">
        <v>156</v>
      </c>
      <c r="AF301" s="7" t="s">
        <v>157</v>
      </c>
      <c r="AH301" s="7" t="s">
        <v>146</v>
      </c>
      <c r="AI301" s="7" t="s">
        <v>147</v>
      </c>
      <c r="AJ301" s="7" t="s">
        <v>158</v>
      </c>
      <c r="AK301" s="7" t="s">
        <v>159</v>
      </c>
      <c r="AL301" s="7" t="s">
        <v>160</v>
      </c>
      <c r="AM301" s="7" t="s">
        <v>161</v>
      </c>
      <c r="AN301" s="7" t="s">
        <v>162</v>
      </c>
      <c r="AO301" s="7" t="s">
        <v>163</v>
      </c>
      <c r="AP301" s="7" t="s">
        <v>164</v>
      </c>
      <c r="AR301" s="7" t="s">
        <v>146</v>
      </c>
      <c r="AS301" s="7" t="s">
        <v>147</v>
      </c>
      <c r="AT301" s="7" t="s">
        <v>165</v>
      </c>
      <c r="AU301" s="7" t="s">
        <v>166</v>
      </c>
      <c r="AV301" s="7" t="s">
        <v>167</v>
      </c>
      <c r="AW301" s="7" t="s">
        <v>168</v>
      </c>
      <c r="AX301" s="14"/>
    </row>
    <row r="302" spans="1:50" ht="23.5" customHeight="1" thickBot="1" x14ac:dyDescent="0.35">
      <c r="A302" s="63"/>
      <c r="B302" s="76"/>
      <c r="C302" s="25"/>
      <c r="D302" s="1"/>
      <c r="E302" s="1" t="s">
        <v>151</v>
      </c>
      <c r="F302" s="36">
        <v>1</v>
      </c>
      <c r="G302" s="1"/>
      <c r="H302" s="36" t="s">
        <v>199</v>
      </c>
      <c r="I302" s="36">
        <v>1</v>
      </c>
      <c r="J302" s="4"/>
      <c r="K302" s="38" t="s">
        <v>168</v>
      </c>
      <c r="L302" s="38">
        <v>1</v>
      </c>
      <c r="M302" s="18"/>
      <c r="O302" s="1">
        <v>1</v>
      </c>
      <c r="P302" s="1">
        <v>1</v>
      </c>
      <c r="Q302" s="1">
        <v>0</v>
      </c>
      <c r="R302" s="1">
        <v>1</v>
      </c>
      <c r="S302" s="14"/>
      <c r="U302" s="9" t="s">
        <v>171</v>
      </c>
      <c r="V302" s="10" t="s">
        <v>172</v>
      </c>
      <c r="W302" s="9">
        <v>7.64</v>
      </c>
      <c r="X302" s="9">
        <v>0.79</v>
      </c>
      <c r="Y302" s="9">
        <v>1.1100000000000001</v>
      </c>
      <c r="Z302" s="9">
        <v>0.62</v>
      </c>
      <c r="AA302" s="9">
        <v>2.71</v>
      </c>
      <c r="AB302" s="9">
        <v>0.84</v>
      </c>
      <c r="AC302" s="9">
        <v>0.95</v>
      </c>
      <c r="AD302" s="9">
        <v>1.07</v>
      </c>
      <c r="AE302" s="9">
        <v>1.25</v>
      </c>
      <c r="AF302" s="9">
        <v>2.19</v>
      </c>
      <c r="AH302" s="9" t="s">
        <v>173</v>
      </c>
      <c r="AI302" s="10" t="s">
        <v>174</v>
      </c>
      <c r="AJ302" s="9">
        <v>6.22</v>
      </c>
      <c r="AK302" s="9">
        <v>6.67</v>
      </c>
      <c r="AL302" s="9">
        <v>3</v>
      </c>
      <c r="AM302" s="9">
        <v>6.94</v>
      </c>
      <c r="AN302" s="9">
        <v>1.67</v>
      </c>
      <c r="AO302" s="9">
        <v>7.36</v>
      </c>
      <c r="AP302" s="9">
        <v>5.22</v>
      </c>
      <c r="AR302" s="9" t="s">
        <v>175</v>
      </c>
      <c r="AS302" s="10" t="s">
        <v>176</v>
      </c>
      <c r="AT302" s="9">
        <v>2.96</v>
      </c>
      <c r="AU302" s="9">
        <v>1.21</v>
      </c>
      <c r="AV302" s="9">
        <v>2.65</v>
      </c>
      <c r="AW302" s="9">
        <v>2</v>
      </c>
      <c r="AX302" s="14"/>
    </row>
    <row r="303" spans="1:50" ht="24" customHeight="1" thickTop="1" thickBot="1" x14ac:dyDescent="0.35">
      <c r="A303" s="63"/>
      <c r="B303" s="76"/>
      <c r="C303" s="25"/>
      <c r="D303" s="1"/>
      <c r="E303" s="36" t="s">
        <v>152</v>
      </c>
      <c r="F303" s="36">
        <v>1</v>
      </c>
      <c r="G303" s="1"/>
      <c r="H303" s="36" t="s">
        <v>200</v>
      </c>
      <c r="I303" s="36">
        <v>1</v>
      </c>
      <c r="J303" s="39"/>
      <c r="K303" s="39"/>
      <c r="L303" s="39"/>
      <c r="M303" s="18"/>
      <c r="O303" s="1">
        <v>2</v>
      </c>
      <c r="P303" s="1">
        <v>1</v>
      </c>
      <c r="Q303" s="1">
        <v>0</v>
      </c>
      <c r="R303" s="1">
        <v>1</v>
      </c>
      <c r="S303" s="14"/>
      <c r="U303" s="9" t="s">
        <v>179</v>
      </c>
      <c r="V303" s="10" t="s">
        <v>180</v>
      </c>
      <c r="W303" s="9">
        <v>8.42</v>
      </c>
      <c r="X303" s="9">
        <v>0.87</v>
      </c>
      <c r="Y303" s="9">
        <v>1.04</v>
      </c>
      <c r="Z303" s="9">
        <v>0.75</v>
      </c>
      <c r="AA303" s="9">
        <v>2.5</v>
      </c>
      <c r="AB303" s="9">
        <v>0.8</v>
      </c>
      <c r="AC303" s="9">
        <v>0.99</v>
      </c>
      <c r="AD303" s="9">
        <v>1.18</v>
      </c>
      <c r="AE303" s="9">
        <v>1.1000000000000001</v>
      </c>
      <c r="AF303" s="9">
        <v>1.62</v>
      </c>
      <c r="AH303" s="11" t="s">
        <v>181</v>
      </c>
      <c r="AI303" s="12" t="s">
        <v>182</v>
      </c>
      <c r="AJ303" s="11">
        <v>6.87</v>
      </c>
      <c r="AK303" s="11">
        <v>7.38</v>
      </c>
      <c r="AL303" s="11">
        <v>3</v>
      </c>
      <c r="AM303" s="11">
        <v>7.77</v>
      </c>
      <c r="AN303" s="11">
        <v>2.37</v>
      </c>
      <c r="AO303" s="11">
        <v>8.7799999999999994</v>
      </c>
      <c r="AP303" s="11">
        <v>5.76</v>
      </c>
      <c r="AR303" s="11" t="s">
        <v>183</v>
      </c>
      <c r="AS303" s="12" t="s">
        <v>184</v>
      </c>
      <c r="AT303" s="11">
        <v>3.45</v>
      </c>
      <c r="AU303" s="11">
        <v>1.02</v>
      </c>
      <c r="AV303" s="11">
        <v>2.25</v>
      </c>
      <c r="AW303" s="11">
        <v>2</v>
      </c>
      <c r="AX303" s="14"/>
    </row>
    <row r="304" spans="1:50" ht="23.5" customHeight="1" thickTop="1" thickBot="1" x14ac:dyDescent="0.35">
      <c r="A304" s="63"/>
      <c r="B304" s="76"/>
      <c r="C304" s="25"/>
      <c r="D304" s="1"/>
      <c r="E304" s="36" t="s">
        <v>153</v>
      </c>
      <c r="F304" s="36">
        <v>1</v>
      </c>
      <c r="G304" s="1"/>
      <c r="H304" s="36" t="s">
        <v>201</v>
      </c>
      <c r="I304" s="36">
        <v>1</v>
      </c>
      <c r="J304" s="25"/>
      <c r="K304" s="25"/>
      <c r="L304" s="25"/>
      <c r="M304" s="18"/>
      <c r="O304" s="1">
        <v>3</v>
      </c>
      <c r="P304" s="1">
        <v>0</v>
      </c>
      <c r="Q304" s="1">
        <v>1</v>
      </c>
      <c r="R304" s="1">
        <v>0</v>
      </c>
      <c r="S304" s="14"/>
      <c r="U304" s="11" t="s">
        <v>187</v>
      </c>
      <c r="V304" s="12" t="s">
        <v>188</v>
      </c>
      <c r="W304" s="11">
        <v>9.1999999999999993</v>
      </c>
      <c r="X304" s="11">
        <v>0.65</v>
      </c>
      <c r="Y304" s="11">
        <v>1.25</v>
      </c>
      <c r="Z304" s="11">
        <v>0.57999999999999996</v>
      </c>
      <c r="AA304" s="11">
        <v>2.88</v>
      </c>
      <c r="AB304" s="11">
        <v>0.89</v>
      </c>
      <c r="AC304" s="11">
        <v>0.91</v>
      </c>
      <c r="AD304" s="11">
        <v>1</v>
      </c>
      <c r="AE304" s="11">
        <v>1.35</v>
      </c>
      <c r="AF304" s="11">
        <v>2.4</v>
      </c>
      <c r="AX304" s="14"/>
    </row>
    <row r="305" spans="1:50" ht="23.5" customHeight="1" thickTop="1" thickBot="1" x14ac:dyDescent="0.35">
      <c r="A305" s="63"/>
      <c r="B305" s="76"/>
      <c r="C305" s="25"/>
      <c r="D305" s="1"/>
      <c r="E305" s="1" t="s">
        <v>156</v>
      </c>
      <c r="F305" s="36">
        <v>1</v>
      </c>
      <c r="G305" s="4"/>
      <c r="H305" s="38" t="s">
        <v>164</v>
      </c>
      <c r="I305" s="38">
        <v>1</v>
      </c>
      <c r="J305" s="36"/>
      <c r="K305" s="25"/>
      <c r="L305" s="25"/>
      <c r="M305" s="18"/>
      <c r="O305" s="1">
        <v>3</v>
      </c>
      <c r="P305" s="1">
        <v>0</v>
      </c>
      <c r="Q305" s="1">
        <v>2</v>
      </c>
      <c r="R305" s="1">
        <v>0</v>
      </c>
      <c r="S305" s="14"/>
      <c r="U305" s="9"/>
      <c r="V305" s="10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X305" s="14"/>
    </row>
    <row r="306" spans="1:50" ht="23.5" customHeight="1" thickTop="1" thickBot="1" x14ac:dyDescent="0.35">
      <c r="A306" s="63"/>
      <c r="B306" s="76"/>
      <c r="C306" s="25"/>
      <c r="D306" s="4"/>
      <c r="E306" s="38" t="s">
        <v>197</v>
      </c>
      <c r="F306" s="38">
        <v>1</v>
      </c>
      <c r="G306" s="39"/>
      <c r="H306" s="39"/>
      <c r="I306" s="39"/>
      <c r="J306" s="36"/>
      <c r="K306" s="36"/>
      <c r="L306" s="25"/>
      <c r="M306" s="18"/>
      <c r="O306" s="4">
        <v>5</v>
      </c>
      <c r="P306" s="4">
        <v>1</v>
      </c>
      <c r="Q306" s="4">
        <v>0</v>
      </c>
      <c r="R306" s="4">
        <v>2</v>
      </c>
      <c r="S306" s="14"/>
      <c r="U306" s="9"/>
      <c r="V306" s="10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X306" s="14"/>
    </row>
    <row r="307" spans="1:50" ht="23" customHeight="1" thickTop="1" x14ac:dyDescent="0.3">
      <c r="A307" s="63"/>
      <c r="B307" s="76"/>
      <c r="C307" s="25"/>
      <c r="D307" s="39"/>
      <c r="E307" s="39"/>
      <c r="F307" s="39"/>
      <c r="G307" s="25"/>
      <c r="H307" s="25"/>
      <c r="I307" s="25"/>
      <c r="J307" s="25"/>
      <c r="K307" s="25"/>
      <c r="L307" s="25"/>
      <c r="M307" s="18"/>
      <c r="O307" s="1"/>
      <c r="P307" s="1"/>
      <c r="Q307" s="1"/>
      <c r="R307" s="1"/>
      <c r="S307" s="14"/>
      <c r="AX307" s="14"/>
    </row>
    <row r="308" spans="1:50" ht="23" customHeight="1" thickBot="1" x14ac:dyDescent="0.35">
      <c r="A308" s="64"/>
      <c r="B308" s="81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19"/>
      <c r="N308" s="15"/>
      <c r="O308" s="15"/>
      <c r="P308" s="15"/>
      <c r="Q308" s="15"/>
      <c r="R308" s="15"/>
      <c r="S308" s="16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6"/>
    </row>
    <row r="309" spans="1:50" ht="15" customHeight="1" thickTop="1" thickBot="1" x14ac:dyDescent="0.35">
      <c r="A309" s="90">
        <v>4</v>
      </c>
      <c r="B309" s="89" t="s">
        <v>50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17"/>
      <c r="N309" s="24"/>
      <c r="O309" s="24"/>
      <c r="P309" s="24"/>
      <c r="Q309" s="24"/>
      <c r="R309" s="24"/>
      <c r="S309" s="1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17"/>
    </row>
    <row r="310" spans="1:50" ht="31" customHeight="1" thickTop="1" thickBot="1" x14ac:dyDescent="0.35">
      <c r="A310" s="63"/>
      <c r="B310" s="76"/>
      <c r="C310" s="24"/>
      <c r="D310" s="27" t="s">
        <v>191</v>
      </c>
      <c r="E310" s="27" t="s">
        <v>192</v>
      </c>
      <c r="F310" s="27" t="s">
        <v>193</v>
      </c>
      <c r="G310" s="27" t="s">
        <v>191</v>
      </c>
      <c r="H310" s="27" t="s">
        <v>192</v>
      </c>
      <c r="I310" s="27" t="s">
        <v>193</v>
      </c>
      <c r="J310" s="27" t="s">
        <v>191</v>
      </c>
      <c r="K310" s="27" t="s">
        <v>192</v>
      </c>
      <c r="L310" s="27" t="s">
        <v>193</v>
      </c>
      <c r="M310" s="17"/>
      <c r="N310" s="24"/>
      <c r="O310" s="24"/>
      <c r="P310" s="24"/>
      <c r="Q310" s="24"/>
      <c r="R310" s="24"/>
      <c r="S310" s="1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17"/>
    </row>
    <row r="311" spans="1:50" ht="23.5" customHeight="1" thickTop="1" thickBot="1" x14ac:dyDescent="0.35">
      <c r="A311" s="63"/>
      <c r="B311" s="76"/>
      <c r="C311" s="33"/>
      <c r="D311" s="88" t="s">
        <v>194</v>
      </c>
      <c r="E311" s="36" t="s">
        <v>148</v>
      </c>
      <c r="F311" s="36">
        <v>3</v>
      </c>
      <c r="G311" s="85" t="s">
        <v>198</v>
      </c>
      <c r="H311" s="36" t="s">
        <v>158</v>
      </c>
      <c r="I311" s="36">
        <v>1</v>
      </c>
      <c r="J311" s="85" t="s">
        <v>202</v>
      </c>
      <c r="K311" s="36" t="s">
        <v>203</v>
      </c>
      <c r="L311" s="36">
        <v>1</v>
      </c>
      <c r="M311" s="18"/>
      <c r="N311" s="13"/>
      <c r="O311" s="34"/>
      <c r="P311" s="34"/>
      <c r="Q311" s="34"/>
      <c r="S311" s="14"/>
      <c r="T311" s="13"/>
      <c r="AX311" s="14"/>
    </row>
    <row r="312" spans="1:50" ht="23.5" customHeight="1" thickTop="1" thickBot="1" x14ac:dyDescent="0.35">
      <c r="A312" s="63"/>
      <c r="B312" s="76"/>
      <c r="C312" s="25"/>
      <c r="D312" s="86"/>
      <c r="E312" s="36" t="s">
        <v>195</v>
      </c>
      <c r="F312" s="36">
        <v>1</v>
      </c>
      <c r="G312" s="86"/>
      <c r="H312" s="36" t="s">
        <v>159</v>
      </c>
      <c r="I312" s="36">
        <v>1</v>
      </c>
      <c r="J312" s="86"/>
      <c r="K312" s="36" t="s">
        <v>166</v>
      </c>
      <c r="L312" s="36">
        <v>1</v>
      </c>
      <c r="M312" s="18"/>
      <c r="O312" s="82" t="s">
        <v>205</v>
      </c>
      <c r="P312" s="82" t="s">
        <v>206</v>
      </c>
      <c r="Q312" s="83"/>
      <c r="R312" s="83"/>
      <c r="S312" s="14"/>
      <c r="Z312" s="23" t="s">
        <v>194</v>
      </c>
      <c r="AK312" s="23" t="s">
        <v>198</v>
      </c>
      <c r="AT312" s="23" t="s">
        <v>202</v>
      </c>
      <c r="AX312" s="14"/>
    </row>
    <row r="313" spans="1:50" ht="25" customHeight="1" thickTop="1" thickBot="1" x14ac:dyDescent="0.35">
      <c r="A313" s="63"/>
      <c r="B313" s="76"/>
      <c r="C313" s="25"/>
      <c r="D313" s="86"/>
      <c r="E313" s="36" t="s">
        <v>196</v>
      </c>
      <c r="F313" s="36">
        <v>1</v>
      </c>
      <c r="G313" s="86"/>
      <c r="H313" s="36" t="s">
        <v>160</v>
      </c>
      <c r="I313" s="36">
        <v>1</v>
      </c>
      <c r="J313" s="86"/>
      <c r="K313" s="36" t="s">
        <v>167</v>
      </c>
      <c r="L313" s="36">
        <v>1</v>
      </c>
      <c r="M313" s="18"/>
      <c r="O313" s="84"/>
      <c r="P313" s="2" t="s">
        <v>178</v>
      </c>
      <c r="Q313" s="2" t="s">
        <v>186</v>
      </c>
      <c r="R313" s="2" t="s">
        <v>190</v>
      </c>
      <c r="S313" s="14"/>
      <c r="U313" s="7" t="s">
        <v>146</v>
      </c>
      <c r="V313" s="7" t="s">
        <v>147</v>
      </c>
      <c r="W313" s="7" t="s">
        <v>148</v>
      </c>
      <c r="X313" s="7" t="s">
        <v>149</v>
      </c>
      <c r="Y313" s="7" t="s">
        <v>150</v>
      </c>
      <c r="Z313" s="8" t="s">
        <v>151</v>
      </c>
      <c r="AA313" s="7" t="s">
        <v>152</v>
      </c>
      <c r="AB313" s="7" t="s">
        <v>153</v>
      </c>
      <c r="AC313" s="7" t="s">
        <v>154</v>
      </c>
      <c r="AD313" s="7" t="s">
        <v>155</v>
      </c>
      <c r="AE313" s="8" t="s">
        <v>156</v>
      </c>
      <c r="AF313" s="7" t="s">
        <v>157</v>
      </c>
      <c r="AH313" s="7" t="s">
        <v>146</v>
      </c>
      <c r="AI313" s="7" t="s">
        <v>147</v>
      </c>
      <c r="AJ313" s="7" t="s">
        <v>158</v>
      </c>
      <c r="AK313" s="7" t="s">
        <v>159</v>
      </c>
      <c r="AL313" s="7" t="s">
        <v>160</v>
      </c>
      <c r="AM313" s="7" t="s">
        <v>161</v>
      </c>
      <c r="AN313" s="7" t="s">
        <v>162</v>
      </c>
      <c r="AO313" s="7" t="s">
        <v>163</v>
      </c>
      <c r="AP313" s="7" t="s">
        <v>164</v>
      </c>
      <c r="AR313" s="7" t="s">
        <v>146</v>
      </c>
      <c r="AS313" s="7" t="s">
        <v>147</v>
      </c>
      <c r="AT313" s="7" t="s">
        <v>165</v>
      </c>
      <c r="AU313" s="7" t="s">
        <v>166</v>
      </c>
      <c r="AV313" s="7" t="s">
        <v>167</v>
      </c>
      <c r="AW313" s="7" t="s">
        <v>168</v>
      </c>
      <c r="AX313" s="14"/>
    </row>
    <row r="314" spans="1:50" ht="23.5" customHeight="1" thickBot="1" x14ac:dyDescent="0.35">
      <c r="A314" s="63"/>
      <c r="B314" s="76"/>
      <c r="C314" s="25"/>
      <c r="D314" s="86"/>
      <c r="E314" s="1" t="s">
        <v>151</v>
      </c>
      <c r="F314" s="36">
        <v>1</v>
      </c>
      <c r="G314" s="86"/>
      <c r="H314" s="36" t="s">
        <v>199</v>
      </c>
      <c r="I314" s="36">
        <v>1</v>
      </c>
      <c r="J314" s="87"/>
      <c r="K314" s="38" t="s">
        <v>168</v>
      </c>
      <c r="L314" s="38">
        <v>1</v>
      </c>
      <c r="M314" s="18"/>
      <c r="O314" s="1">
        <v>1</v>
      </c>
      <c r="P314" s="1">
        <v>1</v>
      </c>
      <c r="Q314" s="1">
        <v>0</v>
      </c>
      <c r="R314" s="1">
        <v>0</v>
      </c>
      <c r="S314" s="14"/>
      <c r="U314" s="9" t="s">
        <v>171</v>
      </c>
      <c r="V314" s="10" t="s">
        <v>172</v>
      </c>
      <c r="W314" s="9">
        <v>7.15</v>
      </c>
      <c r="X314" s="9">
        <v>0.73</v>
      </c>
      <c r="Y314" s="9">
        <v>1.1000000000000001</v>
      </c>
      <c r="Z314" s="9">
        <v>0.69</v>
      </c>
      <c r="AA314" s="9">
        <v>2.5</v>
      </c>
      <c r="AB314" s="9">
        <v>0.87</v>
      </c>
      <c r="AC314" s="9">
        <v>0.99</v>
      </c>
      <c r="AD314" s="9">
        <v>1.07</v>
      </c>
      <c r="AE314" s="9">
        <v>1.32</v>
      </c>
      <c r="AF314" s="9">
        <v>1.97</v>
      </c>
      <c r="AH314" s="9" t="s">
        <v>173</v>
      </c>
      <c r="AI314" s="10" t="s">
        <v>174</v>
      </c>
      <c r="AJ314" s="9">
        <v>6.46</v>
      </c>
      <c r="AK314" s="9">
        <v>6.77</v>
      </c>
      <c r="AL314" s="9">
        <v>3</v>
      </c>
      <c r="AM314" s="9">
        <v>6.35</v>
      </c>
      <c r="AN314" s="9">
        <v>1.92</v>
      </c>
      <c r="AO314" s="9">
        <v>7.58</v>
      </c>
      <c r="AP314" s="9">
        <v>5.35</v>
      </c>
      <c r="AR314" s="9" t="s">
        <v>175</v>
      </c>
      <c r="AS314" s="10" t="s">
        <v>176</v>
      </c>
      <c r="AT314" s="9">
        <v>2.65</v>
      </c>
      <c r="AU314" s="9">
        <v>1.1599999999999999</v>
      </c>
      <c r="AV314" s="9">
        <v>2.15</v>
      </c>
      <c r="AW314" s="9">
        <v>2</v>
      </c>
      <c r="AX314" s="14"/>
    </row>
    <row r="315" spans="1:50" ht="24" customHeight="1" thickTop="1" thickBot="1" x14ac:dyDescent="0.35">
      <c r="A315" s="63"/>
      <c r="B315" s="76"/>
      <c r="C315" s="25"/>
      <c r="D315" s="86"/>
      <c r="E315" s="36" t="s">
        <v>152</v>
      </c>
      <c r="F315" s="36">
        <v>1</v>
      </c>
      <c r="G315" s="86"/>
      <c r="H315" s="36" t="s">
        <v>200</v>
      </c>
      <c r="I315" s="36">
        <v>1</v>
      </c>
      <c r="J315" s="39"/>
      <c r="K315" s="39"/>
      <c r="L315" s="39"/>
      <c r="M315" s="18"/>
      <c r="O315" s="1">
        <v>2</v>
      </c>
      <c r="P315" s="1">
        <v>1</v>
      </c>
      <c r="Q315" s="1">
        <v>1</v>
      </c>
      <c r="R315" s="1">
        <v>0</v>
      </c>
      <c r="S315" s="14"/>
      <c r="U315" s="9" t="s">
        <v>179</v>
      </c>
      <c r="V315" s="10" t="s">
        <v>180</v>
      </c>
      <c r="W315" s="9">
        <v>8.5</v>
      </c>
      <c r="X315" s="9">
        <v>0.65</v>
      </c>
      <c r="Y315" s="9">
        <v>1.05</v>
      </c>
      <c r="Z315" s="9">
        <v>0.62</v>
      </c>
      <c r="AA315" s="9">
        <v>2.77</v>
      </c>
      <c r="AB315" s="9">
        <v>0.83</v>
      </c>
      <c r="AC315" s="9">
        <v>0.92</v>
      </c>
      <c r="AD315" s="9">
        <v>1.1200000000000001</v>
      </c>
      <c r="AE315" s="9">
        <v>1.05</v>
      </c>
      <c r="AF315" s="9">
        <v>2.31</v>
      </c>
      <c r="AH315" s="11" t="s">
        <v>181</v>
      </c>
      <c r="AI315" s="12" t="s">
        <v>182</v>
      </c>
      <c r="AJ315" s="11">
        <v>6.76</v>
      </c>
      <c r="AK315" s="11">
        <v>7.14</v>
      </c>
      <c r="AL315" s="11">
        <v>3</v>
      </c>
      <c r="AM315" s="11">
        <v>7.46</v>
      </c>
      <c r="AN315" s="11">
        <v>2.2400000000000002</v>
      </c>
      <c r="AO315" s="11">
        <v>8.48</v>
      </c>
      <c r="AP315" s="11">
        <v>5.66</v>
      </c>
      <c r="AR315" s="11" t="s">
        <v>183</v>
      </c>
      <c r="AS315" s="12" t="s">
        <v>184</v>
      </c>
      <c r="AT315" s="11">
        <v>3.17</v>
      </c>
      <c r="AU315" s="11">
        <v>1.07</v>
      </c>
      <c r="AV315" s="11">
        <v>2.75</v>
      </c>
      <c r="AW315" s="11">
        <v>2</v>
      </c>
      <c r="AX315" s="14"/>
    </row>
    <row r="316" spans="1:50" ht="23.5" customHeight="1" thickTop="1" thickBot="1" x14ac:dyDescent="0.35">
      <c r="A316" s="63"/>
      <c r="B316" s="76"/>
      <c r="C316" s="25"/>
      <c r="D316" s="86"/>
      <c r="E316" s="36" t="s">
        <v>153</v>
      </c>
      <c r="F316" s="36">
        <v>1</v>
      </c>
      <c r="G316" s="86"/>
      <c r="H316" s="36" t="s">
        <v>201</v>
      </c>
      <c r="I316" s="36">
        <v>1</v>
      </c>
      <c r="J316" s="25"/>
      <c r="K316" s="25"/>
      <c r="L316" s="25"/>
      <c r="M316" s="18"/>
      <c r="O316" s="4">
        <v>3</v>
      </c>
      <c r="P316" s="4">
        <v>0</v>
      </c>
      <c r="Q316" s="4">
        <v>1</v>
      </c>
      <c r="R316" s="4">
        <v>0</v>
      </c>
      <c r="S316" s="14"/>
      <c r="U316" s="11" t="s">
        <v>187</v>
      </c>
      <c r="V316" s="12" t="s">
        <v>188</v>
      </c>
      <c r="W316" s="11">
        <v>9.19</v>
      </c>
      <c r="X316" s="11">
        <v>0.85</v>
      </c>
      <c r="Y316" s="11">
        <v>1.25</v>
      </c>
      <c r="Z316" s="11">
        <v>0.75</v>
      </c>
      <c r="AA316" s="11">
        <v>2.9</v>
      </c>
      <c r="AB316" s="11">
        <v>0.81</v>
      </c>
      <c r="AC316" s="11">
        <v>0.95</v>
      </c>
      <c r="AD316" s="11">
        <v>1.2</v>
      </c>
      <c r="AE316" s="11">
        <v>1.38</v>
      </c>
      <c r="AF316" s="11">
        <v>1.54</v>
      </c>
      <c r="AX316" s="14"/>
    </row>
    <row r="317" spans="1:50" ht="23.5" customHeight="1" thickTop="1" thickBot="1" x14ac:dyDescent="0.35">
      <c r="A317" s="63"/>
      <c r="B317" s="76"/>
      <c r="C317" s="25"/>
      <c r="D317" s="86"/>
      <c r="E317" s="1" t="s">
        <v>156</v>
      </c>
      <c r="F317" s="36">
        <v>1</v>
      </c>
      <c r="G317" s="87"/>
      <c r="H317" s="38" t="s">
        <v>164</v>
      </c>
      <c r="I317" s="38">
        <v>1</v>
      </c>
      <c r="J317" s="36"/>
      <c r="K317" s="25"/>
      <c r="L317" s="25"/>
      <c r="M317" s="18"/>
      <c r="O317" s="1"/>
      <c r="P317" s="1"/>
      <c r="Q317" s="1"/>
      <c r="R317" s="1"/>
      <c r="S317" s="14"/>
      <c r="U317" s="9"/>
      <c r="V317" s="10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X317" s="14"/>
    </row>
    <row r="318" spans="1:50" ht="23.5" customHeight="1" thickTop="1" thickBot="1" x14ac:dyDescent="0.35">
      <c r="A318" s="63"/>
      <c r="B318" s="76"/>
      <c r="C318" s="25"/>
      <c r="D318" s="87"/>
      <c r="E318" s="38" t="s">
        <v>197</v>
      </c>
      <c r="F318" s="38">
        <v>1</v>
      </c>
      <c r="G318" s="39"/>
      <c r="H318" s="39"/>
      <c r="I318" s="39"/>
      <c r="J318" s="36"/>
      <c r="K318" s="36"/>
      <c r="L318" s="25"/>
      <c r="M318" s="18"/>
      <c r="O318" s="1"/>
      <c r="P318" s="1"/>
      <c r="Q318" s="1"/>
      <c r="R318" s="1"/>
      <c r="S318" s="14"/>
      <c r="U318" s="9"/>
      <c r="V318" s="10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X318" s="14"/>
    </row>
    <row r="319" spans="1:50" ht="23" customHeight="1" thickTop="1" x14ac:dyDescent="0.3">
      <c r="A319" s="63"/>
      <c r="B319" s="76"/>
      <c r="C319" s="25"/>
      <c r="D319" s="39"/>
      <c r="E319" s="39"/>
      <c r="F319" s="39"/>
      <c r="G319" s="25"/>
      <c r="H319" s="25"/>
      <c r="I319" s="25"/>
      <c r="J319" s="25"/>
      <c r="K319" s="25"/>
      <c r="L319" s="25"/>
      <c r="M319" s="18"/>
      <c r="O319" s="1"/>
      <c r="P319" s="1"/>
      <c r="Q319" s="1"/>
      <c r="R319" s="1"/>
      <c r="S319" s="14"/>
      <c r="AX319" s="14"/>
    </row>
    <row r="320" spans="1:50" ht="23" customHeight="1" thickBot="1" x14ac:dyDescent="0.35">
      <c r="A320" s="63"/>
      <c r="B320" s="81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19"/>
      <c r="N320" s="15"/>
      <c r="O320" s="15"/>
      <c r="P320" s="15"/>
      <c r="Q320" s="15"/>
      <c r="R320" s="15"/>
      <c r="S320" s="16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6"/>
    </row>
    <row r="321" spans="1:50" ht="15" customHeight="1" thickTop="1" thickBot="1" x14ac:dyDescent="0.35">
      <c r="A321" s="63"/>
      <c r="B321" s="89" t="s">
        <v>51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17"/>
      <c r="N321" s="24"/>
      <c r="O321" s="24"/>
      <c r="P321" s="24"/>
      <c r="Q321" s="24"/>
      <c r="R321" s="24"/>
      <c r="S321" s="1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17"/>
    </row>
    <row r="322" spans="1:50" ht="31" customHeight="1" thickTop="1" thickBot="1" x14ac:dyDescent="0.35">
      <c r="A322" s="63"/>
      <c r="B322" s="76"/>
      <c r="C322" s="24"/>
      <c r="D322" s="27" t="s">
        <v>191</v>
      </c>
      <c r="E322" s="27" t="s">
        <v>192</v>
      </c>
      <c r="F322" s="27" t="s">
        <v>193</v>
      </c>
      <c r="G322" s="27" t="s">
        <v>191</v>
      </c>
      <c r="H322" s="27" t="s">
        <v>192</v>
      </c>
      <c r="I322" s="27" t="s">
        <v>193</v>
      </c>
      <c r="J322" s="27" t="s">
        <v>191</v>
      </c>
      <c r="K322" s="27" t="s">
        <v>192</v>
      </c>
      <c r="L322" s="27" t="s">
        <v>193</v>
      </c>
      <c r="M322" s="17"/>
      <c r="N322" s="24"/>
      <c r="O322" s="24"/>
      <c r="P322" s="24"/>
      <c r="Q322" s="24"/>
      <c r="R322" s="24"/>
      <c r="S322" s="1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17"/>
    </row>
    <row r="323" spans="1:50" ht="23.5" customHeight="1" thickTop="1" thickBot="1" x14ac:dyDescent="0.35">
      <c r="A323" s="63"/>
      <c r="B323" s="76"/>
      <c r="C323" s="33"/>
      <c r="D323" s="88" t="s">
        <v>194</v>
      </c>
      <c r="E323" s="36" t="s">
        <v>148</v>
      </c>
      <c r="F323" s="36">
        <v>3</v>
      </c>
      <c r="G323" s="85" t="s">
        <v>198</v>
      </c>
      <c r="H323" s="36" t="s">
        <v>158</v>
      </c>
      <c r="I323" s="36">
        <v>1</v>
      </c>
      <c r="J323" s="85" t="s">
        <v>202</v>
      </c>
      <c r="K323" s="36" t="s">
        <v>203</v>
      </c>
      <c r="L323" s="36">
        <v>1</v>
      </c>
      <c r="M323" s="18"/>
      <c r="N323" s="13"/>
      <c r="O323" s="34"/>
      <c r="P323" s="34"/>
      <c r="Q323" s="34"/>
      <c r="S323" s="14"/>
      <c r="T323" s="13"/>
      <c r="AX323" s="14"/>
    </row>
    <row r="324" spans="1:50" ht="23.5" customHeight="1" thickTop="1" thickBot="1" x14ac:dyDescent="0.35">
      <c r="A324" s="63"/>
      <c r="B324" s="76"/>
      <c r="C324" s="25"/>
      <c r="D324" s="86"/>
      <c r="E324" s="36" t="s">
        <v>195</v>
      </c>
      <c r="F324" s="36">
        <v>1</v>
      </c>
      <c r="G324" s="86"/>
      <c r="H324" s="36" t="s">
        <v>159</v>
      </c>
      <c r="I324" s="36">
        <v>1</v>
      </c>
      <c r="J324" s="86"/>
      <c r="K324" s="36" t="s">
        <v>166</v>
      </c>
      <c r="L324" s="36">
        <v>1</v>
      </c>
      <c r="M324" s="18"/>
      <c r="O324" s="82" t="s">
        <v>205</v>
      </c>
      <c r="P324" s="82" t="s">
        <v>206</v>
      </c>
      <c r="Q324" s="83"/>
      <c r="R324" s="83"/>
      <c r="S324" s="14"/>
      <c r="Z324" s="23" t="s">
        <v>194</v>
      </c>
      <c r="AK324" s="23" t="s">
        <v>198</v>
      </c>
      <c r="AT324" s="23" t="s">
        <v>202</v>
      </c>
      <c r="AX324" s="14"/>
    </row>
    <row r="325" spans="1:50" ht="25" customHeight="1" thickTop="1" thickBot="1" x14ac:dyDescent="0.35">
      <c r="A325" s="63"/>
      <c r="B325" s="76"/>
      <c r="C325" s="25"/>
      <c r="D325" s="86"/>
      <c r="E325" s="36" t="s">
        <v>196</v>
      </c>
      <c r="F325" s="36">
        <v>1</v>
      </c>
      <c r="G325" s="86"/>
      <c r="H325" s="36" t="s">
        <v>159</v>
      </c>
      <c r="I325" s="36">
        <v>1</v>
      </c>
      <c r="J325" s="86"/>
      <c r="K325" s="36" t="s">
        <v>167</v>
      </c>
      <c r="L325" s="36">
        <v>1</v>
      </c>
      <c r="M325" s="18"/>
      <c r="O325" s="84"/>
      <c r="P325" s="2" t="s">
        <v>178</v>
      </c>
      <c r="Q325" s="2" t="s">
        <v>186</v>
      </c>
      <c r="R325" s="2" t="s">
        <v>190</v>
      </c>
      <c r="S325" s="14"/>
      <c r="U325" s="7" t="s">
        <v>146</v>
      </c>
      <c r="V325" s="7" t="s">
        <v>147</v>
      </c>
      <c r="W325" s="7" t="s">
        <v>148</v>
      </c>
      <c r="X325" s="7" t="s">
        <v>149</v>
      </c>
      <c r="Y325" s="7" t="s">
        <v>150</v>
      </c>
      <c r="Z325" s="8" t="s">
        <v>151</v>
      </c>
      <c r="AA325" s="7" t="s">
        <v>152</v>
      </c>
      <c r="AB325" s="7" t="s">
        <v>153</v>
      </c>
      <c r="AC325" s="7" t="s">
        <v>154</v>
      </c>
      <c r="AD325" s="7" t="s">
        <v>155</v>
      </c>
      <c r="AE325" s="8" t="s">
        <v>156</v>
      </c>
      <c r="AF325" s="7" t="s">
        <v>157</v>
      </c>
      <c r="AH325" s="7" t="s">
        <v>146</v>
      </c>
      <c r="AI325" s="7" t="s">
        <v>147</v>
      </c>
      <c r="AJ325" s="7" t="s">
        <v>158</v>
      </c>
      <c r="AK325" s="7" t="s">
        <v>159</v>
      </c>
      <c r="AL325" s="7" t="s">
        <v>160</v>
      </c>
      <c r="AM325" s="7" t="s">
        <v>161</v>
      </c>
      <c r="AN325" s="7" t="s">
        <v>162</v>
      </c>
      <c r="AO325" s="7" t="s">
        <v>163</v>
      </c>
      <c r="AP325" s="7" t="s">
        <v>164</v>
      </c>
      <c r="AR325" s="7" t="s">
        <v>146</v>
      </c>
      <c r="AS325" s="7" t="s">
        <v>147</v>
      </c>
      <c r="AT325" s="7" t="s">
        <v>165</v>
      </c>
      <c r="AU325" s="7" t="s">
        <v>166</v>
      </c>
      <c r="AV325" s="7" t="s">
        <v>167</v>
      </c>
      <c r="AW325" s="7" t="s">
        <v>168</v>
      </c>
      <c r="AX325" s="14"/>
    </row>
    <row r="326" spans="1:50" ht="23.5" customHeight="1" thickBot="1" x14ac:dyDescent="0.35">
      <c r="A326" s="63"/>
      <c r="B326" s="76"/>
      <c r="C326" s="25"/>
      <c r="D326" s="86"/>
      <c r="E326" s="1" t="s">
        <v>151</v>
      </c>
      <c r="F326" s="36">
        <v>1</v>
      </c>
      <c r="G326" s="86"/>
      <c r="H326" s="36" t="s">
        <v>199</v>
      </c>
      <c r="I326" s="36">
        <v>1</v>
      </c>
      <c r="J326" s="87"/>
      <c r="K326" s="38" t="s">
        <v>168</v>
      </c>
      <c r="L326" s="38">
        <v>1</v>
      </c>
      <c r="M326" s="18"/>
      <c r="O326" s="1">
        <v>1</v>
      </c>
      <c r="P326" s="1">
        <v>1</v>
      </c>
      <c r="Q326" s="1">
        <v>1</v>
      </c>
      <c r="R326" s="1">
        <v>0</v>
      </c>
      <c r="S326" s="14"/>
      <c r="U326" s="9" t="s">
        <v>171</v>
      </c>
      <c r="V326" s="10" t="s">
        <v>172</v>
      </c>
      <c r="W326" s="9">
        <v>7.48</v>
      </c>
      <c r="X326" s="9">
        <v>0.78</v>
      </c>
      <c r="Y326" s="9">
        <v>1.1599999999999999</v>
      </c>
      <c r="Z326" s="9">
        <v>0.57999999999999996</v>
      </c>
      <c r="AA326" s="9">
        <v>2.5</v>
      </c>
      <c r="AB326" s="9">
        <v>0.85</v>
      </c>
      <c r="AC326" s="9">
        <v>0.93</v>
      </c>
      <c r="AD326" s="9">
        <v>1.1499999999999999</v>
      </c>
      <c r="AE326" s="9">
        <v>1.25</v>
      </c>
      <c r="AF326" s="9">
        <v>2.09</v>
      </c>
      <c r="AH326" s="9" t="s">
        <v>173</v>
      </c>
      <c r="AI326" s="10" t="s">
        <v>174</v>
      </c>
      <c r="AJ326" s="9">
        <v>6.14</v>
      </c>
      <c r="AK326" s="9">
        <v>6.56</v>
      </c>
      <c r="AL326" s="9">
        <v>3</v>
      </c>
      <c r="AM326" s="9">
        <v>6.16</v>
      </c>
      <c r="AN326" s="9">
        <v>1.56</v>
      </c>
      <c r="AO326" s="9">
        <v>7.17</v>
      </c>
      <c r="AP326" s="9">
        <v>5.14</v>
      </c>
      <c r="AR326" s="9" t="s">
        <v>175</v>
      </c>
      <c r="AS326" s="10" t="s">
        <v>176</v>
      </c>
      <c r="AT326" s="9">
        <v>3.32</v>
      </c>
      <c r="AU326" s="9">
        <v>1.1000000000000001</v>
      </c>
      <c r="AV326" s="9">
        <v>2.95</v>
      </c>
      <c r="AW326" s="9">
        <v>2</v>
      </c>
      <c r="AX326" s="14"/>
    </row>
    <row r="327" spans="1:50" ht="24" customHeight="1" thickTop="1" thickBot="1" x14ac:dyDescent="0.35">
      <c r="A327" s="63"/>
      <c r="B327" s="76"/>
      <c r="C327" s="25"/>
      <c r="D327" s="86"/>
      <c r="E327" s="36" t="s">
        <v>152</v>
      </c>
      <c r="F327" s="36">
        <v>1</v>
      </c>
      <c r="G327" s="86"/>
      <c r="H327" s="36" t="s">
        <v>200</v>
      </c>
      <c r="I327" s="36">
        <v>1</v>
      </c>
      <c r="J327" s="39"/>
      <c r="K327" s="39"/>
      <c r="L327" s="39"/>
      <c r="M327" s="18"/>
      <c r="O327" s="1">
        <v>2</v>
      </c>
      <c r="P327" s="1">
        <v>0</v>
      </c>
      <c r="Q327" s="1">
        <v>0</v>
      </c>
      <c r="R327" s="1">
        <v>2</v>
      </c>
      <c r="S327" s="14"/>
      <c r="U327" s="9" t="s">
        <v>179</v>
      </c>
      <c r="V327" s="10" t="s">
        <v>180</v>
      </c>
      <c r="W327" s="9">
        <v>8.36</v>
      </c>
      <c r="X327" s="9">
        <v>0.69</v>
      </c>
      <c r="Y327" s="9">
        <v>1.01</v>
      </c>
      <c r="Z327" s="9">
        <v>0.71</v>
      </c>
      <c r="AA327" s="9">
        <v>2.69</v>
      </c>
      <c r="AB327" s="9">
        <v>0.89</v>
      </c>
      <c r="AC327" s="9">
        <v>0.98</v>
      </c>
      <c r="AD327" s="9">
        <v>1</v>
      </c>
      <c r="AE327" s="9">
        <v>1.1000000000000001</v>
      </c>
      <c r="AF327" s="9">
        <v>1.68</v>
      </c>
      <c r="AH327" s="11" t="s">
        <v>181</v>
      </c>
      <c r="AI327" s="12" t="s">
        <v>182</v>
      </c>
      <c r="AJ327" s="11">
        <v>6.92</v>
      </c>
      <c r="AK327" s="11">
        <v>7.42</v>
      </c>
      <c r="AL327" s="11">
        <v>3</v>
      </c>
      <c r="AM327" s="11">
        <v>7.83</v>
      </c>
      <c r="AN327" s="11">
        <v>2.42</v>
      </c>
      <c r="AO327" s="11">
        <v>8.82</v>
      </c>
      <c r="AP327" s="11">
        <v>5.92</v>
      </c>
      <c r="AR327" s="11" t="s">
        <v>183</v>
      </c>
      <c r="AS327" s="12" t="s">
        <v>184</v>
      </c>
      <c r="AT327" s="11">
        <v>2.59</v>
      </c>
      <c r="AU327" s="11">
        <v>1.22</v>
      </c>
      <c r="AV327" s="11">
        <v>2.35</v>
      </c>
      <c r="AW327" s="11">
        <v>2</v>
      </c>
      <c r="AX327" s="14"/>
    </row>
    <row r="328" spans="1:50" ht="23.5" customHeight="1" thickTop="1" thickBot="1" x14ac:dyDescent="0.35">
      <c r="A328" s="63"/>
      <c r="B328" s="76"/>
      <c r="C328" s="25"/>
      <c r="D328" s="86"/>
      <c r="E328" s="36" t="s">
        <v>153</v>
      </c>
      <c r="F328" s="36">
        <v>1</v>
      </c>
      <c r="G328" s="86"/>
      <c r="H328" s="36" t="s">
        <v>201</v>
      </c>
      <c r="I328" s="36">
        <v>1</v>
      </c>
      <c r="J328" s="25"/>
      <c r="K328" s="25"/>
      <c r="L328" s="25"/>
      <c r="M328" s="18"/>
      <c r="O328" s="4">
        <v>3</v>
      </c>
      <c r="P328" s="4">
        <v>0</v>
      </c>
      <c r="Q328" s="4">
        <v>0</v>
      </c>
      <c r="R328" s="4">
        <v>1</v>
      </c>
      <c r="S328" s="14"/>
      <c r="U328" s="11" t="s">
        <v>187</v>
      </c>
      <c r="V328" s="12" t="s">
        <v>188</v>
      </c>
      <c r="W328" s="11">
        <v>9.0500000000000007</v>
      </c>
      <c r="X328" s="11">
        <v>0.9</v>
      </c>
      <c r="Y328" s="11">
        <v>1.21</v>
      </c>
      <c r="Z328" s="11">
        <v>0.65</v>
      </c>
      <c r="AA328" s="11">
        <v>2.84</v>
      </c>
      <c r="AB328" s="11">
        <v>0.82</v>
      </c>
      <c r="AC328" s="11">
        <v>1</v>
      </c>
      <c r="AD328" s="11">
        <v>1.2</v>
      </c>
      <c r="AE328" s="11">
        <v>1.4</v>
      </c>
      <c r="AF328" s="11">
        <v>2.42</v>
      </c>
      <c r="AX328" s="14"/>
    </row>
    <row r="329" spans="1:50" ht="23.5" customHeight="1" thickTop="1" thickBot="1" x14ac:dyDescent="0.35">
      <c r="A329" s="63"/>
      <c r="B329" s="76"/>
      <c r="C329" s="25"/>
      <c r="D329" s="86"/>
      <c r="E329" s="1" t="s">
        <v>156</v>
      </c>
      <c r="F329" s="36">
        <v>1</v>
      </c>
      <c r="G329" s="87"/>
      <c r="H329" s="38" t="s">
        <v>164</v>
      </c>
      <c r="I329" s="38">
        <v>1</v>
      </c>
      <c r="J329" s="36"/>
      <c r="K329" s="25"/>
      <c r="L329" s="25"/>
      <c r="M329" s="18"/>
      <c r="O329" s="1"/>
      <c r="P329" s="1"/>
      <c r="Q329" s="1"/>
      <c r="R329" s="1"/>
      <c r="S329" s="14"/>
      <c r="U329" s="9"/>
      <c r="V329" s="10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X329" s="14"/>
    </row>
    <row r="330" spans="1:50" ht="23.5" customHeight="1" thickTop="1" thickBot="1" x14ac:dyDescent="0.35">
      <c r="A330" s="63"/>
      <c r="B330" s="76"/>
      <c r="C330" s="25"/>
      <c r="D330" s="87"/>
      <c r="E330" s="38" t="s">
        <v>197</v>
      </c>
      <c r="F330" s="38">
        <v>1</v>
      </c>
      <c r="G330" s="39"/>
      <c r="H330" s="39"/>
      <c r="I330" s="39"/>
      <c r="J330" s="36"/>
      <c r="K330" s="36"/>
      <c r="L330" s="25"/>
      <c r="M330" s="18"/>
      <c r="O330" s="1"/>
      <c r="P330" s="1"/>
      <c r="Q330" s="1"/>
      <c r="R330" s="1"/>
      <c r="S330" s="14"/>
      <c r="U330" s="9"/>
      <c r="V330" s="10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X330" s="14"/>
    </row>
    <row r="331" spans="1:50" ht="23" customHeight="1" thickTop="1" x14ac:dyDescent="0.3">
      <c r="A331" s="63"/>
      <c r="B331" s="76"/>
      <c r="C331" s="25"/>
      <c r="D331" s="39"/>
      <c r="E331" s="39"/>
      <c r="F331" s="39"/>
      <c r="G331" s="25"/>
      <c r="H331" s="25"/>
      <c r="I331" s="25"/>
      <c r="J331" s="25"/>
      <c r="K331" s="25"/>
      <c r="L331" s="25"/>
      <c r="M331" s="18"/>
      <c r="O331" s="1"/>
      <c r="P331" s="1"/>
      <c r="Q331" s="1"/>
      <c r="R331" s="1"/>
      <c r="S331" s="14"/>
      <c r="AX331" s="14"/>
    </row>
    <row r="332" spans="1:50" ht="23" customHeight="1" thickBot="1" x14ac:dyDescent="0.35">
      <c r="A332" s="63"/>
      <c r="B332" s="81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19"/>
      <c r="N332" s="15"/>
      <c r="O332" s="15"/>
      <c r="P332" s="15"/>
      <c r="Q332" s="15"/>
      <c r="R332" s="15"/>
      <c r="S332" s="16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6"/>
    </row>
    <row r="333" spans="1:50" ht="15" customHeight="1" thickTop="1" thickBot="1" x14ac:dyDescent="0.35">
      <c r="A333" s="63"/>
      <c r="B333" s="89" t="s">
        <v>52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17"/>
      <c r="N333" s="24"/>
      <c r="O333" s="24"/>
      <c r="P333" s="24"/>
      <c r="Q333" s="24"/>
      <c r="R333" s="24"/>
      <c r="S333" s="1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17"/>
    </row>
    <row r="334" spans="1:50" ht="31" customHeight="1" thickTop="1" thickBot="1" x14ac:dyDescent="0.35">
      <c r="A334" s="63"/>
      <c r="B334" s="76"/>
      <c r="C334" s="24"/>
      <c r="D334" s="27" t="s">
        <v>191</v>
      </c>
      <c r="E334" s="27" t="s">
        <v>192</v>
      </c>
      <c r="F334" s="27" t="s">
        <v>193</v>
      </c>
      <c r="G334" s="27" t="s">
        <v>191</v>
      </c>
      <c r="H334" s="27" t="s">
        <v>192</v>
      </c>
      <c r="I334" s="27" t="s">
        <v>193</v>
      </c>
      <c r="J334" s="27" t="s">
        <v>191</v>
      </c>
      <c r="K334" s="27" t="s">
        <v>192</v>
      </c>
      <c r="L334" s="27" t="s">
        <v>193</v>
      </c>
      <c r="M334" s="17"/>
      <c r="N334" s="24"/>
      <c r="O334" s="24"/>
      <c r="P334" s="24"/>
      <c r="Q334" s="24"/>
      <c r="R334" s="24"/>
      <c r="S334" s="1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17"/>
    </row>
    <row r="335" spans="1:50" ht="23.5" customHeight="1" thickTop="1" thickBot="1" x14ac:dyDescent="0.35">
      <c r="A335" s="63"/>
      <c r="B335" s="76"/>
      <c r="C335" s="33"/>
      <c r="D335" s="88" t="s">
        <v>194</v>
      </c>
      <c r="E335" s="36" t="s">
        <v>148</v>
      </c>
      <c r="F335" s="36">
        <v>5</v>
      </c>
      <c r="G335" s="85" t="s">
        <v>198</v>
      </c>
      <c r="H335" s="36" t="s">
        <v>158</v>
      </c>
      <c r="I335" s="36">
        <v>1</v>
      </c>
      <c r="J335" s="85" t="s">
        <v>202</v>
      </c>
      <c r="K335" s="36" t="s">
        <v>203</v>
      </c>
      <c r="L335" s="36">
        <v>2</v>
      </c>
      <c r="M335" s="18"/>
      <c r="N335" s="13"/>
      <c r="O335" s="34"/>
      <c r="P335" s="34"/>
      <c r="Q335" s="34"/>
      <c r="S335" s="14"/>
      <c r="T335" s="13"/>
      <c r="AX335" s="14"/>
    </row>
    <row r="336" spans="1:50" ht="23.5" customHeight="1" thickTop="1" thickBot="1" x14ac:dyDescent="0.35">
      <c r="A336" s="63"/>
      <c r="B336" s="76"/>
      <c r="C336" s="25"/>
      <c r="D336" s="86"/>
      <c r="E336" s="36" t="s">
        <v>195</v>
      </c>
      <c r="F336" s="36">
        <v>1</v>
      </c>
      <c r="G336" s="86"/>
      <c r="H336" s="36" t="s">
        <v>159</v>
      </c>
      <c r="I336" s="36">
        <v>1</v>
      </c>
      <c r="J336" s="86"/>
      <c r="K336" s="36" t="s">
        <v>166</v>
      </c>
      <c r="L336" s="36">
        <v>1</v>
      </c>
      <c r="M336" s="18"/>
      <c r="O336" s="82" t="s">
        <v>205</v>
      </c>
      <c r="P336" s="82" t="s">
        <v>206</v>
      </c>
      <c r="Q336" s="83"/>
      <c r="R336" s="83"/>
      <c r="S336" s="14"/>
      <c r="Z336" s="23" t="s">
        <v>194</v>
      </c>
      <c r="AK336" s="23" t="s">
        <v>198</v>
      </c>
      <c r="AT336" s="23" t="s">
        <v>202</v>
      </c>
      <c r="AX336" s="14"/>
    </row>
    <row r="337" spans="1:50" ht="25" customHeight="1" thickTop="1" thickBot="1" x14ac:dyDescent="0.35">
      <c r="A337" s="63"/>
      <c r="B337" s="76"/>
      <c r="C337" s="25"/>
      <c r="D337" s="86"/>
      <c r="E337" s="36" t="s">
        <v>196</v>
      </c>
      <c r="F337" s="36">
        <v>1</v>
      </c>
      <c r="G337" s="86"/>
      <c r="H337" s="36" t="s">
        <v>160</v>
      </c>
      <c r="I337" s="36">
        <v>1</v>
      </c>
      <c r="J337" s="86"/>
      <c r="K337" s="36" t="s">
        <v>167</v>
      </c>
      <c r="L337" s="36">
        <v>1</v>
      </c>
      <c r="M337" s="18"/>
      <c r="O337" s="84"/>
      <c r="P337" s="2" t="s">
        <v>178</v>
      </c>
      <c r="Q337" s="2" t="s">
        <v>186</v>
      </c>
      <c r="R337" s="2" t="s">
        <v>190</v>
      </c>
      <c r="S337" s="14"/>
      <c r="U337" s="7" t="s">
        <v>146</v>
      </c>
      <c r="V337" s="7" t="s">
        <v>147</v>
      </c>
      <c r="W337" s="7" t="s">
        <v>148</v>
      </c>
      <c r="X337" s="7" t="s">
        <v>149</v>
      </c>
      <c r="Y337" s="7" t="s">
        <v>150</v>
      </c>
      <c r="Z337" s="8" t="s">
        <v>151</v>
      </c>
      <c r="AA337" s="7" t="s">
        <v>152</v>
      </c>
      <c r="AB337" s="7" t="s">
        <v>153</v>
      </c>
      <c r="AC337" s="7" t="s">
        <v>154</v>
      </c>
      <c r="AD337" s="7" t="s">
        <v>155</v>
      </c>
      <c r="AE337" s="8" t="s">
        <v>156</v>
      </c>
      <c r="AF337" s="7" t="s">
        <v>157</v>
      </c>
      <c r="AH337" s="7" t="s">
        <v>146</v>
      </c>
      <c r="AI337" s="7" t="s">
        <v>147</v>
      </c>
      <c r="AJ337" s="7" t="s">
        <v>158</v>
      </c>
      <c r="AK337" s="7" t="s">
        <v>159</v>
      </c>
      <c r="AL337" s="7" t="s">
        <v>160</v>
      </c>
      <c r="AM337" s="7" t="s">
        <v>161</v>
      </c>
      <c r="AN337" s="7" t="s">
        <v>162</v>
      </c>
      <c r="AO337" s="7" t="s">
        <v>163</v>
      </c>
      <c r="AP337" s="7" t="s">
        <v>164</v>
      </c>
      <c r="AR337" s="7" t="s">
        <v>146</v>
      </c>
      <c r="AS337" s="7" t="s">
        <v>147</v>
      </c>
      <c r="AT337" s="7" t="s">
        <v>165</v>
      </c>
      <c r="AU337" s="7" t="s">
        <v>166</v>
      </c>
      <c r="AV337" s="7" t="s">
        <v>167</v>
      </c>
      <c r="AW337" s="7" t="s">
        <v>168</v>
      </c>
      <c r="AX337" s="14"/>
    </row>
    <row r="338" spans="1:50" ht="23.5" customHeight="1" thickBot="1" x14ac:dyDescent="0.35">
      <c r="A338" s="63"/>
      <c r="B338" s="76"/>
      <c r="C338" s="25"/>
      <c r="D338" s="86"/>
      <c r="E338" s="1" t="s">
        <v>151</v>
      </c>
      <c r="F338" s="36">
        <v>1</v>
      </c>
      <c r="G338" s="86"/>
      <c r="H338" s="36" t="s">
        <v>199</v>
      </c>
      <c r="I338" s="36">
        <v>1</v>
      </c>
      <c r="J338" s="87"/>
      <c r="K338" s="38" t="s">
        <v>168</v>
      </c>
      <c r="L338" s="38">
        <v>1</v>
      </c>
      <c r="M338" s="18"/>
      <c r="O338" s="1">
        <v>1</v>
      </c>
      <c r="P338" s="1">
        <v>1</v>
      </c>
      <c r="Q338" s="1">
        <v>0</v>
      </c>
      <c r="R338" s="1">
        <v>1</v>
      </c>
      <c r="S338" s="14"/>
      <c r="U338" s="9" t="s">
        <v>171</v>
      </c>
      <c r="V338" s="10" t="s">
        <v>172</v>
      </c>
      <c r="W338" s="9">
        <v>7.23</v>
      </c>
      <c r="X338" s="9">
        <v>0.82</v>
      </c>
      <c r="Y338" s="9">
        <v>1.1200000000000001</v>
      </c>
      <c r="Z338" s="9">
        <v>0.64</v>
      </c>
      <c r="AA338" s="9">
        <v>2.5</v>
      </c>
      <c r="AB338" s="9">
        <v>0.86</v>
      </c>
      <c r="AC338" s="9">
        <v>0.94</v>
      </c>
      <c r="AD338" s="9">
        <v>1.18</v>
      </c>
      <c r="AE338" s="9">
        <v>1.08</v>
      </c>
      <c r="AF338" s="9">
        <v>1.73</v>
      </c>
      <c r="AH338" s="9" t="s">
        <v>173</v>
      </c>
      <c r="AI338" s="10" t="s">
        <v>174</v>
      </c>
      <c r="AJ338" s="9">
        <v>6.52</v>
      </c>
      <c r="AK338" s="9">
        <v>6.82</v>
      </c>
      <c r="AL338" s="9">
        <v>3</v>
      </c>
      <c r="AM338" s="9">
        <v>6.52</v>
      </c>
      <c r="AN338" s="9">
        <v>1.82</v>
      </c>
      <c r="AO338" s="9">
        <v>7.52</v>
      </c>
      <c r="AP338" s="9">
        <v>5.42</v>
      </c>
      <c r="AR338" s="9" t="s">
        <v>175</v>
      </c>
      <c r="AS338" s="10" t="s">
        <v>176</v>
      </c>
      <c r="AT338" s="9">
        <v>2.88</v>
      </c>
      <c r="AU338" s="9">
        <v>1.0900000000000001</v>
      </c>
      <c r="AV338" s="9">
        <v>2.5499999999999998</v>
      </c>
      <c r="AW338" s="9">
        <v>2</v>
      </c>
      <c r="AX338" s="14"/>
    </row>
    <row r="339" spans="1:50" ht="24" customHeight="1" thickTop="1" thickBot="1" x14ac:dyDescent="0.35">
      <c r="A339" s="63"/>
      <c r="B339" s="76"/>
      <c r="C339" s="25"/>
      <c r="D339" s="86"/>
      <c r="E339" s="36" t="s">
        <v>152</v>
      </c>
      <c r="F339" s="36">
        <v>1</v>
      </c>
      <c r="G339" s="86"/>
      <c r="H339" s="36" t="s">
        <v>200</v>
      </c>
      <c r="I339" s="36">
        <v>1</v>
      </c>
      <c r="J339" s="39"/>
      <c r="K339" s="39"/>
      <c r="L339" s="39"/>
      <c r="M339" s="18"/>
      <c r="O339" s="1">
        <v>2</v>
      </c>
      <c r="P339" s="1">
        <v>1</v>
      </c>
      <c r="Q339" s="1">
        <v>0</v>
      </c>
      <c r="R339" s="1">
        <v>0</v>
      </c>
      <c r="S339" s="14"/>
      <c r="U339" s="9" t="s">
        <v>179</v>
      </c>
      <c r="V339" s="10" t="s">
        <v>180</v>
      </c>
      <c r="W339" s="9">
        <v>8.67</v>
      </c>
      <c r="X339" s="9">
        <v>0.67</v>
      </c>
      <c r="Y339" s="9">
        <v>1.04</v>
      </c>
      <c r="Z339" s="9">
        <v>0.75</v>
      </c>
      <c r="AA339" s="9">
        <v>2.74</v>
      </c>
      <c r="AB339" s="9">
        <v>0.8</v>
      </c>
      <c r="AC339" s="9">
        <v>0.98</v>
      </c>
      <c r="AD339" s="9">
        <v>1.03</v>
      </c>
      <c r="AE339" s="9">
        <v>1.22</v>
      </c>
      <c r="AF339" s="9">
        <v>2.2000000000000002</v>
      </c>
      <c r="AH339" s="11" t="s">
        <v>181</v>
      </c>
      <c r="AI339" s="12" t="s">
        <v>182</v>
      </c>
      <c r="AJ339" s="11">
        <v>6.83</v>
      </c>
      <c r="AK339" s="11">
        <v>7.27</v>
      </c>
      <c r="AL339" s="11">
        <v>3</v>
      </c>
      <c r="AM339" s="11">
        <v>7.52</v>
      </c>
      <c r="AN339" s="11">
        <v>2.17</v>
      </c>
      <c r="AO339" s="11">
        <v>8.52</v>
      </c>
      <c r="AP339" s="11">
        <v>5.72</v>
      </c>
      <c r="AR339" s="11" t="s">
        <v>183</v>
      </c>
      <c r="AS339" s="12" t="s">
        <v>184</v>
      </c>
      <c r="AT339" s="11">
        <v>3.27</v>
      </c>
      <c r="AU339" s="11">
        <v>1.17</v>
      </c>
      <c r="AV339" s="11">
        <v>2.2000000000000002</v>
      </c>
      <c r="AW339" s="11">
        <v>2</v>
      </c>
      <c r="AX339" s="14"/>
    </row>
    <row r="340" spans="1:50" ht="23.5" customHeight="1" thickTop="1" thickBot="1" x14ac:dyDescent="0.35">
      <c r="A340" s="63"/>
      <c r="B340" s="76"/>
      <c r="C340" s="25"/>
      <c r="D340" s="86"/>
      <c r="E340" s="36" t="s">
        <v>153</v>
      </c>
      <c r="F340" s="36">
        <v>1</v>
      </c>
      <c r="G340" s="86"/>
      <c r="H340" s="36" t="s">
        <v>201</v>
      </c>
      <c r="I340" s="36">
        <v>1</v>
      </c>
      <c r="J340" s="25"/>
      <c r="K340" s="25"/>
      <c r="L340" s="25"/>
      <c r="M340" s="18"/>
      <c r="O340" s="4">
        <v>3</v>
      </c>
      <c r="P340" s="4">
        <v>1</v>
      </c>
      <c r="Q340" s="4">
        <v>0</v>
      </c>
      <c r="R340" s="4">
        <v>1</v>
      </c>
      <c r="S340" s="14"/>
      <c r="U340" s="11" t="s">
        <v>187</v>
      </c>
      <c r="V340" s="12" t="s">
        <v>188</v>
      </c>
      <c r="W340" s="11">
        <v>9.1</v>
      </c>
      <c r="X340" s="11">
        <v>0.75</v>
      </c>
      <c r="Y340" s="11">
        <v>1.25</v>
      </c>
      <c r="Z340" s="11">
        <v>0.59</v>
      </c>
      <c r="AA340" s="11">
        <v>2.95</v>
      </c>
      <c r="AB340" s="11">
        <v>0.89</v>
      </c>
      <c r="AC340" s="11">
        <v>0.91</v>
      </c>
      <c r="AD340" s="11">
        <v>1.2</v>
      </c>
      <c r="AE340" s="11">
        <v>1.35</v>
      </c>
      <c r="AF340" s="11">
        <v>2.4500000000000002</v>
      </c>
      <c r="AX340" s="14"/>
    </row>
    <row r="341" spans="1:50" ht="23.5" customHeight="1" thickTop="1" thickBot="1" x14ac:dyDescent="0.35">
      <c r="A341" s="63"/>
      <c r="B341" s="76"/>
      <c r="C341" s="25"/>
      <c r="D341" s="86"/>
      <c r="E341" s="1" t="s">
        <v>156</v>
      </c>
      <c r="F341" s="36">
        <v>1</v>
      </c>
      <c r="G341" s="87"/>
      <c r="H341" s="38" t="s">
        <v>164</v>
      </c>
      <c r="I341" s="38">
        <v>1</v>
      </c>
      <c r="J341" s="36"/>
      <c r="K341" s="25"/>
      <c r="L341" s="25"/>
      <c r="M341" s="18"/>
      <c r="O341" s="1"/>
      <c r="P341" s="1"/>
      <c r="Q341" s="1"/>
      <c r="R341" s="1"/>
      <c r="S341" s="14"/>
      <c r="U341" s="9"/>
      <c r="V341" s="10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X341" s="14"/>
    </row>
    <row r="342" spans="1:50" ht="23.5" customHeight="1" thickTop="1" thickBot="1" x14ac:dyDescent="0.35">
      <c r="A342" s="63"/>
      <c r="B342" s="76"/>
      <c r="C342" s="25"/>
      <c r="D342" s="87"/>
      <c r="E342" s="38" t="s">
        <v>197</v>
      </c>
      <c r="F342" s="38">
        <v>1</v>
      </c>
      <c r="G342" s="39"/>
      <c r="H342" s="39"/>
      <c r="I342" s="39"/>
      <c r="J342" s="36"/>
      <c r="K342" s="36"/>
      <c r="L342" s="25"/>
      <c r="M342" s="18"/>
      <c r="O342" s="1"/>
      <c r="P342" s="1"/>
      <c r="Q342" s="1"/>
      <c r="R342" s="1"/>
      <c r="S342" s="14"/>
      <c r="U342" s="9"/>
      <c r="V342" s="10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X342" s="14"/>
    </row>
    <row r="343" spans="1:50" ht="23" customHeight="1" thickTop="1" x14ac:dyDescent="0.3">
      <c r="A343" s="63"/>
      <c r="B343" s="76"/>
      <c r="C343" s="25"/>
      <c r="D343" s="39"/>
      <c r="E343" s="39"/>
      <c r="F343" s="39"/>
      <c r="G343" s="25"/>
      <c r="H343" s="25"/>
      <c r="I343" s="25"/>
      <c r="J343" s="25"/>
      <c r="K343" s="25"/>
      <c r="L343" s="25"/>
      <c r="M343" s="18"/>
      <c r="O343" s="1"/>
      <c r="P343" s="1"/>
      <c r="Q343" s="1"/>
      <c r="R343" s="1"/>
      <c r="S343" s="14"/>
      <c r="AX343" s="14"/>
    </row>
    <row r="344" spans="1:50" ht="23" customHeight="1" thickBot="1" x14ac:dyDescent="0.35">
      <c r="A344" s="63"/>
      <c r="B344" s="81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19"/>
      <c r="N344" s="15"/>
      <c r="O344" s="15"/>
      <c r="P344" s="15"/>
      <c r="Q344" s="15"/>
      <c r="R344" s="15"/>
      <c r="S344" s="16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6"/>
    </row>
    <row r="345" spans="1:50" ht="15" customHeight="1" thickTop="1" thickBot="1" x14ac:dyDescent="0.35">
      <c r="A345" s="63"/>
      <c r="B345" s="89" t="s">
        <v>53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17"/>
      <c r="N345" s="24"/>
      <c r="O345" s="24"/>
      <c r="P345" s="24"/>
      <c r="Q345" s="24"/>
      <c r="R345" s="24"/>
      <c r="S345" s="1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17"/>
    </row>
    <row r="346" spans="1:50" ht="31" customHeight="1" thickTop="1" thickBot="1" x14ac:dyDescent="0.35">
      <c r="A346" s="63"/>
      <c r="B346" s="76"/>
      <c r="C346" s="24"/>
      <c r="D346" s="27" t="s">
        <v>191</v>
      </c>
      <c r="E346" s="27" t="s">
        <v>192</v>
      </c>
      <c r="F346" s="27" t="s">
        <v>193</v>
      </c>
      <c r="G346" s="27" t="s">
        <v>191</v>
      </c>
      <c r="H346" s="27" t="s">
        <v>192</v>
      </c>
      <c r="I346" s="27" t="s">
        <v>193</v>
      </c>
      <c r="J346" s="27" t="s">
        <v>191</v>
      </c>
      <c r="K346" s="27" t="s">
        <v>192</v>
      </c>
      <c r="L346" s="27" t="s">
        <v>193</v>
      </c>
      <c r="M346" s="17"/>
      <c r="N346" s="24"/>
      <c r="O346" s="24"/>
      <c r="P346" s="24"/>
      <c r="Q346" s="24"/>
      <c r="R346" s="24"/>
      <c r="S346" s="1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17"/>
    </row>
    <row r="347" spans="1:50" ht="23.5" customHeight="1" thickTop="1" thickBot="1" x14ac:dyDescent="0.35">
      <c r="A347" s="63"/>
      <c r="B347" s="76"/>
      <c r="C347" s="33"/>
      <c r="D347" s="88" t="s">
        <v>194</v>
      </c>
      <c r="E347" s="36" t="s">
        <v>148</v>
      </c>
      <c r="F347" s="36">
        <v>5</v>
      </c>
      <c r="G347" s="85" t="s">
        <v>198</v>
      </c>
      <c r="H347" s="36" t="s">
        <v>158</v>
      </c>
      <c r="I347" s="36">
        <v>1</v>
      </c>
      <c r="J347" s="85" t="s">
        <v>202</v>
      </c>
      <c r="K347" s="36" t="s">
        <v>203</v>
      </c>
      <c r="L347" s="36">
        <v>2</v>
      </c>
      <c r="M347" s="18"/>
      <c r="N347" s="13"/>
      <c r="O347" s="34"/>
      <c r="P347" s="34"/>
      <c r="Q347" s="24"/>
      <c r="S347" s="14"/>
      <c r="T347" s="13"/>
      <c r="AX347" s="14"/>
    </row>
    <row r="348" spans="1:50" ht="23.5" customHeight="1" thickTop="1" thickBot="1" x14ac:dyDescent="0.35">
      <c r="A348" s="63"/>
      <c r="B348" s="76"/>
      <c r="C348" s="25"/>
      <c r="D348" s="86"/>
      <c r="E348" s="36" t="s">
        <v>195</v>
      </c>
      <c r="F348" s="36">
        <v>1</v>
      </c>
      <c r="G348" s="86"/>
      <c r="H348" s="36" t="s">
        <v>159</v>
      </c>
      <c r="I348" s="36">
        <v>1</v>
      </c>
      <c r="J348" s="86"/>
      <c r="K348" s="36" t="s">
        <v>166</v>
      </c>
      <c r="L348" s="36">
        <v>1</v>
      </c>
      <c r="M348" s="18"/>
      <c r="O348" s="82" t="s">
        <v>205</v>
      </c>
      <c r="P348" s="82" t="s">
        <v>206</v>
      </c>
      <c r="Q348" s="83"/>
      <c r="R348" s="83"/>
      <c r="S348" s="14"/>
      <c r="Z348" s="23" t="s">
        <v>194</v>
      </c>
      <c r="AK348" s="23" t="s">
        <v>198</v>
      </c>
      <c r="AT348" s="23" t="s">
        <v>202</v>
      </c>
      <c r="AX348" s="14"/>
    </row>
    <row r="349" spans="1:50" ht="25" customHeight="1" thickTop="1" thickBot="1" x14ac:dyDescent="0.35">
      <c r="A349" s="63"/>
      <c r="B349" s="76"/>
      <c r="C349" s="25"/>
      <c r="D349" s="86"/>
      <c r="E349" s="36" t="s">
        <v>196</v>
      </c>
      <c r="F349" s="36">
        <v>1</v>
      </c>
      <c r="G349" s="86"/>
      <c r="H349" s="36" t="s">
        <v>160</v>
      </c>
      <c r="I349" s="36">
        <v>1</v>
      </c>
      <c r="J349" s="86"/>
      <c r="K349" s="36" t="s">
        <v>167</v>
      </c>
      <c r="L349" s="36">
        <v>1</v>
      </c>
      <c r="M349" s="18"/>
      <c r="O349" s="84"/>
      <c r="P349" s="2" t="s">
        <v>178</v>
      </c>
      <c r="Q349" s="2" t="s">
        <v>186</v>
      </c>
      <c r="R349" s="2" t="s">
        <v>190</v>
      </c>
      <c r="S349" s="14"/>
      <c r="U349" s="7" t="s">
        <v>146</v>
      </c>
      <c r="V349" s="7" t="s">
        <v>147</v>
      </c>
      <c r="W349" s="7" t="s">
        <v>148</v>
      </c>
      <c r="X349" s="7" t="s">
        <v>149</v>
      </c>
      <c r="Y349" s="7" t="s">
        <v>150</v>
      </c>
      <c r="Z349" s="8" t="s">
        <v>151</v>
      </c>
      <c r="AA349" s="7" t="s">
        <v>152</v>
      </c>
      <c r="AB349" s="7" t="s">
        <v>153</v>
      </c>
      <c r="AC349" s="7" t="s">
        <v>154</v>
      </c>
      <c r="AD349" s="7" t="s">
        <v>155</v>
      </c>
      <c r="AE349" s="8" t="s">
        <v>156</v>
      </c>
      <c r="AF349" s="7" t="s">
        <v>157</v>
      </c>
      <c r="AH349" s="7" t="s">
        <v>146</v>
      </c>
      <c r="AI349" s="7" t="s">
        <v>147</v>
      </c>
      <c r="AJ349" s="7" t="s">
        <v>158</v>
      </c>
      <c r="AK349" s="7" t="s">
        <v>159</v>
      </c>
      <c r="AL349" s="7" t="s">
        <v>160</v>
      </c>
      <c r="AM349" s="7" t="s">
        <v>161</v>
      </c>
      <c r="AN349" s="7" t="s">
        <v>162</v>
      </c>
      <c r="AO349" s="7" t="s">
        <v>163</v>
      </c>
      <c r="AP349" s="7" t="s">
        <v>164</v>
      </c>
      <c r="AR349" s="7" t="s">
        <v>146</v>
      </c>
      <c r="AS349" s="7" t="s">
        <v>147</v>
      </c>
      <c r="AT349" s="7" t="s">
        <v>165</v>
      </c>
      <c r="AU349" s="7" t="s">
        <v>166</v>
      </c>
      <c r="AV349" s="7" t="s">
        <v>167</v>
      </c>
      <c r="AW349" s="7" t="s">
        <v>168</v>
      </c>
      <c r="AX349" s="14"/>
    </row>
    <row r="350" spans="1:50" ht="23.5" customHeight="1" thickBot="1" x14ac:dyDescent="0.35">
      <c r="A350" s="63"/>
      <c r="B350" s="76"/>
      <c r="C350" s="25"/>
      <c r="D350" s="86"/>
      <c r="E350" s="1" t="s">
        <v>151</v>
      </c>
      <c r="F350" s="36">
        <v>1</v>
      </c>
      <c r="G350" s="86"/>
      <c r="H350" s="36" t="s">
        <v>199</v>
      </c>
      <c r="I350" s="36">
        <v>1</v>
      </c>
      <c r="J350" s="87"/>
      <c r="K350" s="38" t="s">
        <v>168</v>
      </c>
      <c r="L350" s="38">
        <v>1</v>
      </c>
      <c r="M350" s="18"/>
      <c r="O350" s="1">
        <v>1</v>
      </c>
      <c r="P350" s="1">
        <v>1</v>
      </c>
      <c r="Q350" s="1">
        <v>1</v>
      </c>
      <c r="R350" s="1">
        <v>0</v>
      </c>
      <c r="S350" s="14"/>
      <c r="U350" s="9" t="s">
        <v>171</v>
      </c>
      <c r="V350" s="10" t="s">
        <v>172</v>
      </c>
      <c r="W350" s="9">
        <v>7.75</v>
      </c>
      <c r="X350" s="9">
        <v>0.7</v>
      </c>
      <c r="Y350" s="9">
        <v>1.17</v>
      </c>
      <c r="Z350" s="9">
        <v>0.68</v>
      </c>
      <c r="AA350" s="9">
        <v>2.5</v>
      </c>
      <c r="AB350" s="9">
        <v>0.83</v>
      </c>
      <c r="AC350" s="9">
        <v>0.97</v>
      </c>
      <c r="AD350" s="9">
        <v>1.05</v>
      </c>
      <c r="AE350" s="9">
        <v>1.1000000000000001</v>
      </c>
      <c r="AF350" s="9">
        <v>1.58</v>
      </c>
      <c r="AH350" s="9" t="s">
        <v>173</v>
      </c>
      <c r="AI350" s="10" t="s">
        <v>174</v>
      </c>
      <c r="AJ350" s="9">
        <v>6.27</v>
      </c>
      <c r="AK350" s="9">
        <v>6.62</v>
      </c>
      <c r="AL350" s="9">
        <v>3</v>
      </c>
      <c r="AM350" s="9">
        <v>6.82</v>
      </c>
      <c r="AN350" s="9">
        <v>1.62</v>
      </c>
      <c r="AO350" s="9">
        <v>7.27</v>
      </c>
      <c r="AP350" s="9">
        <v>5.27</v>
      </c>
      <c r="AR350" s="9" t="s">
        <v>175</v>
      </c>
      <c r="AS350" s="10" t="s">
        <v>176</v>
      </c>
      <c r="AT350" s="9">
        <v>3.13</v>
      </c>
      <c r="AU350" s="9">
        <v>1.1299999999999999</v>
      </c>
      <c r="AV350" s="9">
        <v>2.8</v>
      </c>
      <c r="AW350" s="9">
        <v>2</v>
      </c>
      <c r="AX350" s="14"/>
    </row>
    <row r="351" spans="1:50" ht="24" customHeight="1" thickTop="1" thickBot="1" x14ac:dyDescent="0.35">
      <c r="A351" s="63"/>
      <c r="B351" s="76"/>
      <c r="C351" s="25"/>
      <c r="D351" s="86"/>
      <c r="E351" s="36" t="s">
        <v>152</v>
      </c>
      <c r="F351" s="36">
        <v>1</v>
      </c>
      <c r="G351" s="86"/>
      <c r="H351" s="36" t="s">
        <v>200</v>
      </c>
      <c r="I351" s="36">
        <v>1</v>
      </c>
      <c r="J351" s="39"/>
      <c r="K351" s="39"/>
      <c r="L351" s="39"/>
      <c r="M351" s="18"/>
      <c r="O351" s="1">
        <v>2</v>
      </c>
      <c r="P351" s="1">
        <v>0</v>
      </c>
      <c r="Q351" s="1">
        <v>1</v>
      </c>
      <c r="R351" s="1">
        <v>0</v>
      </c>
      <c r="S351" s="14"/>
      <c r="U351" s="9" t="s">
        <v>179</v>
      </c>
      <c r="V351" s="10" t="s">
        <v>180</v>
      </c>
      <c r="W351" s="9">
        <v>8.41</v>
      </c>
      <c r="X351" s="9">
        <v>0.9</v>
      </c>
      <c r="Y351" s="9">
        <v>1.01</v>
      </c>
      <c r="Z351" s="9">
        <v>0.61</v>
      </c>
      <c r="AA351" s="9">
        <v>2.68</v>
      </c>
      <c r="AB351" s="9">
        <v>0.87</v>
      </c>
      <c r="AC351" s="9">
        <v>0.99</v>
      </c>
      <c r="AD351" s="9">
        <v>1.1200000000000001</v>
      </c>
      <c r="AE351" s="9">
        <v>1.3</v>
      </c>
      <c r="AF351" s="9">
        <v>2.37</v>
      </c>
      <c r="AH351" s="11" t="s">
        <v>181</v>
      </c>
      <c r="AI351" s="12" t="s">
        <v>182</v>
      </c>
      <c r="AJ351" s="11">
        <v>6.85</v>
      </c>
      <c r="AK351" s="11">
        <v>7.32</v>
      </c>
      <c r="AL351" s="11">
        <v>3</v>
      </c>
      <c r="AM351" s="11">
        <v>7.72</v>
      </c>
      <c r="AN351" s="11">
        <v>2.3199999999999998</v>
      </c>
      <c r="AO351" s="11">
        <v>8.7200000000000006</v>
      </c>
      <c r="AP351" s="11">
        <v>5.77</v>
      </c>
      <c r="AR351" s="11" t="s">
        <v>183</v>
      </c>
      <c r="AS351" s="12" t="s">
        <v>184</v>
      </c>
      <c r="AT351" s="11">
        <v>2.79</v>
      </c>
      <c r="AU351" s="11">
        <v>1.03</v>
      </c>
      <c r="AV351" s="11">
        <v>2.6</v>
      </c>
      <c r="AW351" s="11">
        <v>2</v>
      </c>
      <c r="AX351" s="14"/>
    </row>
    <row r="352" spans="1:50" ht="23.5" customHeight="1" thickTop="1" thickBot="1" x14ac:dyDescent="0.35">
      <c r="A352" s="63"/>
      <c r="B352" s="76"/>
      <c r="C352" s="25"/>
      <c r="D352" s="86"/>
      <c r="E352" s="36" t="s">
        <v>153</v>
      </c>
      <c r="F352" s="36">
        <v>1</v>
      </c>
      <c r="G352" s="86"/>
      <c r="H352" s="36" t="s">
        <v>201</v>
      </c>
      <c r="I352" s="36">
        <v>1</v>
      </c>
      <c r="J352" s="25"/>
      <c r="K352" s="25"/>
      <c r="L352" s="25"/>
      <c r="M352" s="18"/>
      <c r="O352" s="4">
        <v>3</v>
      </c>
      <c r="P352" s="4">
        <v>0</v>
      </c>
      <c r="Q352" s="4">
        <v>2</v>
      </c>
      <c r="R352" s="4">
        <v>2</v>
      </c>
      <c r="S352" s="14"/>
      <c r="U352" s="11" t="s">
        <v>187</v>
      </c>
      <c r="V352" s="12" t="s">
        <v>188</v>
      </c>
      <c r="W352" s="11">
        <v>9.25</v>
      </c>
      <c r="X352" s="11">
        <v>0.65</v>
      </c>
      <c r="Y352" s="11">
        <v>1.2</v>
      </c>
      <c r="Z352" s="11">
        <v>0.72</v>
      </c>
      <c r="AA352" s="11">
        <v>2.5</v>
      </c>
      <c r="AB352" s="11">
        <v>0.81</v>
      </c>
      <c r="AC352" s="11">
        <v>0.95</v>
      </c>
      <c r="AD352" s="11">
        <v>1</v>
      </c>
      <c r="AE352" s="11">
        <v>1.4</v>
      </c>
      <c r="AF352" s="11">
        <v>1.64</v>
      </c>
      <c r="AX352" s="14"/>
    </row>
    <row r="353" spans="1:50" ht="23.5" customHeight="1" thickTop="1" thickBot="1" x14ac:dyDescent="0.35">
      <c r="A353" s="63"/>
      <c r="B353" s="76"/>
      <c r="C353" s="25"/>
      <c r="D353" s="86"/>
      <c r="E353" s="1" t="s">
        <v>156</v>
      </c>
      <c r="F353" s="36">
        <v>1</v>
      </c>
      <c r="G353" s="87"/>
      <c r="H353" s="38" t="s">
        <v>164</v>
      </c>
      <c r="I353" s="38">
        <v>1</v>
      </c>
      <c r="J353" s="36"/>
      <c r="K353" s="25"/>
      <c r="L353" s="25"/>
      <c r="M353" s="18"/>
      <c r="O353" s="1"/>
      <c r="P353" s="1"/>
      <c r="Q353" s="1"/>
      <c r="R353" s="1"/>
      <c r="S353" s="14"/>
      <c r="U353" s="9"/>
      <c r="V353" s="10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X353" s="14"/>
    </row>
    <row r="354" spans="1:50" ht="23.5" customHeight="1" thickTop="1" thickBot="1" x14ac:dyDescent="0.35">
      <c r="A354" s="63"/>
      <c r="B354" s="76"/>
      <c r="C354" s="25"/>
      <c r="D354" s="87"/>
      <c r="E354" s="38" t="s">
        <v>197</v>
      </c>
      <c r="F354" s="38">
        <v>1</v>
      </c>
      <c r="G354" s="39"/>
      <c r="H354" s="39"/>
      <c r="I354" s="39"/>
      <c r="J354" s="36"/>
      <c r="K354" s="36"/>
      <c r="L354" s="25"/>
      <c r="M354" s="18"/>
      <c r="S354" s="14"/>
      <c r="U354" s="9"/>
      <c r="V354" s="10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X354" s="14"/>
    </row>
    <row r="355" spans="1:50" ht="23" customHeight="1" thickTop="1" x14ac:dyDescent="0.3">
      <c r="A355" s="63"/>
      <c r="B355" s="76"/>
      <c r="C355" s="25"/>
      <c r="D355" s="39"/>
      <c r="E355" s="39"/>
      <c r="F355" s="39"/>
      <c r="G355" s="25"/>
      <c r="H355" s="25"/>
      <c r="I355" s="25"/>
      <c r="J355" s="25"/>
      <c r="K355" s="25"/>
      <c r="L355" s="25"/>
      <c r="M355" s="18"/>
      <c r="O355" s="1"/>
      <c r="P355" s="1"/>
      <c r="Q355" s="1"/>
      <c r="R355" s="1"/>
      <c r="S355" s="14"/>
      <c r="AX355" s="14"/>
    </row>
    <row r="356" spans="1:50" ht="23" customHeight="1" thickBot="1" x14ac:dyDescent="0.35">
      <c r="A356" s="63"/>
      <c r="B356" s="81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19"/>
      <c r="N356" s="15"/>
      <c r="O356" s="15"/>
      <c r="P356" s="15"/>
      <c r="Q356" s="15"/>
      <c r="R356" s="15"/>
      <c r="S356" s="16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6"/>
    </row>
    <row r="357" spans="1:50" ht="15" customHeight="1" thickTop="1" thickBot="1" x14ac:dyDescent="0.35">
      <c r="A357" s="63"/>
      <c r="B357" s="89" t="s">
        <v>54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17"/>
      <c r="N357" s="24"/>
      <c r="O357" s="24"/>
      <c r="P357" s="24"/>
      <c r="Q357" s="24"/>
      <c r="R357" s="24"/>
      <c r="S357" s="1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17"/>
    </row>
    <row r="358" spans="1:50" ht="31" customHeight="1" thickTop="1" thickBot="1" x14ac:dyDescent="0.35">
      <c r="A358" s="63"/>
      <c r="B358" s="76"/>
      <c r="C358" s="24"/>
      <c r="D358" s="27" t="s">
        <v>191</v>
      </c>
      <c r="E358" s="27" t="s">
        <v>192</v>
      </c>
      <c r="F358" s="27" t="s">
        <v>193</v>
      </c>
      <c r="G358" s="27" t="s">
        <v>191</v>
      </c>
      <c r="H358" s="27" t="s">
        <v>192</v>
      </c>
      <c r="I358" s="27" t="s">
        <v>193</v>
      </c>
      <c r="J358" s="27" t="s">
        <v>191</v>
      </c>
      <c r="K358" s="27" t="s">
        <v>192</v>
      </c>
      <c r="L358" s="27" t="s">
        <v>193</v>
      </c>
      <c r="M358" s="17"/>
      <c r="N358" s="24"/>
      <c r="O358" s="24"/>
      <c r="P358" s="24"/>
      <c r="Q358" s="24"/>
      <c r="R358" s="24"/>
      <c r="S358" s="1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17"/>
    </row>
    <row r="359" spans="1:50" ht="23.5" customHeight="1" thickTop="1" thickBot="1" x14ac:dyDescent="0.35">
      <c r="A359" s="63"/>
      <c r="B359" s="76"/>
      <c r="C359" s="33"/>
      <c r="D359" s="88" t="s">
        <v>194</v>
      </c>
      <c r="E359" s="36" t="s">
        <v>148</v>
      </c>
      <c r="F359" s="36">
        <v>5</v>
      </c>
      <c r="G359" s="85" t="s">
        <v>198</v>
      </c>
      <c r="H359" s="36" t="s">
        <v>158</v>
      </c>
      <c r="I359" s="36">
        <v>1</v>
      </c>
      <c r="J359" s="85" t="s">
        <v>202</v>
      </c>
      <c r="K359" s="36" t="s">
        <v>203</v>
      </c>
      <c r="L359" s="36">
        <v>1</v>
      </c>
      <c r="M359" s="18"/>
      <c r="N359" s="13"/>
      <c r="O359" s="34"/>
      <c r="P359" s="34"/>
      <c r="Q359" s="24"/>
      <c r="S359" s="14"/>
      <c r="T359" s="13"/>
      <c r="AX359" s="14"/>
    </row>
    <row r="360" spans="1:50" ht="23.5" customHeight="1" thickTop="1" thickBot="1" x14ac:dyDescent="0.35">
      <c r="A360" s="63"/>
      <c r="B360" s="76"/>
      <c r="C360" s="25"/>
      <c r="D360" s="86"/>
      <c r="E360" s="36" t="s">
        <v>195</v>
      </c>
      <c r="F360" s="36">
        <v>2</v>
      </c>
      <c r="G360" s="86"/>
      <c r="H360" s="36" t="s">
        <v>159</v>
      </c>
      <c r="I360" s="36">
        <v>1</v>
      </c>
      <c r="J360" s="86"/>
      <c r="K360" s="36" t="s">
        <v>166</v>
      </c>
      <c r="L360" s="36">
        <v>1</v>
      </c>
      <c r="M360" s="18"/>
      <c r="O360" s="82" t="s">
        <v>205</v>
      </c>
      <c r="P360" s="82" t="s">
        <v>206</v>
      </c>
      <c r="Q360" s="83"/>
      <c r="R360" s="83"/>
      <c r="S360" s="14"/>
      <c r="Z360" s="23" t="s">
        <v>194</v>
      </c>
      <c r="AK360" s="23" t="s">
        <v>198</v>
      </c>
      <c r="AT360" s="23" t="s">
        <v>202</v>
      </c>
      <c r="AX360" s="14"/>
    </row>
    <row r="361" spans="1:50" ht="25" customHeight="1" thickTop="1" thickBot="1" x14ac:dyDescent="0.35">
      <c r="A361" s="63"/>
      <c r="B361" s="76"/>
      <c r="C361" s="25"/>
      <c r="D361" s="86"/>
      <c r="E361" s="36" t="s">
        <v>196</v>
      </c>
      <c r="F361" s="36">
        <v>2</v>
      </c>
      <c r="G361" s="86"/>
      <c r="H361" s="36" t="s">
        <v>160</v>
      </c>
      <c r="I361" s="36">
        <v>1</v>
      </c>
      <c r="J361" s="86"/>
      <c r="K361" s="36" t="s">
        <v>167</v>
      </c>
      <c r="L361" s="36">
        <v>1</v>
      </c>
      <c r="M361" s="18"/>
      <c r="O361" s="84"/>
      <c r="P361" s="2" t="s">
        <v>178</v>
      </c>
      <c r="Q361" s="2" t="s">
        <v>186</v>
      </c>
      <c r="R361" s="2" t="s">
        <v>190</v>
      </c>
      <c r="S361" s="14"/>
      <c r="U361" s="7" t="s">
        <v>146</v>
      </c>
      <c r="V361" s="7" t="s">
        <v>147</v>
      </c>
      <c r="W361" s="7" t="s">
        <v>148</v>
      </c>
      <c r="X361" s="7" t="s">
        <v>149</v>
      </c>
      <c r="Y361" s="7" t="s">
        <v>150</v>
      </c>
      <c r="Z361" s="8" t="s">
        <v>151</v>
      </c>
      <c r="AA361" s="7" t="s">
        <v>152</v>
      </c>
      <c r="AB361" s="7" t="s">
        <v>153</v>
      </c>
      <c r="AC361" s="7" t="s">
        <v>154</v>
      </c>
      <c r="AD361" s="7" t="s">
        <v>155</v>
      </c>
      <c r="AE361" s="8" t="s">
        <v>156</v>
      </c>
      <c r="AF361" s="7" t="s">
        <v>157</v>
      </c>
      <c r="AH361" s="7" t="s">
        <v>146</v>
      </c>
      <c r="AI361" s="7" t="s">
        <v>147</v>
      </c>
      <c r="AJ361" s="7" t="s">
        <v>158</v>
      </c>
      <c r="AK361" s="7" t="s">
        <v>159</v>
      </c>
      <c r="AL361" s="7" t="s">
        <v>160</v>
      </c>
      <c r="AM361" s="7" t="s">
        <v>161</v>
      </c>
      <c r="AN361" s="7" t="s">
        <v>162</v>
      </c>
      <c r="AO361" s="7" t="s">
        <v>163</v>
      </c>
      <c r="AP361" s="7" t="s">
        <v>164</v>
      </c>
      <c r="AR361" s="7" t="s">
        <v>146</v>
      </c>
      <c r="AS361" s="7" t="s">
        <v>147</v>
      </c>
      <c r="AT361" s="7" t="s">
        <v>165</v>
      </c>
      <c r="AU361" s="7" t="s">
        <v>166</v>
      </c>
      <c r="AV361" s="7" t="s">
        <v>167</v>
      </c>
      <c r="AW361" s="7" t="s">
        <v>168</v>
      </c>
      <c r="AX361" s="14"/>
    </row>
    <row r="362" spans="1:50" ht="23.5" customHeight="1" thickBot="1" x14ac:dyDescent="0.35">
      <c r="A362" s="63"/>
      <c r="B362" s="76"/>
      <c r="C362" s="25"/>
      <c r="D362" s="86"/>
      <c r="E362" s="1" t="s">
        <v>151</v>
      </c>
      <c r="F362" s="36">
        <v>1</v>
      </c>
      <c r="G362" s="86"/>
      <c r="H362" s="36" t="s">
        <v>199</v>
      </c>
      <c r="I362" s="36">
        <v>1</v>
      </c>
      <c r="J362" s="87"/>
      <c r="K362" s="38" t="s">
        <v>168</v>
      </c>
      <c r="L362" s="38">
        <v>1</v>
      </c>
      <c r="M362" s="18"/>
      <c r="O362" s="1">
        <v>1</v>
      </c>
      <c r="P362" s="1">
        <v>1</v>
      </c>
      <c r="Q362" s="1">
        <v>0</v>
      </c>
      <c r="R362" s="1">
        <v>0</v>
      </c>
      <c r="S362" s="14"/>
      <c r="U362" s="9" t="s">
        <v>171</v>
      </c>
      <c r="V362" s="10" t="s">
        <v>172</v>
      </c>
      <c r="W362" s="9">
        <v>7.83</v>
      </c>
      <c r="X362" s="9">
        <v>0.7</v>
      </c>
      <c r="Y362" s="9">
        <v>1.1299999999999999</v>
      </c>
      <c r="Z362" s="9">
        <v>0.56999999999999995</v>
      </c>
      <c r="AA362" s="9">
        <v>2.85</v>
      </c>
      <c r="AB362" s="9">
        <v>0.85</v>
      </c>
      <c r="AC362" s="9">
        <v>0.97</v>
      </c>
      <c r="AD362" s="9">
        <v>1.2</v>
      </c>
      <c r="AE362" s="9">
        <v>1.08</v>
      </c>
      <c r="AF362" s="9">
        <v>2.0099999999999998</v>
      </c>
      <c r="AH362" s="9" t="s">
        <v>173</v>
      </c>
      <c r="AI362" s="10" t="s">
        <v>174</v>
      </c>
      <c r="AJ362" s="9">
        <v>6.41</v>
      </c>
      <c r="AK362" s="9">
        <v>6.71</v>
      </c>
      <c r="AL362" s="9">
        <v>3</v>
      </c>
      <c r="AM362" s="9">
        <v>6.38</v>
      </c>
      <c r="AN362" s="9">
        <v>1.96</v>
      </c>
      <c r="AO362" s="9">
        <v>7.41</v>
      </c>
      <c r="AP362" s="9">
        <v>5.31</v>
      </c>
      <c r="AR362" s="9" t="s">
        <v>175</v>
      </c>
      <c r="AS362" s="10" t="s">
        <v>176</v>
      </c>
      <c r="AT362" s="9">
        <v>2.94</v>
      </c>
      <c r="AU362" s="9">
        <v>1.24</v>
      </c>
      <c r="AV362" s="9">
        <v>2.4500000000000002</v>
      </c>
      <c r="AW362" s="9">
        <v>2</v>
      </c>
      <c r="AX362" s="14"/>
    </row>
    <row r="363" spans="1:50" ht="24" customHeight="1" thickTop="1" thickBot="1" x14ac:dyDescent="0.35">
      <c r="A363" s="63"/>
      <c r="B363" s="76"/>
      <c r="C363" s="25"/>
      <c r="D363" s="86"/>
      <c r="E363" s="36" t="s">
        <v>152</v>
      </c>
      <c r="F363" s="36">
        <v>1</v>
      </c>
      <c r="G363" s="86"/>
      <c r="H363" s="36" t="s">
        <v>200</v>
      </c>
      <c r="I363" s="36">
        <v>1</v>
      </c>
      <c r="J363" s="39"/>
      <c r="K363" s="39"/>
      <c r="L363" s="39"/>
      <c r="M363" s="18"/>
      <c r="O363" s="1">
        <v>2</v>
      </c>
      <c r="P363" s="1">
        <v>0</v>
      </c>
      <c r="Q363" s="1">
        <v>1</v>
      </c>
      <c r="R363" s="1">
        <v>0</v>
      </c>
      <c r="S363" s="14"/>
      <c r="U363" s="9" t="s">
        <v>179</v>
      </c>
      <c r="V363" s="10" t="s">
        <v>180</v>
      </c>
      <c r="W363" s="9">
        <v>8.14</v>
      </c>
      <c r="X363" s="9">
        <v>0.82</v>
      </c>
      <c r="Y363" s="9">
        <v>1.07</v>
      </c>
      <c r="Z363" s="9">
        <v>0.68</v>
      </c>
      <c r="AA363" s="9">
        <v>2.5</v>
      </c>
      <c r="AB363" s="9">
        <v>0.89</v>
      </c>
      <c r="AC363" s="9">
        <v>0.92</v>
      </c>
      <c r="AD363" s="9">
        <v>1.03</v>
      </c>
      <c r="AE363" s="9">
        <v>1.1499999999999999</v>
      </c>
      <c r="AF363" s="9">
        <v>1.64</v>
      </c>
      <c r="AH363" s="11" t="s">
        <v>181</v>
      </c>
      <c r="AI363" s="12" t="s">
        <v>182</v>
      </c>
      <c r="AJ363" s="11">
        <v>6.74</v>
      </c>
      <c r="AK363" s="11">
        <v>7.16</v>
      </c>
      <c r="AL363" s="11">
        <v>3</v>
      </c>
      <c r="AM363" s="11">
        <v>7.42</v>
      </c>
      <c r="AN363" s="11">
        <v>2.2599999999999998</v>
      </c>
      <c r="AO363" s="11">
        <v>8.41</v>
      </c>
      <c r="AP363" s="11">
        <v>5.61</v>
      </c>
      <c r="AR363" s="11" t="s">
        <v>183</v>
      </c>
      <c r="AS363" s="12" t="s">
        <v>184</v>
      </c>
      <c r="AT363" s="11">
        <v>3.42</v>
      </c>
      <c r="AU363" s="11">
        <v>1.06</v>
      </c>
      <c r="AV363" s="11">
        <v>2.12</v>
      </c>
      <c r="AW363" s="11">
        <v>2</v>
      </c>
      <c r="AX363" s="14"/>
    </row>
    <row r="364" spans="1:50" ht="23.5" customHeight="1" thickTop="1" thickBot="1" x14ac:dyDescent="0.35">
      <c r="A364" s="63"/>
      <c r="B364" s="76"/>
      <c r="C364" s="25"/>
      <c r="D364" s="86"/>
      <c r="E364" s="36" t="s">
        <v>153</v>
      </c>
      <c r="F364" s="36">
        <v>1</v>
      </c>
      <c r="G364" s="86"/>
      <c r="H364" s="36" t="s">
        <v>201</v>
      </c>
      <c r="I364" s="36">
        <v>1</v>
      </c>
      <c r="J364" s="25"/>
      <c r="K364" s="25"/>
      <c r="L364" s="25"/>
      <c r="M364" s="18"/>
      <c r="O364" s="1">
        <v>3</v>
      </c>
      <c r="P364" s="1">
        <v>0</v>
      </c>
      <c r="Q364" s="1">
        <v>1</v>
      </c>
      <c r="R364" s="1">
        <v>0</v>
      </c>
      <c r="S364" s="14"/>
      <c r="U364" s="11" t="s">
        <v>187</v>
      </c>
      <c r="V364" s="12" t="s">
        <v>188</v>
      </c>
      <c r="W364" s="11">
        <v>9.02</v>
      </c>
      <c r="X364" s="11">
        <v>0.67</v>
      </c>
      <c r="Y364" s="11">
        <v>1.25</v>
      </c>
      <c r="Z364" s="11">
        <v>0.75</v>
      </c>
      <c r="AA364" s="11">
        <v>2.69</v>
      </c>
      <c r="AB364" s="11">
        <v>0.82</v>
      </c>
      <c r="AC364" s="11">
        <v>1</v>
      </c>
      <c r="AD364" s="11">
        <v>1.1499999999999999</v>
      </c>
      <c r="AE364" s="11">
        <v>1.4</v>
      </c>
      <c r="AF364" s="11">
        <v>2.5</v>
      </c>
      <c r="AX364" s="14"/>
    </row>
    <row r="365" spans="1:50" ht="23.5" customHeight="1" thickTop="1" thickBot="1" x14ac:dyDescent="0.35">
      <c r="A365" s="63"/>
      <c r="B365" s="76"/>
      <c r="C365" s="25"/>
      <c r="D365" s="86"/>
      <c r="E365" s="1" t="s">
        <v>156</v>
      </c>
      <c r="F365" s="36">
        <v>1</v>
      </c>
      <c r="G365" s="87"/>
      <c r="H365" s="38" t="s">
        <v>164</v>
      </c>
      <c r="I365" s="38">
        <v>1</v>
      </c>
      <c r="J365" s="36"/>
      <c r="K365" s="25"/>
      <c r="L365" s="25"/>
      <c r="M365" s="18"/>
      <c r="O365" s="1">
        <v>4</v>
      </c>
      <c r="P365" s="1">
        <v>2</v>
      </c>
      <c r="Q365" s="1">
        <v>1</v>
      </c>
      <c r="R365" s="1">
        <v>0</v>
      </c>
      <c r="S365" s="14"/>
      <c r="U365" s="9"/>
      <c r="V365" s="10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X365" s="14"/>
    </row>
    <row r="366" spans="1:50" ht="23.5" customHeight="1" thickTop="1" thickBot="1" x14ac:dyDescent="0.35">
      <c r="A366" s="63"/>
      <c r="B366" s="76"/>
      <c r="C366" s="25"/>
      <c r="D366" s="87"/>
      <c r="E366" s="38" t="s">
        <v>197</v>
      </c>
      <c r="F366" s="38">
        <v>1</v>
      </c>
      <c r="G366" s="39"/>
      <c r="H366" s="39"/>
      <c r="I366" s="39"/>
      <c r="J366" s="36"/>
      <c r="K366" s="36"/>
      <c r="L366" s="25"/>
      <c r="M366" s="18"/>
      <c r="O366" s="4">
        <v>5</v>
      </c>
      <c r="P366" s="4">
        <v>1</v>
      </c>
      <c r="Q366" s="4">
        <v>0</v>
      </c>
      <c r="R366" s="4">
        <v>1</v>
      </c>
      <c r="S366" s="14"/>
      <c r="U366" s="9"/>
      <c r="V366" s="10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X366" s="14"/>
    </row>
    <row r="367" spans="1:50" ht="23" customHeight="1" thickTop="1" x14ac:dyDescent="0.3">
      <c r="A367" s="63"/>
      <c r="B367" s="76"/>
      <c r="C367" s="25"/>
      <c r="D367" s="39"/>
      <c r="E367" s="39"/>
      <c r="F367" s="39"/>
      <c r="G367" s="25"/>
      <c r="H367" s="25"/>
      <c r="I367" s="25"/>
      <c r="J367" s="25"/>
      <c r="K367" s="25"/>
      <c r="L367" s="25"/>
      <c r="M367" s="18"/>
      <c r="O367" s="1"/>
      <c r="P367" s="1"/>
      <c r="Q367" s="1"/>
      <c r="R367" s="1"/>
      <c r="S367" s="14"/>
      <c r="AX367" s="14"/>
    </row>
    <row r="368" spans="1:50" ht="23" customHeight="1" thickBot="1" x14ac:dyDescent="0.35">
      <c r="A368" s="63"/>
      <c r="B368" s="81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19"/>
      <c r="N368" s="15"/>
      <c r="O368" s="15"/>
      <c r="P368" s="15"/>
      <c r="Q368" s="15"/>
      <c r="R368" s="15"/>
      <c r="S368" s="16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6"/>
    </row>
    <row r="369" spans="1:50" ht="15" customHeight="1" thickTop="1" thickBot="1" x14ac:dyDescent="0.35">
      <c r="A369" s="63"/>
      <c r="B369" s="89" t="s">
        <v>55</v>
      </c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17"/>
      <c r="N369" s="24"/>
      <c r="O369" s="24"/>
      <c r="P369" s="24"/>
      <c r="Q369" s="24"/>
      <c r="R369" s="24"/>
      <c r="S369" s="1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17"/>
    </row>
    <row r="370" spans="1:50" ht="31" customHeight="1" thickTop="1" thickBot="1" x14ac:dyDescent="0.35">
      <c r="A370" s="63"/>
      <c r="B370" s="76"/>
      <c r="C370" s="24"/>
      <c r="D370" s="27" t="s">
        <v>191</v>
      </c>
      <c r="E370" s="27" t="s">
        <v>192</v>
      </c>
      <c r="F370" s="27" t="s">
        <v>193</v>
      </c>
      <c r="G370" s="27" t="s">
        <v>191</v>
      </c>
      <c r="H370" s="27" t="s">
        <v>192</v>
      </c>
      <c r="I370" s="27" t="s">
        <v>193</v>
      </c>
      <c r="J370" s="27" t="s">
        <v>191</v>
      </c>
      <c r="K370" s="27" t="s">
        <v>192</v>
      </c>
      <c r="L370" s="27" t="s">
        <v>193</v>
      </c>
      <c r="M370" s="17"/>
      <c r="N370" s="24"/>
      <c r="O370" s="24"/>
      <c r="P370" s="24"/>
      <c r="Q370" s="24"/>
      <c r="R370" s="24"/>
      <c r="S370" s="1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17"/>
    </row>
    <row r="371" spans="1:50" ht="23.5" customHeight="1" thickTop="1" thickBot="1" x14ac:dyDescent="0.35">
      <c r="A371" s="63"/>
      <c r="B371" s="76"/>
      <c r="C371" s="33"/>
      <c r="D371" s="35" t="s">
        <v>194</v>
      </c>
      <c r="E371" s="36" t="s">
        <v>148</v>
      </c>
      <c r="F371" s="36">
        <v>5</v>
      </c>
      <c r="G371" s="1" t="s">
        <v>198</v>
      </c>
      <c r="H371" s="36" t="s">
        <v>158</v>
      </c>
      <c r="I371" s="36">
        <v>1</v>
      </c>
      <c r="J371" s="1" t="s">
        <v>202</v>
      </c>
      <c r="K371" s="36" t="s">
        <v>203</v>
      </c>
      <c r="L371" s="36">
        <v>1</v>
      </c>
      <c r="M371" s="18"/>
      <c r="N371" s="13"/>
      <c r="O371" s="34"/>
      <c r="P371" s="34"/>
      <c r="Q371" s="34"/>
      <c r="S371" s="14"/>
      <c r="T371" s="13"/>
      <c r="AX371" s="14"/>
    </row>
    <row r="372" spans="1:50" ht="31" customHeight="1" thickTop="1" thickBot="1" x14ac:dyDescent="0.35">
      <c r="A372" s="63"/>
      <c r="B372" s="76"/>
      <c r="C372" s="25"/>
      <c r="D372" s="1"/>
      <c r="E372" s="36" t="s">
        <v>195</v>
      </c>
      <c r="F372" s="36">
        <v>2</v>
      </c>
      <c r="G372" s="1"/>
      <c r="H372" s="36" t="s">
        <v>159</v>
      </c>
      <c r="I372" s="36">
        <v>1</v>
      </c>
      <c r="J372" s="1"/>
      <c r="K372" s="36" t="s">
        <v>166</v>
      </c>
      <c r="L372" s="36">
        <v>1</v>
      </c>
      <c r="M372" s="18"/>
      <c r="O372" s="20" t="s">
        <v>205</v>
      </c>
      <c r="P372" s="22" t="s">
        <v>206</v>
      </c>
      <c r="Q372" s="22"/>
      <c r="R372" s="22"/>
      <c r="S372" s="14"/>
      <c r="Z372" s="23" t="s">
        <v>194</v>
      </c>
      <c r="AK372" s="23" t="s">
        <v>198</v>
      </c>
      <c r="AT372" s="23" t="s">
        <v>202</v>
      </c>
      <c r="AX372" s="14"/>
    </row>
    <row r="373" spans="1:50" ht="25" customHeight="1" thickTop="1" thickBot="1" x14ac:dyDescent="0.35">
      <c r="A373" s="63"/>
      <c r="B373" s="76"/>
      <c r="C373" s="25"/>
      <c r="D373" s="1"/>
      <c r="E373" s="36" t="s">
        <v>196</v>
      </c>
      <c r="F373" s="36">
        <v>2</v>
      </c>
      <c r="G373" s="1"/>
      <c r="H373" s="36" t="s">
        <v>160</v>
      </c>
      <c r="I373" s="36">
        <v>1</v>
      </c>
      <c r="J373" s="1"/>
      <c r="K373" s="36" t="s">
        <v>167</v>
      </c>
      <c r="L373" s="36">
        <v>1</v>
      </c>
      <c r="M373" s="18"/>
      <c r="O373" s="21"/>
      <c r="P373" s="2" t="s">
        <v>178</v>
      </c>
      <c r="Q373" s="2" t="s">
        <v>186</v>
      </c>
      <c r="R373" s="2" t="s">
        <v>190</v>
      </c>
      <c r="S373" s="14"/>
      <c r="U373" s="7" t="s">
        <v>146</v>
      </c>
      <c r="V373" s="7" t="s">
        <v>147</v>
      </c>
      <c r="W373" s="7" t="s">
        <v>148</v>
      </c>
      <c r="X373" s="7" t="s">
        <v>149</v>
      </c>
      <c r="Y373" s="7" t="s">
        <v>150</v>
      </c>
      <c r="Z373" s="8" t="s">
        <v>151</v>
      </c>
      <c r="AA373" s="7" t="s">
        <v>152</v>
      </c>
      <c r="AB373" s="7" t="s">
        <v>153</v>
      </c>
      <c r="AC373" s="7" t="s">
        <v>154</v>
      </c>
      <c r="AD373" s="7" t="s">
        <v>155</v>
      </c>
      <c r="AE373" s="8" t="s">
        <v>156</v>
      </c>
      <c r="AF373" s="7" t="s">
        <v>157</v>
      </c>
      <c r="AH373" s="7" t="s">
        <v>146</v>
      </c>
      <c r="AI373" s="7" t="s">
        <v>147</v>
      </c>
      <c r="AJ373" s="7" t="s">
        <v>158</v>
      </c>
      <c r="AK373" s="7" t="s">
        <v>159</v>
      </c>
      <c r="AL373" s="7" t="s">
        <v>160</v>
      </c>
      <c r="AM373" s="7" t="s">
        <v>161</v>
      </c>
      <c r="AN373" s="7" t="s">
        <v>162</v>
      </c>
      <c r="AO373" s="7" t="s">
        <v>163</v>
      </c>
      <c r="AP373" s="7" t="s">
        <v>164</v>
      </c>
      <c r="AR373" s="7" t="s">
        <v>146</v>
      </c>
      <c r="AS373" s="7" t="s">
        <v>147</v>
      </c>
      <c r="AT373" s="7" t="s">
        <v>165</v>
      </c>
      <c r="AU373" s="7" t="s">
        <v>166</v>
      </c>
      <c r="AV373" s="7" t="s">
        <v>167</v>
      </c>
      <c r="AW373" s="7" t="s">
        <v>168</v>
      </c>
      <c r="AX373" s="14"/>
    </row>
    <row r="374" spans="1:50" ht="23.5" customHeight="1" thickBot="1" x14ac:dyDescent="0.35">
      <c r="A374" s="63"/>
      <c r="B374" s="76"/>
      <c r="C374" s="25"/>
      <c r="D374" s="1"/>
      <c r="E374" s="1" t="s">
        <v>151</v>
      </c>
      <c r="F374" s="36">
        <v>1</v>
      </c>
      <c r="G374" s="1"/>
      <c r="H374" s="36" t="s">
        <v>199</v>
      </c>
      <c r="I374" s="36">
        <v>1</v>
      </c>
      <c r="J374" s="37"/>
      <c r="K374" s="38" t="s">
        <v>168</v>
      </c>
      <c r="L374" s="38">
        <v>1</v>
      </c>
      <c r="M374" s="18"/>
      <c r="O374" s="1">
        <v>1</v>
      </c>
      <c r="P374" s="1">
        <v>1</v>
      </c>
      <c r="Q374" s="1">
        <v>0</v>
      </c>
      <c r="R374" s="1">
        <v>0</v>
      </c>
      <c r="S374" s="14"/>
      <c r="U374" s="9" t="s">
        <v>171</v>
      </c>
      <c r="V374" s="10" t="s">
        <v>172</v>
      </c>
      <c r="W374" s="9">
        <v>7.09</v>
      </c>
      <c r="X374" s="9">
        <v>0.79</v>
      </c>
      <c r="Y374" s="9">
        <v>1.1299999999999999</v>
      </c>
      <c r="Z374" s="9">
        <v>0.56999999999999995</v>
      </c>
      <c r="AA374" s="9">
        <v>2.89</v>
      </c>
      <c r="AB374" s="9">
        <v>0.85</v>
      </c>
      <c r="AC374" s="9">
        <v>0.93</v>
      </c>
      <c r="AD374" s="9">
        <v>1.2</v>
      </c>
      <c r="AE374" s="9">
        <v>1.02</v>
      </c>
      <c r="AF374" s="9">
        <v>2.0099999999999998</v>
      </c>
      <c r="AH374" s="9" t="s">
        <v>173</v>
      </c>
      <c r="AI374" s="10" t="s">
        <v>174</v>
      </c>
      <c r="AJ374" s="9">
        <v>6.93</v>
      </c>
      <c r="AK374" s="9">
        <v>7.47</v>
      </c>
      <c r="AL374" s="9">
        <v>3</v>
      </c>
      <c r="AM374" s="9">
        <v>7.88</v>
      </c>
      <c r="AN374" s="9">
        <v>2.4700000000000002</v>
      </c>
      <c r="AO374" s="9">
        <v>8.93</v>
      </c>
      <c r="AP374" s="9">
        <v>5.93</v>
      </c>
      <c r="AR374" s="9" t="s">
        <v>175</v>
      </c>
      <c r="AS374" s="10" t="s">
        <v>176</v>
      </c>
      <c r="AT374" s="9">
        <v>2.67</v>
      </c>
      <c r="AU374" s="9">
        <v>1.18</v>
      </c>
      <c r="AV374" s="9">
        <v>2.7</v>
      </c>
      <c r="AW374" s="9">
        <v>2</v>
      </c>
      <c r="AX374" s="14"/>
    </row>
    <row r="375" spans="1:50" ht="24" customHeight="1" thickTop="1" thickBot="1" x14ac:dyDescent="0.35">
      <c r="A375" s="63"/>
      <c r="B375" s="76"/>
      <c r="C375" s="25"/>
      <c r="D375" s="1"/>
      <c r="E375" s="36" t="s">
        <v>152</v>
      </c>
      <c r="F375" s="36">
        <v>1</v>
      </c>
      <c r="G375" s="1"/>
      <c r="H375" s="36" t="s">
        <v>200</v>
      </c>
      <c r="I375" s="36">
        <v>1</v>
      </c>
      <c r="J375" s="39"/>
      <c r="K375" s="39"/>
      <c r="L375" s="39"/>
      <c r="M375" s="18"/>
      <c r="O375" s="1">
        <v>2</v>
      </c>
      <c r="P375" s="1">
        <v>2</v>
      </c>
      <c r="Q375" s="1">
        <v>0</v>
      </c>
      <c r="R375" s="1">
        <v>1</v>
      </c>
      <c r="S375" s="14"/>
      <c r="U375" s="9" t="s">
        <v>179</v>
      </c>
      <c r="V375" s="10" t="s">
        <v>180</v>
      </c>
      <c r="W375" s="9">
        <v>8.82</v>
      </c>
      <c r="X375" s="9">
        <v>0.68</v>
      </c>
      <c r="Y375" s="9">
        <v>1.07</v>
      </c>
      <c r="Z375" s="9">
        <v>0.65</v>
      </c>
      <c r="AA375" s="9">
        <v>2.5</v>
      </c>
      <c r="AB375" s="9">
        <v>0.89</v>
      </c>
      <c r="AC375" s="9">
        <v>0.92</v>
      </c>
      <c r="AD375" s="9">
        <v>1.07</v>
      </c>
      <c r="AE375" s="9">
        <v>1.1499999999999999</v>
      </c>
      <c r="AF375" s="9">
        <v>1.93</v>
      </c>
      <c r="AH375" s="11" t="s">
        <v>181</v>
      </c>
      <c r="AI375" s="12" t="s">
        <v>182</v>
      </c>
      <c r="AJ375" s="11">
        <v>6.06</v>
      </c>
      <c r="AK375" s="11">
        <v>6.55</v>
      </c>
      <c r="AL375" s="11">
        <v>3</v>
      </c>
      <c r="AM375" s="11">
        <v>6.02</v>
      </c>
      <c r="AN375" s="11">
        <v>1.55</v>
      </c>
      <c r="AO375" s="11">
        <v>7.05</v>
      </c>
      <c r="AP375" s="11">
        <v>5.05</v>
      </c>
      <c r="AR375" s="11" t="s">
        <v>183</v>
      </c>
      <c r="AS375" s="12" t="s">
        <v>184</v>
      </c>
      <c r="AT375" s="11">
        <v>3.38</v>
      </c>
      <c r="AU375" s="11">
        <v>1.04</v>
      </c>
      <c r="AV375" s="11">
        <v>2.9</v>
      </c>
      <c r="AW375" s="11">
        <v>2</v>
      </c>
      <c r="AX375" s="14"/>
    </row>
    <row r="376" spans="1:50" ht="23.5" customHeight="1" thickTop="1" thickBot="1" x14ac:dyDescent="0.35">
      <c r="A376" s="63"/>
      <c r="B376" s="76"/>
      <c r="C376" s="25"/>
      <c r="D376" s="1"/>
      <c r="E376" s="36" t="s">
        <v>153</v>
      </c>
      <c r="F376" s="36">
        <v>1</v>
      </c>
      <c r="G376" s="1"/>
      <c r="H376" s="36" t="s">
        <v>201</v>
      </c>
      <c r="I376" s="36">
        <v>1</v>
      </c>
      <c r="J376" s="25"/>
      <c r="K376" s="25"/>
      <c r="L376" s="25"/>
      <c r="M376" s="18"/>
      <c r="O376" s="1">
        <v>3</v>
      </c>
      <c r="P376" s="1">
        <v>0</v>
      </c>
      <c r="Q376" s="1">
        <v>1</v>
      </c>
      <c r="R376" s="1">
        <v>0</v>
      </c>
      <c r="S376" s="14"/>
      <c r="U376" s="11" t="s">
        <v>187</v>
      </c>
      <c r="V376" s="12" t="s">
        <v>188</v>
      </c>
      <c r="W376" s="11">
        <v>9.07</v>
      </c>
      <c r="X376" s="11">
        <v>0.85</v>
      </c>
      <c r="Y376" s="11">
        <v>1.25</v>
      </c>
      <c r="Z376" s="11">
        <v>0.75</v>
      </c>
      <c r="AA376" s="11">
        <v>2.71</v>
      </c>
      <c r="AB376" s="11">
        <v>0.82</v>
      </c>
      <c r="AC376" s="11">
        <v>1</v>
      </c>
      <c r="AD376" s="11">
        <v>1.1499999999999999</v>
      </c>
      <c r="AE376" s="11">
        <v>1.38</v>
      </c>
      <c r="AF376" s="11">
        <v>2.5</v>
      </c>
      <c r="AX376" s="14"/>
    </row>
    <row r="377" spans="1:50" ht="23.5" customHeight="1" thickTop="1" thickBot="1" x14ac:dyDescent="0.35">
      <c r="A377" s="63"/>
      <c r="B377" s="76"/>
      <c r="C377" s="25"/>
      <c r="D377" s="1"/>
      <c r="E377" s="1" t="s">
        <v>156</v>
      </c>
      <c r="F377" s="36">
        <v>1</v>
      </c>
      <c r="G377" s="37"/>
      <c r="H377" s="38" t="s">
        <v>164</v>
      </c>
      <c r="I377" s="38">
        <v>1</v>
      </c>
      <c r="J377" s="36"/>
      <c r="K377" s="25"/>
      <c r="L377" s="25"/>
      <c r="M377" s="18"/>
      <c r="O377" s="1">
        <v>4</v>
      </c>
      <c r="P377" s="1">
        <v>1</v>
      </c>
      <c r="Q377" s="1">
        <v>1</v>
      </c>
      <c r="R377" s="1">
        <v>0</v>
      </c>
      <c r="S377" s="14"/>
      <c r="U377" s="9"/>
      <c r="V377" s="10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X377" s="14"/>
    </row>
    <row r="378" spans="1:50" ht="23.5" customHeight="1" thickTop="1" thickBot="1" x14ac:dyDescent="0.35">
      <c r="A378" s="63"/>
      <c r="B378" s="76"/>
      <c r="C378" s="25"/>
      <c r="D378" s="37"/>
      <c r="E378" s="38" t="s">
        <v>197</v>
      </c>
      <c r="F378" s="38">
        <v>1</v>
      </c>
      <c r="G378" s="39"/>
      <c r="H378" s="39"/>
      <c r="I378" s="39"/>
      <c r="J378" s="36"/>
      <c r="K378" s="36"/>
      <c r="L378" s="25"/>
      <c r="M378" s="18"/>
      <c r="O378" s="4">
        <v>5</v>
      </c>
      <c r="P378" s="4">
        <v>0</v>
      </c>
      <c r="Q378" s="4">
        <v>0</v>
      </c>
      <c r="R378" s="4">
        <v>2</v>
      </c>
      <c r="S378" s="14"/>
      <c r="U378" s="9"/>
      <c r="V378" s="10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X378" s="14"/>
    </row>
    <row r="379" spans="1:50" ht="23" customHeight="1" thickTop="1" x14ac:dyDescent="0.3">
      <c r="A379" s="63"/>
      <c r="B379" s="76"/>
      <c r="C379" s="25"/>
      <c r="D379" s="39"/>
      <c r="E379" s="39"/>
      <c r="F379" s="39"/>
      <c r="G379" s="25"/>
      <c r="H379" s="39"/>
      <c r="I379" s="25"/>
      <c r="J379" s="25"/>
      <c r="K379" s="25"/>
      <c r="L379" s="25"/>
      <c r="M379" s="18"/>
      <c r="O379" s="1"/>
      <c r="P379" s="1"/>
      <c r="Q379" s="1"/>
      <c r="R379" s="1"/>
      <c r="S379" s="14"/>
      <c r="AX379" s="14"/>
    </row>
    <row r="380" spans="1:50" ht="23" customHeight="1" thickBot="1" x14ac:dyDescent="0.35">
      <c r="A380" s="63"/>
      <c r="B380" s="81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19"/>
      <c r="N380" s="15"/>
      <c r="O380" s="15"/>
      <c r="P380" s="15"/>
      <c r="Q380" s="15"/>
      <c r="R380" s="15"/>
      <c r="S380" s="16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6"/>
    </row>
    <row r="381" spans="1:50" ht="15" customHeight="1" thickTop="1" thickBot="1" x14ac:dyDescent="0.35">
      <c r="A381" s="63"/>
      <c r="B381" s="89" t="s">
        <v>56</v>
      </c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17"/>
      <c r="N381" s="24"/>
      <c r="O381" s="24"/>
      <c r="P381" s="24"/>
      <c r="Q381" s="24"/>
      <c r="R381" s="24"/>
      <c r="S381" s="1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17"/>
    </row>
    <row r="382" spans="1:50" ht="31" customHeight="1" thickTop="1" thickBot="1" x14ac:dyDescent="0.35">
      <c r="A382" s="63"/>
      <c r="B382" s="76"/>
      <c r="C382" s="24"/>
      <c r="D382" s="27" t="s">
        <v>191</v>
      </c>
      <c r="E382" s="27" t="s">
        <v>192</v>
      </c>
      <c r="F382" s="27" t="s">
        <v>193</v>
      </c>
      <c r="G382" s="27" t="s">
        <v>191</v>
      </c>
      <c r="H382" s="27" t="s">
        <v>192</v>
      </c>
      <c r="I382" s="27" t="s">
        <v>193</v>
      </c>
      <c r="J382" s="27" t="s">
        <v>191</v>
      </c>
      <c r="K382" s="27" t="s">
        <v>192</v>
      </c>
      <c r="L382" s="27" t="s">
        <v>193</v>
      </c>
      <c r="M382" s="17"/>
      <c r="N382" s="24"/>
      <c r="O382" s="24"/>
      <c r="P382" s="24"/>
      <c r="Q382" s="24"/>
      <c r="R382" s="24"/>
      <c r="S382" s="1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17"/>
    </row>
    <row r="383" spans="1:50" ht="23.5" customHeight="1" thickTop="1" thickBot="1" x14ac:dyDescent="0.35">
      <c r="A383" s="63"/>
      <c r="B383" s="76"/>
      <c r="C383" s="33"/>
      <c r="D383" s="35" t="s">
        <v>194</v>
      </c>
      <c r="E383" s="36" t="s">
        <v>148</v>
      </c>
      <c r="F383" s="36">
        <v>5</v>
      </c>
      <c r="G383" s="1" t="s">
        <v>198</v>
      </c>
      <c r="H383" s="36" t="s">
        <v>158</v>
      </c>
      <c r="I383" s="36">
        <v>2</v>
      </c>
      <c r="J383" s="1" t="s">
        <v>202</v>
      </c>
      <c r="K383" s="36" t="s">
        <v>203</v>
      </c>
      <c r="L383" s="36">
        <v>2</v>
      </c>
      <c r="M383" s="18"/>
      <c r="N383" s="13"/>
      <c r="O383" s="34"/>
      <c r="P383" s="34"/>
      <c r="Q383" s="34"/>
      <c r="S383" s="14"/>
      <c r="T383" s="13"/>
      <c r="AX383" s="14"/>
    </row>
    <row r="384" spans="1:50" ht="31" customHeight="1" thickTop="1" thickBot="1" x14ac:dyDescent="0.35">
      <c r="A384" s="63"/>
      <c r="B384" s="76"/>
      <c r="C384" s="25"/>
      <c r="D384" s="1"/>
      <c r="E384" s="36" t="s">
        <v>195</v>
      </c>
      <c r="F384" s="36">
        <v>2</v>
      </c>
      <c r="G384" s="1"/>
      <c r="H384" s="36" t="s">
        <v>159</v>
      </c>
      <c r="I384" s="36">
        <v>1</v>
      </c>
      <c r="J384" s="1"/>
      <c r="K384" s="36" t="s">
        <v>166</v>
      </c>
      <c r="L384" s="36">
        <v>1</v>
      </c>
      <c r="M384" s="18"/>
      <c r="O384" s="20" t="s">
        <v>205</v>
      </c>
      <c r="P384" s="22" t="s">
        <v>206</v>
      </c>
      <c r="Q384" s="22"/>
      <c r="R384" s="22"/>
      <c r="S384" s="14"/>
      <c r="Z384" s="23" t="s">
        <v>194</v>
      </c>
      <c r="AK384" s="23" t="s">
        <v>198</v>
      </c>
      <c r="AT384" s="23" t="s">
        <v>202</v>
      </c>
      <c r="AX384" s="14"/>
    </row>
    <row r="385" spans="1:50" ht="25" customHeight="1" thickTop="1" thickBot="1" x14ac:dyDescent="0.35">
      <c r="A385" s="63"/>
      <c r="B385" s="76"/>
      <c r="C385" s="25"/>
      <c r="D385" s="1"/>
      <c r="E385" s="36" t="s">
        <v>196</v>
      </c>
      <c r="F385" s="36">
        <v>2</v>
      </c>
      <c r="G385" s="1"/>
      <c r="H385" s="36" t="s">
        <v>160</v>
      </c>
      <c r="I385" s="36">
        <v>1</v>
      </c>
      <c r="J385" s="1"/>
      <c r="K385" s="36" t="s">
        <v>167</v>
      </c>
      <c r="L385" s="36">
        <v>1</v>
      </c>
      <c r="M385" s="18"/>
      <c r="O385" s="21"/>
      <c r="P385" s="2" t="s">
        <v>178</v>
      </c>
      <c r="Q385" s="2" t="s">
        <v>186</v>
      </c>
      <c r="R385" s="2" t="s">
        <v>190</v>
      </c>
      <c r="S385" s="14"/>
      <c r="U385" s="7" t="s">
        <v>146</v>
      </c>
      <c r="V385" s="7" t="s">
        <v>147</v>
      </c>
      <c r="W385" s="7" t="s">
        <v>148</v>
      </c>
      <c r="X385" s="7" t="s">
        <v>149</v>
      </c>
      <c r="Y385" s="7" t="s">
        <v>150</v>
      </c>
      <c r="Z385" s="8" t="s">
        <v>151</v>
      </c>
      <c r="AA385" s="7" t="s">
        <v>152</v>
      </c>
      <c r="AB385" s="7" t="s">
        <v>153</v>
      </c>
      <c r="AC385" s="7" t="s">
        <v>154</v>
      </c>
      <c r="AD385" s="7" t="s">
        <v>155</v>
      </c>
      <c r="AE385" s="8" t="s">
        <v>156</v>
      </c>
      <c r="AF385" s="7" t="s">
        <v>157</v>
      </c>
      <c r="AH385" s="7" t="s">
        <v>146</v>
      </c>
      <c r="AI385" s="7" t="s">
        <v>147</v>
      </c>
      <c r="AJ385" s="7" t="s">
        <v>158</v>
      </c>
      <c r="AK385" s="7" t="s">
        <v>159</v>
      </c>
      <c r="AL385" s="7" t="s">
        <v>160</v>
      </c>
      <c r="AM385" s="7" t="s">
        <v>161</v>
      </c>
      <c r="AN385" s="7" t="s">
        <v>162</v>
      </c>
      <c r="AO385" s="7" t="s">
        <v>163</v>
      </c>
      <c r="AP385" s="7" t="s">
        <v>164</v>
      </c>
      <c r="AR385" s="7" t="s">
        <v>146</v>
      </c>
      <c r="AS385" s="7" t="s">
        <v>147</v>
      </c>
      <c r="AT385" s="7" t="s">
        <v>165</v>
      </c>
      <c r="AU385" s="7" t="s">
        <v>166</v>
      </c>
      <c r="AV385" s="7" t="s">
        <v>167</v>
      </c>
      <c r="AW385" s="7" t="s">
        <v>168</v>
      </c>
      <c r="AX385" s="14"/>
    </row>
    <row r="386" spans="1:50" ht="23.5" customHeight="1" thickBot="1" x14ac:dyDescent="0.35">
      <c r="A386" s="63"/>
      <c r="B386" s="76"/>
      <c r="C386" s="25"/>
      <c r="D386" s="1"/>
      <c r="E386" s="1" t="s">
        <v>151</v>
      </c>
      <c r="F386" s="36">
        <v>1</v>
      </c>
      <c r="G386" s="1"/>
      <c r="H386" s="36" t="s">
        <v>199</v>
      </c>
      <c r="I386" s="36">
        <v>1</v>
      </c>
      <c r="J386" s="37"/>
      <c r="K386" s="38" t="s">
        <v>168</v>
      </c>
      <c r="L386" s="38">
        <v>1</v>
      </c>
      <c r="M386" s="18"/>
      <c r="O386" s="1">
        <v>1</v>
      </c>
      <c r="P386" s="1">
        <v>1</v>
      </c>
      <c r="Q386" s="1">
        <v>0</v>
      </c>
      <c r="R386" s="1">
        <v>1</v>
      </c>
      <c r="S386" s="14"/>
      <c r="U386" s="9" t="s">
        <v>171</v>
      </c>
      <c r="V386" s="10" t="s">
        <v>172</v>
      </c>
      <c r="W386" s="9">
        <v>7.51</v>
      </c>
      <c r="X386" s="9">
        <v>0.74</v>
      </c>
      <c r="Y386" s="9">
        <v>1.1599999999999999</v>
      </c>
      <c r="Z386" s="9">
        <v>0.69</v>
      </c>
      <c r="AA386" s="9">
        <v>2.5</v>
      </c>
      <c r="AB386" s="9">
        <v>0.81</v>
      </c>
      <c r="AC386" s="9">
        <v>0.96</v>
      </c>
      <c r="AD386" s="9">
        <v>1</v>
      </c>
      <c r="AE386" s="9">
        <v>1.25</v>
      </c>
      <c r="AF386" s="9">
        <v>1.86</v>
      </c>
      <c r="AH386" s="9" t="s">
        <v>173</v>
      </c>
      <c r="AI386" s="10" t="s">
        <v>174</v>
      </c>
      <c r="AJ386" s="9">
        <v>6.33</v>
      </c>
      <c r="AK386" s="9">
        <v>6.79</v>
      </c>
      <c r="AL386" s="9">
        <v>3</v>
      </c>
      <c r="AM386" s="9">
        <v>6.91</v>
      </c>
      <c r="AN386" s="9">
        <v>1.79</v>
      </c>
      <c r="AO386" s="9">
        <v>7.25</v>
      </c>
      <c r="AP386" s="9">
        <v>5.39</v>
      </c>
      <c r="AR386" s="9" t="s">
        <v>175</v>
      </c>
      <c r="AS386" s="10" t="s">
        <v>176</v>
      </c>
      <c r="AT386" s="9">
        <v>3.07</v>
      </c>
      <c r="AU386" s="9">
        <v>1.1000000000000001</v>
      </c>
      <c r="AV386" s="9">
        <v>2.2999999999999998</v>
      </c>
      <c r="AW386" s="9">
        <v>2</v>
      </c>
      <c r="AX386" s="14"/>
    </row>
    <row r="387" spans="1:50" ht="24" customHeight="1" thickTop="1" thickBot="1" x14ac:dyDescent="0.35">
      <c r="A387" s="63"/>
      <c r="B387" s="76"/>
      <c r="C387" s="25"/>
      <c r="D387" s="1"/>
      <c r="E387" s="36" t="s">
        <v>152</v>
      </c>
      <c r="F387" s="36">
        <v>1</v>
      </c>
      <c r="G387" s="1"/>
      <c r="H387" s="36" t="s">
        <v>200</v>
      </c>
      <c r="I387" s="36">
        <v>1</v>
      </c>
      <c r="J387" s="39"/>
      <c r="K387" s="39"/>
      <c r="L387" s="39"/>
      <c r="M387" s="18"/>
      <c r="O387" s="1">
        <v>2</v>
      </c>
      <c r="P387" s="1">
        <v>1</v>
      </c>
      <c r="Q387" s="1">
        <v>0</v>
      </c>
      <c r="R387" s="1">
        <v>1</v>
      </c>
      <c r="S387" s="14"/>
      <c r="U387" s="9" t="s">
        <v>179</v>
      </c>
      <c r="V387" s="10" t="s">
        <v>180</v>
      </c>
      <c r="W387" s="9">
        <v>8.26</v>
      </c>
      <c r="X387" s="9">
        <v>0.83</v>
      </c>
      <c r="Y387" s="9">
        <v>1.03</v>
      </c>
      <c r="Z387" s="9">
        <v>0.57999999999999996</v>
      </c>
      <c r="AA387" s="9">
        <v>2.92</v>
      </c>
      <c r="AB387" s="9">
        <v>0.86</v>
      </c>
      <c r="AC387" s="9">
        <v>0.98</v>
      </c>
      <c r="AD387" s="9">
        <v>1.18</v>
      </c>
      <c r="AE387" s="9">
        <v>1.05</v>
      </c>
      <c r="AF387" s="9">
        <v>2.27</v>
      </c>
      <c r="AH387" s="11" t="s">
        <v>181</v>
      </c>
      <c r="AI387" s="12" t="s">
        <v>182</v>
      </c>
      <c r="AJ387" s="11">
        <v>6.84</v>
      </c>
      <c r="AK387" s="11">
        <v>7.35</v>
      </c>
      <c r="AL387" s="11">
        <v>3</v>
      </c>
      <c r="AM387" s="11">
        <v>7.57</v>
      </c>
      <c r="AN387" s="11">
        <v>2.29</v>
      </c>
      <c r="AO387" s="11">
        <v>8.57</v>
      </c>
      <c r="AP387" s="11">
        <v>5.88</v>
      </c>
      <c r="AR387" s="11" t="s">
        <v>183</v>
      </c>
      <c r="AS387" s="12" t="s">
        <v>184</v>
      </c>
      <c r="AT387" s="11">
        <v>2.81</v>
      </c>
      <c r="AU387" s="11">
        <v>1.25</v>
      </c>
      <c r="AV387" s="11">
        <v>2.5</v>
      </c>
      <c r="AW387" s="11">
        <v>2</v>
      </c>
      <c r="AX387" s="14"/>
    </row>
    <row r="388" spans="1:50" ht="23.5" customHeight="1" thickTop="1" thickBot="1" x14ac:dyDescent="0.35">
      <c r="A388" s="63"/>
      <c r="B388" s="76"/>
      <c r="C388" s="25"/>
      <c r="D388" s="1"/>
      <c r="E388" s="36" t="s">
        <v>153</v>
      </c>
      <c r="F388" s="36">
        <v>1</v>
      </c>
      <c r="G388" s="1"/>
      <c r="H388" s="36" t="s">
        <v>201</v>
      </c>
      <c r="I388" s="36">
        <v>1</v>
      </c>
      <c r="J388" s="25"/>
      <c r="K388" s="25"/>
      <c r="L388" s="25"/>
      <c r="M388" s="18"/>
      <c r="O388" s="1">
        <v>3</v>
      </c>
      <c r="P388" s="1">
        <v>0</v>
      </c>
      <c r="Q388" s="1">
        <v>1</v>
      </c>
      <c r="R388" s="1">
        <v>0</v>
      </c>
      <c r="S388" s="14"/>
      <c r="U388" s="11" t="s">
        <v>187</v>
      </c>
      <c r="V388" s="12" t="s">
        <v>188</v>
      </c>
      <c r="W388" s="11">
        <v>9.18</v>
      </c>
      <c r="X388" s="11">
        <v>0.65</v>
      </c>
      <c r="Y388" s="11">
        <v>1.23</v>
      </c>
      <c r="Z388" s="11">
        <v>0.71</v>
      </c>
      <c r="AA388" s="11">
        <v>2.5</v>
      </c>
      <c r="AB388" s="11">
        <v>0.88</v>
      </c>
      <c r="AC388" s="11">
        <v>0.91</v>
      </c>
      <c r="AD388" s="11">
        <v>1.2</v>
      </c>
      <c r="AE388" s="11">
        <v>1.32</v>
      </c>
      <c r="AF388" s="11">
        <v>1.71</v>
      </c>
      <c r="AX388" s="14"/>
    </row>
    <row r="389" spans="1:50" ht="23.5" customHeight="1" thickTop="1" thickBot="1" x14ac:dyDescent="0.35">
      <c r="A389" s="63"/>
      <c r="B389" s="76"/>
      <c r="C389" s="25"/>
      <c r="D389" s="1"/>
      <c r="E389" s="1" t="s">
        <v>156</v>
      </c>
      <c r="F389" s="36">
        <v>1</v>
      </c>
      <c r="G389" s="37"/>
      <c r="H389" s="38" t="s">
        <v>164</v>
      </c>
      <c r="I389" s="38">
        <v>1</v>
      </c>
      <c r="J389" s="36"/>
      <c r="K389" s="25"/>
      <c r="L389" s="25"/>
      <c r="M389" s="18"/>
      <c r="O389" s="1">
        <v>4</v>
      </c>
      <c r="P389" s="1">
        <v>1</v>
      </c>
      <c r="Q389" s="1">
        <v>1</v>
      </c>
      <c r="R389" s="1">
        <v>0</v>
      </c>
      <c r="S389" s="14"/>
      <c r="U389" s="9"/>
      <c r="V389" s="10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X389" s="14"/>
    </row>
    <row r="390" spans="1:50" ht="23.5" customHeight="1" thickTop="1" thickBot="1" x14ac:dyDescent="0.35">
      <c r="A390" s="63"/>
      <c r="B390" s="76"/>
      <c r="C390" s="25"/>
      <c r="D390" s="37"/>
      <c r="E390" s="38" t="s">
        <v>197</v>
      </c>
      <c r="F390" s="38">
        <v>1</v>
      </c>
      <c r="G390" s="39"/>
      <c r="H390" s="39"/>
      <c r="I390" s="39"/>
      <c r="J390" s="36"/>
      <c r="K390" s="36"/>
      <c r="L390" s="25"/>
      <c r="M390" s="18"/>
      <c r="O390" s="4">
        <v>5</v>
      </c>
      <c r="P390" s="4">
        <v>0</v>
      </c>
      <c r="Q390" s="4">
        <v>0</v>
      </c>
      <c r="R390" s="4">
        <v>2</v>
      </c>
      <c r="S390" s="14"/>
      <c r="U390" s="9"/>
      <c r="V390" s="10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X390" s="14"/>
    </row>
    <row r="391" spans="1:50" ht="23" customHeight="1" thickTop="1" x14ac:dyDescent="0.3">
      <c r="A391" s="63"/>
      <c r="B391" s="76"/>
      <c r="C391" s="25"/>
      <c r="D391" s="39"/>
      <c r="E391" s="39"/>
      <c r="F391" s="39"/>
      <c r="G391" s="25"/>
      <c r="H391" s="25"/>
      <c r="I391" s="25"/>
      <c r="J391" s="25"/>
      <c r="K391" s="25"/>
      <c r="L391" s="25"/>
      <c r="M391" s="18"/>
      <c r="O391" s="1"/>
      <c r="P391" s="1"/>
      <c r="Q391" s="1"/>
      <c r="R391" s="1"/>
      <c r="S391" s="14"/>
      <c r="AX391" s="14"/>
    </row>
    <row r="392" spans="1:50" ht="23" customHeight="1" thickBot="1" x14ac:dyDescent="0.35">
      <c r="A392" s="63"/>
      <c r="B392" s="81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19"/>
      <c r="N392" s="15"/>
      <c r="O392" s="15"/>
      <c r="P392" s="15"/>
      <c r="Q392" s="15"/>
      <c r="R392" s="15"/>
      <c r="S392" s="16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6"/>
    </row>
    <row r="393" spans="1:50" ht="15" customHeight="1" thickTop="1" thickBot="1" x14ac:dyDescent="0.35">
      <c r="A393" s="63"/>
      <c r="B393" s="89" t="s">
        <v>57</v>
      </c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17"/>
      <c r="N393" s="24"/>
      <c r="O393" s="24"/>
      <c r="P393" s="24"/>
      <c r="Q393" s="24"/>
      <c r="R393" s="24"/>
      <c r="S393" s="1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17"/>
    </row>
    <row r="394" spans="1:50" ht="31" customHeight="1" thickTop="1" thickBot="1" x14ac:dyDescent="0.35">
      <c r="A394" s="63"/>
      <c r="B394" s="76"/>
      <c r="C394" s="24"/>
      <c r="D394" s="27" t="s">
        <v>191</v>
      </c>
      <c r="E394" s="27" t="s">
        <v>192</v>
      </c>
      <c r="F394" s="27" t="s">
        <v>193</v>
      </c>
      <c r="G394" s="27" t="s">
        <v>191</v>
      </c>
      <c r="H394" s="27" t="s">
        <v>192</v>
      </c>
      <c r="I394" s="27" t="s">
        <v>193</v>
      </c>
      <c r="J394" s="27" t="s">
        <v>191</v>
      </c>
      <c r="K394" s="27" t="s">
        <v>192</v>
      </c>
      <c r="L394" s="27" t="s">
        <v>193</v>
      </c>
      <c r="M394" s="17"/>
      <c r="N394" s="24"/>
      <c r="O394" s="24"/>
      <c r="P394" s="24"/>
      <c r="Q394" s="24"/>
      <c r="R394" s="24"/>
      <c r="S394" s="1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17"/>
    </row>
    <row r="395" spans="1:50" ht="23.5" customHeight="1" thickTop="1" thickBot="1" x14ac:dyDescent="0.35">
      <c r="A395" s="63"/>
      <c r="B395" s="76"/>
      <c r="C395" s="33"/>
      <c r="D395" s="35" t="s">
        <v>194</v>
      </c>
      <c r="E395" s="36" t="s">
        <v>148</v>
      </c>
      <c r="F395" s="36">
        <v>5</v>
      </c>
      <c r="G395" s="35" t="s">
        <v>198</v>
      </c>
      <c r="H395" s="36" t="s">
        <v>158</v>
      </c>
      <c r="I395" s="36">
        <v>2</v>
      </c>
      <c r="J395" s="35" t="s">
        <v>202</v>
      </c>
      <c r="K395" s="36" t="s">
        <v>203</v>
      </c>
      <c r="L395" s="36">
        <v>2</v>
      </c>
      <c r="M395" s="18"/>
      <c r="N395" s="13"/>
      <c r="O395" s="34"/>
      <c r="P395" s="34"/>
      <c r="Q395" s="34"/>
      <c r="S395" s="14"/>
      <c r="T395" s="13"/>
      <c r="AX395" s="14"/>
    </row>
    <row r="396" spans="1:50" ht="31" customHeight="1" thickTop="1" thickBot="1" x14ac:dyDescent="0.35">
      <c r="A396" s="63"/>
      <c r="B396" s="76"/>
      <c r="C396" s="25"/>
      <c r="D396" s="1"/>
      <c r="E396" s="36" t="s">
        <v>195</v>
      </c>
      <c r="F396" s="36">
        <v>2</v>
      </c>
      <c r="G396" s="1"/>
      <c r="H396" s="36" t="s">
        <v>159</v>
      </c>
      <c r="I396" s="36">
        <v>1</v>
      </c>
      <c r="J396" s="1"/>
      <c r="K396" s="36" t="s">
        <v>166</v>
      </c>
      <c r="L396" s="36">
        <v>1</v>
      </c>
      <c r="M396" s="18"/>
      <c r="O396" s="20" t="s">
        <v>205</v>
      </c>
      <c r="P396" s="22" t="s">
        <v>206</v>
      </c>
      <c r="Q396" s="22"/>
      <c r="R396" s="22"/>
      <c r="S396" s="14"/>
      <c r="Z396" s="23" t="s">
        <v>194</v>
      </c>
      <c r="AK396" s="23" t="s">
        <v>198</v>
      </c>
      <c r="AT396" s="23" t="s">
        <v>202</v>
      </c>
      <c r="AX396" s="14"/>
    </row>
    <row r="397" spans="1:50" ht="25" customHeight="1" thickTop="1" thickBot="1" x14ac:dyDescent="0.35">
      <c r="A397" s="63"/>
      <c r="B397" s="76"/>
      <c r="C397" s="25"/>
      <c r="D397" s="1"/>
      <c r="E397" s="36" t="s">
        <v>196</v>
      </c>
      <c r="F397" s="36">
        <v>2</v>
      </c>
      <c r="G397" s="1"/>
      <c r="H397" s="36" t="s">
        <v>160</v>
      </c>
      <c r="I397" s="36">
        <v>1</v>
      </c>
      <c r="J397" s="1"/>
      <c r="K397" s="36" t="s">
        <v>167</v>
      </c>
      <c r="L397" s="36">
        <v>1</v>
      </c>
      <c r="M397" s="18"/>
      <c r="O397" s="21"/>
      <c r="P397" s="2" t="s">
        <v>178</v>
      </c>
      <c r="Q397" s="2" t="s">
        <v>186</v>
      </c>
      <c r="R397" s="2" t="s">
        <v>190</v>
      </c>
      <c r="S397" s="14"/>
      <c r="U397" s="7" t="s">
        <v>146</v>
      </c>
      <c r="V397" s="7" t="s">
        <v>147</v>
      </c>
      <c r="W397" s="7" t="s">
        <v>148</v>
      </c>
      <c r="X397" s="7" t="s">
        <v>149</v>
      </c>
      <c r="Y397" s="7" t="s">
        <v>150</v>
      </c>
      <c r="Z397" s="8" t="s">
        <v>151</v>
      </c>
      <c r="AA397" s="7" t="s">
        <v>152</v>
      </c>
      <c r="AB397" s="7" t="s">
        <v>153</v>
      </c>
      <c r="AC397" s="7" t="s">
        <v>154</v>
      </c>
      <c r="AD397" s="7" t="s">
        <v>155</v>
      </c>
      <c r="AE397" s="8" t="s">
        <v>156</v>
      </c>
      <c r="AF397" s="7" t="s">
        <v>157</v>
      </c>
      <c r="AH397" s="7" t="s">
        <v>146</v>
      </c>
      <c r="AI397" s="7" t="s">
        <v>147</v>
      </c>
      <c r="AJ397" s="7" t="s">
        <v>158</v>
      </c>
      <c r="AK397" s="7" t="s">
        <v>159</v>
      </c>
      <c r="AL397" s="7" t="s">
        <v>160</v>
      </c>
      <c r="AM397" s="7" t="s">
        <v>161</v>
      </c>
      <c r="AN397" s="7" t="s">
        <v>162</v>
      </c>
      <c r="AO397" s="7" t="s">
        <v>163</v>
      </c>
      <c r="AP397" s="7" t="s">
        <v>164</v>
      </c>
      <c r="AR397" s="7" t="s">
        <v>146</v>
      </c>
      <c r="AS397" s="7" t="s">
        <v>147</v>
      </c>
      <c r="AT397" s="7" t="s">
        <v>165</v>
      </c>
      <c r="AU397" s="7" t="s">
        <v>166</v>
      </c>
      <c r="AV397" s="7" t="s">
        <v>167</v>
      </c>
      <c r="AW397" s="7" t="s">
        <v>168</v>
      </c>
      <c r="AX397" s="14"/>
    </row>
    <row r="398" spans="1:50" ht="23.5" customHeight="1" thickBot="1" x14ac:dyDescent="0.35">
      <c r="A398" s="63"/>
      <c r="B398" s="76"/>
      <c r="C398" s="25"/>
      <c r="D398" s="1"/>
      <c r="E398" s="1" t="s">
        <v>151</v>
      </c>
      <c r="F398" s="36">
        <v>1</v>
      </c>
      <c r="G398" s="1"/>
      <c r="H398" s="36" t="s">
        <v>199</v>
      </c>
      <c r="I398" s="36">
        <v>1</v>
      </c>
      <c r="J398" s="4"/>
      <c r="K398" s="38" t="s">
        <v>168</v>
      </c>
      <c r="L398" s="38">
        <v>1</v>
      </c>
      <c r="M398" s="18"/>
      <c r="O398" s="1">
        <v>1</v>
      </c>
      <c r="P398" s="1">
        <v>0</v>
      </c>
      <c r="Q398" s="1">
        <v>1</v>
      </c>
      <c r="R398" s="1">
        <v>1</v>
      </c>
      <c r="S398" s="14"/>
      <c r="U398" s="9" t="s">
        <v>171</v>
      </c>
      <c r="V398" s="10" t="s">
        <v>172</v>
      </c>
      <c r="W398" s="9">
        <v>7.94</v>
      </c>
      <c r="X398" s="9">
        <v>0.76</v>
      </c>
      <c r="Y398" s="9">
        <v>1.1000000000000001</v>
      </c>
      <c r="Z398" s="9">
        <v>0.62</v>
      </c>
      <c r="AA398" s="9">
        <v>2.77</v>
      </c>
      <c r="AB398" s="9">
        <v>0.84</v>
      </c>
      <c r="AC398" s="9">
        <v>0.95</v>
      </c>
      <c r="AD398" s="9">
        <v>1.03</v>
      </c>
      <c r="AE398" s="9">
        <v>1.28</v>
      </c>
      <c r="AF398" s="9">
        <v>2.14</v>
      </c>
      <c r="AH398" s="9" t="s">
        <v>173</v>
      </c>
      <c r="AI398" s="10" t="s">
        <v>174</v>
      </c>
      <c r="AJ398" s="9">
        <v>6.13</v>
      </c>
      <c r="AK398" s="9">
        <v>6.51</v>
      </c>
      <c r="AL398" s="9">
        <v>3</v>
      </c>
      <c r="AM398" s="9">
        <v>6.09</v>
      </c>
      <c r="AN398" s="9">
        <v>1.51</v>
      </c>
      <c r="AO398" s="9">
        <v>7.06</v>
      </c>
      <c r="AP398" s="9">
        <v>5.01</v>
      </c>
      <c r="AR398" s="9" t="s">
        <v>175</v>
      </c>
      <c r="AS398" s="10" t="s">
        <v>176</v>
      </c>
      <c r="AT398" s="9">
        <v>3.35</v>
      </c>
      <c r="AU398" s="9">
        <v>1.05</v>
      </c>
      <c r="AV398" s="9">
        <v>2.85</v>
      </c>
      <c r="AW398" s="9">
        <v>2</v>
      </c>
      <c r="AX398" s="14"/>
    </row>
    <row r="399" spans="1:50" ht="24" customHeight="1" thickTop="1" thickBot="1" x14ac:dyDescent="0.35">
      <c r="A399" s="63"/>
      <c r="B399" s="76"/>
      <c r="C399" s="25"/>
      <c r="D399" s="1"/>
      <c r="E399" s="36" t="s">
        <v>152</v>
      </c>
      <c r="F399" s="36">
        <v>1</v>
      </c>
      <c r="G399" s="1"/>
      <c r="H399" s="36" t="s">
        <v>200</v>
      </c>
      <c r="I399" s="36">
        <v>1</v>
      </c>
      <c r="J399" s="39"/>
      <c r="K399" s="39"/>
      <c r="L399" s="39"/>
      <c r="M399" s="18"/>
      <c r="O399" s="1">
        <v>2</v>
      </c>
      <c r="P399" s="1">
        <v>0</v>
      </c>
      <c r="Q399" s="1">
        <v>0</v>
      </c>
      <c r="R399" s="1">
        <v>1</v>
      </c>
      <c r="S399" s="14"/>
      <c r="U399" s="9" t="s">
        <v>179</v>
      </c>
      <c r="V399" s="10" t="s">
        <v>180</v>
      </c>
      <c r="W399" s="9">
        <v>8.59</v>
      </c>
      <c r="X399" s="9">
        <v>0.67</v>
      </c>
      <c r="Y399" s="9">
        <v>1.05</v>
      </c>
      <c r="Z399" s="9">
        <v>0.75</v>
      </c>
      <c r="AA399" s="9">
        <v>2.5</v>
      </c>
      <c r="AB399" s="9">
        <v>0.8</v>
      </c>
      <c r="AC399" s="9">
        <v>0.99</v>
      </c>
      <c r="AD399" s="9">
        <v>1.1200000000000001</v>
      </c>
      <c r="AE399" s="9">
        <v>1.1000000000000001</v>
      </c>
      <c r="AF399" s="9">
        <v>1.62</v>
      </c>
      <c r="AH399" s="11" t="s">
        <v>181</v>
      </c>
      <c r="AI399" s="12" t="s">
        <v>182</v>
      </c>
      <c r="AJ399" s="11">
        <v>6.98</v>
      </c>
      <c r="AK399" s="11">
        <v>7.49</v>
      </c>
      <c r="AL399" s="11">
        <v>3</v>
      </c>
      <c r="AM399" s="11">
        <v>7.97</v>
      </c>
      <c r="AN399" s="11">
        <v>2.4900000000000002</v>
      </c>
      <c r="AO399" s="11">
        <v>8.9499999999999993</v>
      </c>
      <c r="AP399" s="11">
        <v>5.95</v>
      </c>
      <c r="AR399" s="11" t="s">
        <v>183</v>
      </c>
      <c r="AS399" s="12" t="s">
        <v>184</v>
      </c>
      <c r="AT399" s="11">
        <v>2.5299999999999998</v>
      </c>
      <c r="AU399" s="11">
        <v>1.1200000000000001</v>
      </c>
      <c r="AV399" s="11">
        <v>2.25</v>
      </c>
      <c r="AW399" s="11">
        <v>2</v>
      </c>
      <c r="AX399" s="14"/>
    </row>
    <row r="400" spans="1:50" ht="23.5" customHeight="1" thickTop="1" thickBot="1" x14ac:dyDescent="0.35">
      <c r="A400" s="63"/>
      <c r="B400" s="76"/>
      <c r="C400" s="25"/>
      <c r="D400" s="1"/>
      <c r="E400" s="36" t="s">
        <v>153</v>
      </c>
      <c r="F400" s="36">
        <v>1</v>
      </c>
      <c r="G400" s="1"/>
      <c r="H400" s="36" t="s">
        <v>201</v>
      </c>
      <c r="I400" s="36">
        <v>1</v>
      </c>
      <c r="J400" s="25"/>
      <c r="K400" s="25"/>
      <c r="L400" s="25"/>
      <c r="M400" s="18"/>
      <c r="O400" s="1">
        <v>3</v>
      </c>
      <c r="P400" s="1">
        <v>0</v>
      </c>
      <c r="Q400" s="1">
        <v>1</v>
      </c>
      <c r="R400" s="1">
        <v>0</v>
      </c>
      <c r="S400" s="14"/>
      <c r="U400" s="11" t="s">
        <v>187</v>
      </c>
      <c r="V400" s="12" t="s">
        <v>188</v>
      </c>
      <c r="W400" s="11">
        <v>9.1999999999999993</v>
      </c>
      <c r="X400" s="11">
        <v>0.9</v>
      </c>
      <c r="Y400" s="11">
        <v>1.25</v>
      </c>
      <c r="Z400" s="11">
        <v>0.56999999999999995</v>
      </c>
      <c r="AA400" s="11">
        <v>2.83</v>
      </c>
      <c r="AB400" s="11">
        <v>0.89</v>
      </c>
      <c r="AC400" s="11">
        <v>0.93</v>
      </c>
      <c r="AD400" s="11">
        <v>1</v>
      </c>
      <c r="AE400" s="11">
        <v>1.35</v>
      </c>
      <c r="AF400" s="11">
        <v>2.4</v>
      </c>
      <c r="AX400" s="14"/>
    </row>
    <row r="401" spans="1:50" ht="23.5" customHeight="1" thickTop="1" thickBot="1" x14ac:dyDescent="0.35">
      <c r="A401" s="63"/>
      <c r="B401" s="76"/>
      <c r="C401" s="25"/>
      <c r="D401" s="1"/>
      <c r="E401" s="1" t="s">
        <v>156</v>
      </c>
      <c r="F401" s="36">
        <v>1</v>
      </c>
      <c r="G401" s="4"/>
      <c r="H401" s="38" t="s">
        <v>164</v>
      </c>
      <c r="I401" s="38">
        <v>1</v>
      </c>
      <c r="J401" s="36"/>
      <c r="K401" s="25"/>
      <c r="L401" s="25"/>
      <c r="M401" s="18"/>
      <c r="O401" s="1">
        <v>3</v>
      </c>
      <c r="P401" s="1">
        <v>0</v>
      </c>
      <c r="Q401" s="1">
        <v>2</v>
      </c>
      <c r="R401" s="1">
        <v>0</v>
      </c>
      <c r="S401" s="14"/>
      <c r="U401" s="9"/>
      <c r="V401" s="10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X401" s="14"/>
    </row>
    <row r="402" spans="1:50" ht="23.5" customHeight="1" thickTop="1" thickBot="1" x14ac:dyDescent="0.35">
      <c r="A402" s="63"/>
      <c r="B402" s="76"/>
      <c r="C402" s="25"/>
      <c r="D402" s="4"/>
      <c r="E402" s="38" t="s">
        <v>197</v>
      </c>
      <c r="F402" s="38">
        <v>1</v>
      </c>
      <c r="G402" s="39"/>
      <c r="H402" s="39"/>
      <c r="I402" s="39"/>
      <c r="J402" s="36"/>
      <c r="K402" s="36"/>
      <c r="L402" s="25"/>
      <c r="M402" s="18"/>
      <c r="O402" s="4">
        <v>5</v>
      </c>
      <c r="P402" s="4">
        <v>2</v>
      </c>
      <c r="Q402" s="4">
        <v>0</v>
      </c>
      <c r="R402" s="4">
        <v>2</v>
      </c>
      <c r="S402" s="14"/>
      <c r="U402" s="9"/>
      <c r="V402" s="1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X402" s="14"/>
    </row>
    <row r="403" spans="1:50" ht="23" customHeight="1" thickTop="1" x14ac:dyDescent="0.3">
      <c r="A403" s="63"/>
      <c r="B403" s="76"/>
      <c r="C403" s="25"/>
      <c r="D403" s="39"/>
      <c r="E403" s="39"/>
      <c r="F403" s="39"/>
      <c r="G403" s="25"/>
      <c r="H403" s="25"/>
      <c r="I403" s="25"/>
      <c r="J403" s="25"/>
      <c r="K403" s="25"/>
      <c r="L403" s="25"/>
      <c r="M403" s="18"/>
      <c r="O403" s="1"/>
      <c r="P403" s="1"/>
      <c r="Q403" s="1"/>
      <c r="R403" s="1"/>
      <c r="S403" s="14"/>
      <c r="AX403" s="14"/>
    </row>
    <row r="404" spans="1:50" ht="23" customHeight="1" thickBot="1" x14ac:dyDescent="0.35">
      <c r="A404" s="64"/>
      <c r="B404" s="81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19"/>
      <c r="N404" s="15"/>
      <c r="O404" s="15"/>
      <c r="P404" s="15"/>
      <c r="Q404" s="15"/>
      <c r="R404" s="15"/>
      <c r="S404" s="16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6"/>
    </row>
    <row r="405" spans="1:50" ht="15" customHeight="1" thickTop="1" thickBot="1" x14ac:dyDescent="0.35">
      <c r="A405" s="90">
        <v>5</v>
      </c>
      <c r="B405" s="89" t="s">
        <v>58</v>
      </c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17"/>
      <c r="N405" s="24"/>
      <c r="O405" s="24"/>
      <c r="P405" s="24"/>
      <c r="Q405" s="24"/>
      <c r="R405" s="24"/>
      <c r="S405" s="1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17"/>
    </row>
    <row r="406" spans="1:50" ht="31" customHeight="1" thickTop="1" thickBot="1" x14ac:dyDescent="0.35">
      <c r="A406" s="63"/>
      <c r="B406" s="76"/>
      <c r="C406" s="24"/>
      <c r="D406" s="27" t="s">
        <v>191</v>
      </c>
      <c r="E406" s="27" t="s">
        <v>192</v>
      </c>
      <c r="F406" s="27" t="s">
        <v>193</v>
      </c>
      <c r="G406" s="27" t="s">
        <v>191</v>
      </c>
      <c r="H406" s="27" t="s">
        <v>192</v>
      </c>
      <c r="I406" s="27" t="s">
        <v>193</v>
      </c>
      <c r="J406" s="27" t="s">
        <v>191</v>
      </c>
      <c r="K406" s="27" t="s">
        <v>192</v>
      </c>
      <c r="L406" s="27" t="s">
        <v>193</v>
      </c>
      <c r="M406" s="17"/>
      <c r="N406" s="24"/>
      <c r="O406" s="24"/>
      <c r="P406" s="24"/>
      <c r="Q406" s="24"/>
      <c r="R406" s="24"/>
      <c r="S406" s="1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17"/>
    </row>
    <row r="407" spans="1:50" ht="23.5" customHeight="1" thickTop="1" thickBot="1" x14ac:dyDescent="0.35">
      <c r="A407" s="63"/>
      <c r="B407" s="76"/>
      <c r="C407" s="33"/>
      <c r="D407" s="88" t="s">
        <v>194</v>
      </c>
      <c r="E407" s="36" t="s">
        <v>148</v>
      </c>
      <c r="F407" s="36">
        <v>3</v>
      </c>
      <c r="G407" s="85" t="s">
        <v>198</v>
      </c>
      <c r="H407" s="36" t="s">
        <v>158</v>
      </c>
      <c r="I407" s="36">
        <v>1</v>
      </c>
      <c r="J407" s="85" t="s">
        <v>202</v>
      </c>
      <c r="K407" s="36" t="s">
        <v>203</v>
      </c>
      <c r="L407" s="36">
        <v>1</v>
      </c>
      <c r="M407" s="18"/>
      <c r="N407" s="13"/>
      <c r="O407" s="34"/>
      <c r="P407" s="34"/>
      <c r="Q407" s="34"/>
      <c r="S407" s="14"/>
      <c r="T407" s="13"/>
      <c r="AX407" s="14"/>
    </row>
    <row r="408" spans="1:50" ht="23.5" customHeight="1" thickTop="1" thickBot="1" x14ac:dyDescent="0.35">
      <c r="A408" s="63"/>
      <c r="B408" s="76"/>
      <c r="C408" s="25"/>
      <c r="D408" s="86"/>
      <c r="E408" s="36" t="s">
        <v>195</v>
      </c>
      <c r="F408" s="36">
        <v>1</v>
      </c>
      <c r="G408" s="86"/>
      <c r="H408" s="36" t="s">
        <v>159</v>
      </c>
      <c r="I408" s="36">
        <v>1</v>
      </c>
      <c r="J408" s="86"/>
      <c r="K408" s="36" t="s">
        <v>166</v>
      </c>
      <c r="L408" s="36">
        <v>1</v>
      </c>
      <c r="M408" s="18"/>
      <c r="O408" s="82" t="s">
        <v>205</v>
      </c>
      <c r="P408" s="82" t="s">
        <v>206</v>
      </c>
      <c r="Q408" s="83"/>
      <c r="R408" s="83"/>
      <c r="S408" s="14"/>
      <c r="Z408" s="23" t="s">
        <v>194</v>
      </c>
      <c r="AK408" s="23" t="s">
        <v>198</v>
      </c>
      <c r="AT408" s="23" t="s">
        <v>202</v>
      </c>
      <c r="AX408" s="14"/>
    </row>
    <row r="409" spans="1:50" ht="25" customHeight="1" thickTop="1" thickBot="1" x14ac:dyDescent="0.35">
      <c r="A409" s="63"/>
      <c r="B409" s="76"/>
      <c r="C409" s="25"/>
      <c r="D409" s="86"/>
      <c r="E409" s="36" t="s">
        <v>196</v>
      </c>
      <c r="F409" s="36">
        <v>1</v>
      </c>
      <c r="G409" s="86"/>
      <c r="H409" s="36" t="s">
        <v>160</v>
      </c>
      <c r="I409" s="36">
        <v>1</v>
      </c>
      <c r="J409" s="86"/>
      <c r="K409" s="36" t="s">
        <v>167</v>
      </c>
      <c r="L409" s="36">
        <v>1</v>
      </c>
      <c r="M409" s="18"/>
      <c r="O409" s="84"/>
      <c r="P409" s="2" t="s">
        <v>178</v>
      </c>
      <c r="Q409" s="2" t="s">
        <v>186</v>
      </c>
      <c r="R409" s="2" t="s">
        <v>190</v>
      </c>
      <c r="S409" s="14"/>
      <c r="U409" s="7" t="s">
        <v>146</v>
      </c>
      <c r="V409" s="7" t="s">
        <v>147</v>
      </c>
      <c r="W409" s="7" t="s">
        <v>148</v>
      </c>
      <c r="X409" s="7" t="s">
        <v>149</v>
      </c>
      <c r="Y409" s="7" t="s">
        <v>150</v>
      </c>
      <c r="Z409" s="8" t="s">
        <v>151</v>
      </c>
      <c r="AA409" s="7" t="s">
        <v>152</v>
      </c>
      <c r="AB409" s="7" t="s">
        <v>153</v>
      </c>
      <c r="AC409" s="7" t="s">
        <v>154</v>
      </c>
      <c r="AD409" s="7" t="s">
        <v>155</v>
      </c>
      <c r="AE409" s="8" t="s">
        <v>156</v>
      </c>
      <c r="AF409" s="7" t="s">
        <v>157</v>
      </c>
      <c r="AH409" s="7" t="s">
        <v>146</v>
      </c>
      <c r="AI409" s="7" t="s">
        <v>147</v>
      </c>
      <c r="AJ409" s="7" t="s">
        <v>158</v>
      </c>
      <c r="AK409" s="7" t="s">
        <v>159</v>
      </c>
      <c r="AL409" s="7" t="s">
        <v>160</v>
      </c>
      <c r="AM409" s="7" t="s">
        <v>161</v>
      </c>
      <c r="AN409" s="7" t="s">
        <v>162</v>
      </c>
      <c r="AO409" s="7" t="s">
        <v>163</v>
      </c>
      <c r="AP409" s="7" t="s">
        <v>164</v>
      </c>
      <c r="AR409" s="7" t="s">
        <v>146</v>
      </c>
      <c r="AS409" s="7" t="s">
        <v>147</v>
      </c>
      <c r="AT409" s="7" t="s">
        <v>165</v>
      </c>
      <c r="AU409" s="7" t="s">
        <v>166</v>
      </c>
      <c r="AV409" s="7" t="s">
        <v>167</v>
      </c>
      <c r="AW409" s="7" t="s">
        <v>168</v>
      </c>
      <c r="AX409" s="14"/>
    </row>
    <row r="410" spans="1:50" ht="23.5" customHeight="1" thickBot="1" x14ac:dyDescent="0.35">
      <c r="A410" s="63"/>
      <c r="B410" s="76"/>
      <c r="C410" s="25"/>
      <c r="D410" s="86"/>
      <c r="E410" s="1" t="s">
        <v>151</v>
      </c>
      <c r="F410" s="36">
        <v>1</v>
      </c>
      <c r="G410" s="86"/>
      <c r="H410" s="36" t="s">
        <v>199</v>
      </c>
      <c r="I410" s="36">
        <v>1</v>
      </c>
      <c r="J410" s="87"/>
      <c r="K410" s="38" t="s">
        <v>168</v>
      </c>
      <c r="L410" s="38">
        <v>1</v>
      </c>
      <c r="M410" s="18"/>
      <c r="O410" s="1">
        <v>1</v>
      </c>
      <c r="P410" s="1">
        <v>1</v>
      </c>
      <c r="Q410" s="1">
        <v>0</v>
      </c>
      <c r="R410" s="1">
        <v>0</v>
      </c>
      <c r="S410" s="14"/>
      <c r="U410" s="9" t="s">
        <v>171</v>
      </c>
      <c r="V410" s="10" t="s">
        <v>172</v>
      </c>
      <c r="W410" s="9">
        <v>7.09</v>
      </c>
      <c r="X410" s="9">
        <v>0.79</v>
      </c>
      <c r="Y410" s="9">
        <v>1.1299999999999999</v>
      </c>
      <c r="Z410" s="9">
        <v>0.56999999999999995</v>
      </c>
      <c r="AA410" s="9">
        <v>2.89</v>
      </c>
      <c r="AB410" s="9">
        <v>0.85</v>
      </c>
      <c r="AC410" s="9">
        <v>0.93</v>
      </c>
      <c r="AD410" s="9">
        <v>1.2</v>
      </c>
      <c r="AE410" s="9">
        <v>1.02</v>
      </c>
      <c r="AF410" s="9">
        <v>2.0099999999999998</v>
      </c>
      <c r="AH410" s="9" t="s">
        <v>173</v>
      </c>
      <c r="AI410" s="10" t="s">
        <v>174</v>
      </c>
      <c r="AJ410" s="9">
        <v>6.6</v>
      </c>
      <c r="AK410" s="9">
        <v>6.86</v>
      </c>
      <c r="AL410" s="9">
        <v>3</v>
      </c>
      <c r="AM410" s="9">
        <v>6.48</v>
      </c>
      <c r="AN410" s="9">
        <v>1.86</v>
      </c>
      <c r="AO410" s="9">
        <v>7.69</v>
      </c>
      <c r="AP410" s="9">
        <v>5.47</v>
      </c>
      <c r="AR410" s="9" t="s">
        <v>175</v>
      </c>
      <c r="AS410" s="10" t="s">
        <v>176</v>
      </c>
      <c r="AT410" s="9">
        <v>2.75</v>
      </c>
      <c r="AU410" s="9">
        <v>1.08</v>
      </c>
      <c r="AV410" s="9">
        <v>2.4</v>
      </c>
      <c r="AW410" s="9">
        <v>2</v>
      </c>
      <c r="AX410" s="14"/>
    </row>
    <row r="411" spans="1:50" ht="24" customHeight="1" thickTop="1" thickBot="1" x14ac:dyDescent="0.35">
      <c r="A411" s="63"/>
      <c r="B411" s="76"/>
      <c r="C411" s="25"/>
      <c r="D411" s="86"/>
      <c r="E411" s="36" t="s">
        <v>152</v>
      </c>
      <c r="F411" s="36">
        <v>1</v>
      </c>
      <c r="G411" s="86"/>
      <c r="H411" s="36" t="s">
        <v>200</v>
      </c>
      <c r="I411" s="36">
        <v>1</v>
      </c>
      <c r="J411" s="39"/>
      <c r="K411" s="39"/>
      <c r="L411" s="39"/>
      <c r="M411" s="18"/>
      <c r="O411" s="1">
        <v>2</v>
      </c>
      <c r="P411" s="1">
        <v>1</v>
      </c>
      <c r="Q411" s="1">
        <v>0</v>
      </c>
      <c r="R411" s="1">
        <v>0</v>
      </c>
      <c r="S411" s="14"/>
      <c r="U411" s="9" t="s">
        <v>179</v>
      </c>
      <c r="V411" s="10" t="s">
        <v>180</v>
      </c>
      <c r="W411" s="9">
        <v>8.82</v>
      </c>
      <c r="X411" s="9">
        <v>0.68</v>
      </c>
      <c r="Y411" s="9">
        <v>1.07</v>
      </c>
      <c r="Z411" s="9">
        <v>0.65</v>
      </c>
      <c r="AA411" s="9">
        <v>2.5</v>
      </c>
      <c r="AB411" s="9">
        <v>0.89</v>
      </c>
      <c r="AC411" s="9">
        <v>0.92</v>
      </c>
      <c r="AD411" s="9">
        <v>1.07</v>
      </c>
      <c r="AE411" s="9">
        <v>1.1499999999999999</v>
      </c>
      <c r="AF411" s="9">
        <v>1.93</v>
      </c>
      <c r="AH411" s="11" t="s">
        <v>181</v>
      </c>
      <c r="AI411" s="12" t="s">
        <v>182</v>
      </c>
      <c r="AJ411" s="11">
        <v>6.75</v>
      </c>
      <c r="AK411" s="11">
        <v>7.24</v>
      </c>
      <c r="AL411" s="11">
        <v>3</v>
      </c>
      <c r="AM411" s="11">
        <v>7.28</v>
      </c>
      <c r="AN411" s="11">
        <v>2.1800000000000002</v>
      </c>
      <c r="AO411" s="11">
        <v>8.2799999999999994</v>
      </c>
      <c r="AP411" s="11">
        <v>5.66</v>
      </c>
      <c r="AR411" s="11" t="s">
        <v>183</v>
      </c>
      <c r="AS411" s="12" t="s">
        <v>184</v>
      </c>
      <c r="AT411" s="11">
        <v>3.2</v>
      </c>
      <c r="AU411" s="11">
        <v>1.1499999999999999</v>
      </c>
      <c r="AV411" s="11">
        <v>2.65</v>
      </c>
      <c r="AW411" s="11">
        <v>2</v>
      </c>
      <c r="AX411" s="14"/>
    </row>
    <row r="412" spans="1:50" ht="23.5" customHeight="1" thickTop="1" thickBot="1" x14ac:dyDescent="0.35">
      <c r="A412" s="63"/>
      <c r="B412" s="76"/>
      <c r="C412" s="25"/>
      <c r="D412" s="86"/>
      <c r="E412" s="36" t="s">
        <v>153</v>
      </c>
      <c r="F412" s="36">
        <v>1</v>
      </c>
      <c r="G412" s="86"/>
      <c r="H412" s="36" t="s">
        <v>201</v>
      </c>
      <c r="I412" s="36">
        <v>1</v>
      </c>
      <c r="J412" s="25"/>
      <c r="K412" s="25"/>
      <c r="L412" s="25"/>
      <c r="M412" s="18"/>
      <c r="O412" s="4">
        <v>3</v>
      </c>
      <c r="P412" s="4">
        <v>1</v>
      </c>
      <c r="Q412" s="4">
        <v>0</v>
      </c>
      <c r="R412" s="4">
        <v>1</v>
      </c>
      <c r="S412" s="14"/>
      <c r="U412" s="11" t="s">
        <v>187</v>
      </c>
      <c r="V412" s="12" t="s">
        <v>188</v>
      </c>
      <c r="W412" s="11">
        <v>9.07</v>
      </c>
      <c r="X412" s="11">
        <v>0.85</v>
      </c>
      <c r="Y412" s="11">
        <v>1.25</v>
      </c>
      <c r="Z412" s="11">
        <v>0.75</v>
      </c>
      <c r="AA412" s="11">
        <v>2.71</v>
      </c>
      <c r="AB412" s="11">
        <v>0.82</v>
      </c>
      <c r="AC412" s="11">
        <v>1</v>
      </c>
      <c r="AD412" s="11">
        <v>1.1499999999999999</v>
      </c>
      <c r="AE412" s="11">
        <v>1.38</v>
      </c>
      <c r="AF412" s="11">
        <v>2.5</v>
      </c>
      <c r="AX412" s="14"/>
    </row>
    <row r="413" spans="1:50" ht="23.5" customHeight="1" thickTop="1" thickBot="1" x14ac:dyDescent="0.35">
      <c r="A413" s="63"/>
      <c r="B413" s="76"/>
      <c r="C413" s="25"/>
      <c r="D413" s="86"/>
      <c r="E413" s="1" t="s">
        <v>156</v>
      </c>
      <c r="F413" s="36">
        <v>1</v>
      </c>
      <c r="G413" s="87"/>
      <c r="H413" s="38" t="s">
        <v>164</v>
      </c>
      <c r="I413" s="38">
        <v>1</v>
      </c>
      <c r="J413" s="36"/>
      <c r="K413" s="25"/>
      <c r="L413" s="25"/>
      <c r="M413" s="18"/>
      <c r="O413" s="1"/>
      <c r="P413" s="1"/>
      <c r="Q413" s="1"/>
      <c r="R413" s="1"/>
      <c r="S413" s="14"/>
      <c r="U413" s="9"/>
      <c r="V413" s="10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X413" s="14"/>
    </row>
    <row r="414" spans="1:50" ht="23.5" customHeight="1" thickTop="1" thickBot="1" x14ac:dyDescent="0.35">
      <c r="A414" s="63"/>
      <c r="B414" s="76"/>
      <c r="C414" s="25"/>
      <c r="D414" s="87"/>
      <c r="E414" s="38" t="s">
        <v>197</v>
      </c>
      <c r="F414" s="38">
        <v>1</v>
      </c>
      <c r="G414" s="39"/>
      <c r="H414" s="39"/>
      <c r="I414" s="39"/>
      <c r="J414" s="36"/>
      <c r="K414" s="36"/>
      <c r="L414" s="25"/>
      <c r="M414" s="18"/>
      <c r="O414" s="1"/>
      <c r="P414" s="1"/>
      <c r="Q414" s="1"/>
      <c r="R414" s="1"/>
      <c r="S414" s="14"/>
      <c r="U414" s="9"/>
      <c r="V414" s="10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X414" s="14"/>
    </row>
    <row r="415" spans="1:50" ht="23" customHeight="1" thickTop="1" x14ac:dyDescent="0.3">
      <c r="A415" s="63"/>
      <c r="B415" s="76"/>
      <c r="C415" s="25"/>
      <c r="D415" s="39"/>
      <c r="E415" s="39"/>
      <c r="F415" s="39"/>
      <c r="G415" s="25"/>
      <c r="H415" s="25"/>
      <c r="I415" s="25"/>
      <c r="J415" s="25"/>
      <c r="K415" s="25"/>
      <c r="L415" s="25"/>
      <c r="M415" s="18"/>
      <c r="O415" s="1"/>
      <c r="P415" s="1"/>
      <c r="Q415" s="1"/>
      <c r="R415" s="1"/>
      <c r="S415" s="14"/>
      <c r="AX415" s="14"/>
    </row>
    <row r="416" spans="1:50" ht="23" customHeight="1" thickBot="1" x14ac:dyDescent="0.35">
      <c r="A416" s="63"/>
      <c r="B416" s="81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19"/>
      <c r="N416" s="15"/>
      <c r="O416" s="15"/>
      <c r="P416" s="15"/>
      <c r="Q416" s="15"/>
      <c r="R416" s="15"/>
      <c r="S416" s="16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6"/>
    </row>
    <row r="417" spans="1:50" ht="15" customHeight="1" thickTop="1" thickBot="1" x14ac:dyDescent="0.35">
      <c r="A417" s="63"/>
      <c r="B417" s="89" t="s">
        <v>59</v>
      </c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17"/>
      <c r="N417" s="24"/>
      <c r="O417" s="24"/>
      <c r="P417" s="24"/>
      <c r="Q417" s="24"/>
      <c r="R417" s="24"/>
      <c r="S417" s="1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17"/>
    </row>
    <row r="418" spans="1:50" ht="31" customHeight="1" thickTop="1" thickBot="1" x14ac:dyDescent="0.35">
      <c r="A418" s="63"/>
      <c r="B418" s="76"/>
      <c r="C418" s="24"/>
      <c r="D418" s="27" t="s">
        <v>191</v>
      </c>
      <c r="E418" s="27" t="s">
        <v>192</v>
      </c>
      <c r="F418" s="27" t="s">
        <v>193</v>
      </c>
      <c r="G418" s="27" t="s">
        <v>191</v>
      </c>
      <c r="H418" s="27" t="s">
        <v>192</v>
      </c>
      <c r="I418" s="27" t="s">
        <v>193</v>
      </c>
      <c r="J418" s="27" t="s">
        <v>191</v>
      </c>
      <c r="K418" s="27" t="s">
        <v>192</v>
      </c>
      <c r="L418" s="27" t="s">
        <v>193</v>
      </c>
      <c r="M418" s="17"/>
      <c r="N418" s="24"/>
      <c r="O418" s="24"/>
      <c r="P418" s="24"/>
      <c r="Q418" s="24"/>
      <c r="R418" s="24"/>
      <c r="S418" s="1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17"/>
    </row>
    <row r="419" spans="1:50" ht="23.5" customHeight="1" thickTop="1" thickBot="1" x14ac:dyDescent="0.35">
      <c r="A419" s="63"/>
      <c r="B419" s="76"/>
      <c r="C419" s="33"/>
      <c r="D419" s="88" t="s">
        <v>194</v>
      </c>
      <c r="E419" s="36" t="s">
        <v>148</v>
      </c>
      <c r="F419" s="36">
        <v>3</v>
      </c>
      <c r="G419" s="85" t="s">
        <v>198</v>
      </c>
      <c r="H419" s="36" t="s">
        <v>158</v>
      </c>
      <c r="I419" s="36">
        <v>1</v>
      </c>
      <c r="J419" s="85" t="s">
        <v>202</v>
      </c>
      <c r="K419" s="36" t="s">
        <v>203</v>
      </c>
      <c r="L419" s="36">
        <v>1</v>
      </c>
      <c r="M419" s="18"/>
      <c r="N419" s="13"/>
      <c r="O419" s="34"/>
      <c r="P419" s="34"/>
      <c r="Q419" s="34"/>
      <c r="S419" s="14"/>
      <c r="T419" s="13"/>
      <c r="AX419" s="14"/>
    </row>
    <row r="420" spans="1:50" ht="23.5" customHeight="1" thickTop="1" thickBot="1" x14ac:dyDescent="0.35">
      <c r="A420" s="63"/>
      <c r="B420" s="76"/>
      <c r="C420" s="25"/>
      <c r="D420" s="86"/>
      <c r="E420" s="36" t="s">
        <v>195</v>
      </c>
      <c r="F420" s="36">
        <v>1</v>
      </c>
      <c r="G420" s="86"/>
      <c r="H420" s="36" t="s">
        <v>159</v>
      </c>
      <c r="I420" s="36">
        <v>1</v>
      </c>
      <c r="J420" s="86"/>
      <c r="K420" s="36" t="s">
        <v>166</v>
      </c>
      <c r="L420" s="36">
        <v>1</v>
      </c>
      <c r="M420" s="18"/>
      <c r="O420" s="82" t="s">
        <v>205</v>
      </c>
      <c r="P420" s="82" t="s">
        <v>206</v>
      </c>
      <c r="Q420" s="83"/>
      <c r="R420" s="83"/>
      <c r="S420" s="14"/>
      <c r="Z420" s="23" t="s">
        <v>194</v>
      </c>
      <c r="AK420" s="23" t="s">
        <v>198</v>
      </c>
      <c r="AT420" s="23" t="s">
        <v>202</v>
      </c>
      <c r="AX420" s="14"/>
    </row>
    <row r="421" spans="1:50" ht="25" customHeight="1" thickTop="1" thickBot="1" x14ac:dyDescent="0.35">
      <c r="A421" s="63"/>
      <c r="B421" s="76"/>
      <c r="C421" s="25"/>
      <c r="D421" s="86"/>
      <c r="E421" s="36" t="s">
        <v>196</v>
      </c>
      <c r="F421" s="36">
        <v>1</v>
      </c>
      <c r="G421" s="86"/>
      <c r="H421" s="36" t="s">
        <v>159</v>
      </c>
      <c r="I421" s="36">
        <v>1</v>
      </c>
      <c r="J421" s="86"/>
      <c r="K421" s="36" t="s">
        <v>167</v>
      </c>
      <c r="L421" s="36">
        <v>1</v>
      </c>
      <c r="M421" s="18"/>
      <c r="O421" s="84"/>
      <c r="P421" s="2" t="s">
        <v>178</v>
      </c>
      <c r="Q421" s="2" t="s">
        <v>186</v>
      </c>
      <c r="R421" s="2" t="s">
        <v>190</v>
      </c>
      <c r="S421" s="14"/>
      <c r="U421" s="7" t="s">
        <v>146</v>
      </c>
      <c r="V421" s="7" t="s">
        <v>147</v>
      </c>
      <c r="W421" s="7" t="s">
        <v>148</v>
      </c>
      <c r="X421" s="7" t="s">
        <v>149</v>
      </c>
      <c r="Y421" s="7" t="s">
        <v>150</v>
      </c>
      <c r="Z421" s="8" t="s">
        <v>151</v>
      </c>
      <c r="AA421" s="7" t="s">
        <v>152</v>
      </c>
      <c r="AB421" s="7" t="s">
        <v>153</v>
      </c>
      <c r="AC421" s="7" t="s">
        <v>154</v>
      </c>
      <c r="AD421" s="7" t="s">
        <v>155</v>
      </c>
      <c r="AE421" s="8" t="s">
        <v>156</v>
      </c>
      <c r="AF421" s="7" t="s">
        <v>157</v>
      </c>
      <c r="AH421" s="7" t="s">
        <v>146</v>
      </c>
      <c r="AI421" s="7" t="s">
        <v>147</v>
      </c>
      <c r="AJ421" s="7" t="s">
        <v>158</v>
      </c>
      <c r="AK421" s="7" t="s">
        <v>159</v>
      </c>
      <c r="AL421" s="7" t="s">
        <v>160</v>
      </c>
      <c r="AM421" s="7" t="s">
        <v>161</v>
      </c>
      <c r="AN421" s="7" t="s">
        <v>162</v>
      </c>
      <c r="AO421" s="7" t="s">
        <v>163</v>
      </c>
      <c r="AP421" s="7" t="s">
        <v>164</v>
      </c>
      <c r="AR421" s="7" t="s">
        <v>146</v>
      </c>
      <c r="AS421" s="7" t="s">
        <v>147</v>
      </c>
      <c r="AT421" s="7" t="s">
        <v>165</v>
      </c>
      <c r="AU421" s="7" t="s">
        <v>166</v>
      </c>
      <c r="AV421" s="7" t="s">
        <v>167</v>
      </c>
      <c r="AW421" s="7" t="s">
        <v>168</v>
      </c>
      <c r="AX421" s="14"/>
    </row>
    <row r="422" spans="1:50" ht="23.5" customHeight="1" thickBot="1" x14ac:dyDescent="0.35">
      <c r="A422" s="63"/>
      <c r="B422" s="76"/>
      <c r="C422" s="25"/>
      <c r="D422" s="86"/>
      <c r="E422" s="1" t="s">
        <v>151</v>
      </c>
      <c r="F422" s="36">
        <v>1</v>
      </c>
      <c r="G422" s="86"/>
      <c r="H422" s="36" t="s">
        <v>199</v>
      </c>
      <c r="I422" s="36">
        <v>1</v>
      </c>
      <c r="J422" s="87"/>
      <c r="K422" s="38" t="s">
        <v>168</v>
      </c>
      <c r="L422" s="38">
        <v>1</v>
      </c>
      <c r="M422" s="18"/>
      <c r="O422" s="1">
        <v>1</v>
      </c>
      <c r="P422" s="1">
        <v>1</v>
      </c>
      <c r="Q422" s="1">
        <v>2</v>
      </c>
      <c r="R422" s="1">
        <v>0</v>
      </c>
      <c r="S422" s="14"/>
      <c r="U422" s="9" t="s">
        <v>171</v>
      </c>
      <c r="V422" s="10" t="s">
        <v>172</v>
      </c>
      <c r="W422" s="9">
        <v>7.51</v>
      </c>
      <c r="X422" s="9">
        <v>0.74</v>
      </c>
      <c r="Y422" s="9">
        <v>1.1599999999999999</v>
      </c>
      <c r="Z422" s="9">
        <v>0.69</v>
      </c>
      <c r="AA422" s="9">
        <v>2.5</v>
      </c>
      <c r="AB422" s="9">
        <v>0.81</v>
      </c>
      <c r="AC422" s="9">
        <v>0.96</v>
      </c>
      <c r="AD422" s="9">
        <v>1</v>
      </c>
      <c r="AE422" s="9">
        <v>1.25</v>
      </c>
      <c r="AF422" s="9">
        <v>1.86</v>
      </c>
      <c r="AH422" s="9" t="s">
        <v>173</v>
      </c>
      <c r="AI422" s="10" t="s">
        <v>174</v>
      </c>
      <c r="AJ422" s="9">
        <v>6.2</v>
      </c>
      <c r="AK422" s="9">
        <v>6.69</v>
      </c>
      <c r="AL422" s="9">
        <v>3</v>
      </c>
      <c r="AM422" s="9">
        <v>6.95</v>
      </c>
      <c r="AN422" s="9">
        <v>1.69</v>
      </c>
      <c r="AO422" s="9">
        <v>7.38</v>
      </c>
      <c r="AP422" s="9">
        <v>5.2</v>
      </c>
      <c r="AR422" s="9" t="s">
        <v>175</v>
      </c>
      <c r="AS422" s="10" t="s">
        <v>176</v>
      </c>
      <c r="AT422" s="9">
        <v>2.92</v>
      </c>
      <c r="AU422" s="9">
        <v>1.2</v>
      </c>
      <c r="AV422" s="9">
        <v>2.1800000000000002</v>
      </c>
      <c r="AW422" s="9">
        <v>2</v>
      </c>
      <c r="AX422" s="14"/>
    </row>
    <row r="423" spans="1:50" ht="24" customHeight="1" thickTop="1" thickBot="1" x14ac:dyDescent="0.35">
      <c r="A423" s="63"/>
      <c r="B423" s="76"/>
      <c r="C423" s="25"/>
      <c r="D423" s="86"/>
      <c r="E423" s="36" t="s">
        <v>152</v>
      </c>
      <c r="F423" s="36">
        <v>1</v>
      </c>
      <c r="G423" s="86"/>
      <c r="H423" s="36" t="s">
        <v>200</v>
      </c>
      <c r="I423" s="36">
        <v>1</v>
      </c>
      <c r="J423" s="39"/>
      <c r="K423" s="39"/>
      <c r="L423" s="39"/>
      <c r="M423" s="18"/>
      <c r="O423" s="1">
        <v>2</v>
      </c>
      <c r="P423" s="1">
        <v>0</v>
      </c>
      <c r="Q423" s="1">
        <v>1</v>
      </c>
      <c r="R423" s="1">
        <v>0</v>
      </c>
      <c r="S423" s="14"/>
      <c r="U423" s="9" t="s">
        <v>179</v>
      </c>
      <c r="V423" s="10" t="s">
        <v>180</v>
      </c>
      <c r="W423" s="9">
        <v>8.26</v>
      </c>
      <c r="X423" s="9">
        <v>0.83</v>
      </c>
      <c r="Y423" s="9">
        <v>1.03</v>
      </c>
      <c r="Z423" s="9">
        <v>0.57999999999999996</v>
      </c>
      <c r="AA423" s="9">
        <v>2.92</v>
      </c>
      <c r="AB423" s="9">
        <v>0.86</v>
      </c>
      <c r="AC423" s="9">
        <v>0.98</v>
      </c>
      <c r="AD423" s="9">
        <v>1.18</v>
      </c>
      <c r="AE423" s="9">
        <v>1.05</v>
      </c>
      <c r="AF423" s="9">
        <v>2.27</v>
      </c>
      <c r="AH423" s="11" t="s">
        <v>181</v>
      </c>
      <c r="AI423" s="12" t="s">
        <v>182</v>
      </c>
      <c r="AJ423" s="11">
        <v>6.89</v>
      </c>
      <c r="AK423" s="11">
        <v>7.37</v>
      </c>
      <c r="AL423" s="11">
        <v>3</v>
      </c>
      <c r="AM423" s="11">
        <v>7.79</v>
      </c>
      <c r="AN423" s="11">
        <v>2.39</v>
      </c>
      <c r="AO423" s="11">
        <v>8.77</v>
      </c>
      <c r="AP423" s="11">
        <v>5.79</v>
      </c>
      <c r="AR423" s="11" t="s">
        <v>183</v>
      </c>
      <c r="AS423" s="12" t="s">
        <v>184</v>
      </c>
      <c r="AT423" s="11">
        <v>3.47</v>
      </c>
      <c r="AU423" s="11">
        <v>1.02</v>
      </c>
      <c r="AV423" s="11">
        <v>2.75</v>
      </c>
      <c r="AW423" s="11">
        <v>2</v>
      </c>
      <c r="AX423" s="14"/>
    </row>
    <row r="424" spans="1:50" ht="23.5" customHeight="1" thickTop="1" thickBot="1" x14ac:dyDescent="0.35">
      <c r="A424" s="63"/>
      <c r="B424" s="76"/>
      <c r="C424" s="25"/>
      <c r="D424" s="86"/>
      <c r="E424" s="36" t="s">
        <v>153</v>
      </c>
      <c r="F424" s="36">
        <v>1</v>
      </c>
      <c r="G424" s="86"/>
      <c r="H424" s="36" t="s">
        <v>201</v>
      </c>
      <c r="I424" s="36">
        <v>1</v>
      </c>
      <c r="J424" s="25"/>
      <c r="K424" s="25"/>
      <c r="L424" s="25"/>
      <c r="M424" s="18"/>
      <c r="O424" s="4">
        <v>3</v>
      </c>
      <c r="P424" s="4">
        <v>0</v>
      </c>
      <c r="Q424" s="4">
        <v>0</v>
      </c>
      <c r="R424" s="4">
        <v>1</v>
      </c>
      <c r="S424" s="14"/>
      <c r="U424" s="11" t="s">
        <v>187</v>
      </c>
      <c r="V424" s="12" t="s">
        <v>188</v>
      </c>
      <c r="W424" s="11">
        <v>9.18</v>
      </c>
      <c r="X424" s="11">
        <v>0.65</v>
      </c>
      <c r="Y424" s="11">
        <v>1.23</v>
      </c>
      <c r="Z424" s="11">
        <v>0.71</v>
      </c>
      <c r="AA424" s="11">
        <v>2.5</v>
      </c>
      <c r="AB424" s="11">
        <v>0.88</v>
      </c>
      <c r="AC424" s="11">
        <v>0.91</v>
      </c>
      <c r="AD424" s="11">
        <v>1.2</v>
      </c>
      <c r="AE424" s="11">
        <v>1.32</v>
      </c>
      <c r="AF424" s="11">
        <v>1.71</v>
      </c>
      <c r="AX424" s="14"/>
    </row>
    <row r="425" spans="1:50" ht="23.5" customHeight="1" thickTop="1" thickBot="1" x14ac:dyDescent="0.35">
      <c r="A425" s="63"/>
      <c r="B425" s="76"/>
      <c r="C425" s="25"/>
      <c r="D425" s="86"/>
      <c r="E425" s="1" t="s">
        <v>156</v>
      </c>
      <c r="F425" s="36">
        <v>1</v>
      </c>
      <c r="G425" s="87"/>
      <c r="H425" s="38" t="s">
        <v>164</v>
      </c>
      <c r="I425" s="38">
        <v>1</v>
      </c>
      <c r="J425" s="36"/>
      <c r="K425" s="25"/>
      <c r="L425" s="25"/>
      <c r="M425" s="18"/>
      <c r="O425" s="1"/>
      <c r="P425" s="1"/>
      <c r="Q425" s="1"/>
      <c r="R425" s="1"/>
      <c r="S425" s="14"/>
      <c r="U425" s="9"/>
      <c r="V425" s="10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X425" s="14"/>
    </row>
    <row r="426" spans="1:50" ht="23.5" customHeight="1" thickTop="1" thickBot="1" x14ac:dyDescent="0.35">
      <c r="A426" s="63"/>
      <c r="B426" s="76"/>
      <c r="C426" s="25"/>
      <c r="D426" s="87"/>
      <c r="E426" s="38" t="s">
        <v>197</v>
      </c>
      <c r="F426" s="38">
        <v>1</v>
      </c>
      <c r="G426" s="39"/>
      <c r="H426" s="39"/>
      <c r="I426" s="39"/>
      <c r="J426" s="36"/>
      <c r="K426" s="36"/>
      <c r="L426" s="25"/>
      <c r="M426" s="18"/>
      <c r="O426" s="1"/>
      <c r="P426" s="1"/>
      <c r="Q426" s="1"/>
      <c r="R426" s="1"/>
      <c r="S426" s="14"/>
      <c r="U426" s="9"/>
      <c r="V426" s="10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X426" s="14"/>
    </row>
    <row r="427" spans="1:50" ht="23" customHeight="1" thickTop="1" x14ac:dyDescent="0.3">
      <c r="A427" s="63"/>
      <c r="B427" s="76"/>
      <c r="C427" s="25"/>
      <c r="D427" s="39"/>
      <c r="E427" s="39"/>
      <c r="F427" s="39"/>
      <c r="G427" s="25"/>
      <c r="H427" s="25"/>
      <c r="I427" s="25"/>
      <c r="J427" s="25"/>
      <c r="K427" s="25"/>
      <c r="L427" s="25"/>
      <c r="M427" s="18"/>
      <c r="O427" s="1"/>
      <c r="P427" s="1"/>
      <c r="Q427" s="1"/>
      <c r="R427" s="1"/>
      <c r="S427" s="14"/>
      <c r="AX427" s="14"/>
    </row>
    <row r="428" spans="1:50" ht="23" customHeight="1" thickBot="1" x14ac:dyDescent="0.35">
      <c r="A428" s="63"/>
      <c r="B428" s="81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19"/>
      <c r="N428" s="15"/>
      <c r="O428" s="15"/>
      <c r="P428" s="15"/>
      <c r="Q428" s="15"/>
      <c r="R428" s="15"/>
      <c r="S428" s="16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6"/>
    </row>
    <row r="429" spans="1:50" ht="15" customHeight="1" thickTop="1" thickBot="1" x14ac:dyDescent="0.35">
      <c r="A429" s="63"/>
      <c r="B429" s="89" t="s">
        <v>60</v>
      </c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17"/>
      <c r="N429" s="24"/>
      <c r="O429" s="24"/>
      <c r="P429" s="24"/>
      <c r="Q429" s="24"/>
      <c r="R429" s="24"/>
      <c r="S429" s="1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17"/>
    </row>
    <row r="430" spans="1:50" ht="31" customHeight="1" thickTop="1" thickBot="1" x14ac:dyDescent="0.35">
      <c r="A430" s="63"/>
      <c r="B430" s="76"/>
      <c r="C430" s="24"/>
      <c r="D430" s="27" t="s">
        <v>191</v>
      </c>
      <c r="E430" s="27" t="s">
        <v>192</v>
      </c>
      <c r="F430" s="27" t="s">
        <v>193</v>
      </c>
      <c r="G430" s="27" t="s">
        <v>191</v>
      </c>
      <c r="H430" s="27" t="s">
        <v>192</v>
      </c>
      <c r="I430" s="27" t="s">
        <v>193</v>
      </c>
      <c r="J430" s="27" t="s">
        <v>191</v>
      </c>
      <c r="K430" s="27" t="s">
        <v>192</v>
      </c>
      <c r="L430" s="27" t="s">
        <v>193</v>
      </c>
      <c r="M430" s="17"/>
      <c r="N430" s="24"/>
      <c r="O430" s="24"/>
      <c r="P430" s="24"/>
      <c r="Q430" s="24"/>
      <c r="R430" s="24"/>
      <c r="S430" s="1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17"/>
    </row>
    <row r="431" spans="1:50" ht="23.5" customHeight="1" thickTop="1" thickBot="1" x14ac:dyDescent="0.35">
      <c r="A431" s="63"/>
      <c r="B431" s="76"/>
      <c r="C431" s="33"/>
      <c r="D431" s="88" t="s">
        <v>194</v>
      </c>
      <c r="E431" s="36" t="s">
        <v>148</v>
      </c>
      <c r="F431" s="36">
        <v>5</v>
      </c>
      <c r="G431" s="85" t="s">
        <v>198</v>
      </c>
      <c r="H431" s="36" t="s">
        <v>158</v>
      </c>
      <c r="I431" s="36">
        <v>1</v>
      </c>
      <c r="J431" s="85" t="s">
        <v>202</v>
      </c>
      <c r="K431" s="36" t="s">
        <v>203</v>
      </c>
      <c r="L431" s="36">
        <v>2</v>
      </c>
      <c r="M431" s="18"/>
      <c r="N431" s="13"/>
      <c r="O431" s="34"/>
      <c r="P431" s="34"/>
      <c r="Q431" s="34"/>
      <c r="S431" s="14"/>
      <c r="T431" s="13"/>
      <c r="AX431" s="14"/>
    </row>
    <row r="432" spans="1:50" ht="23.5" customHeight="1" thickTop="1" thickBot="1" x14ac:dyDescent="0.35">
      <c r="A432" s="63"/>
      <c r="B432" s="76"/>
      <c r="C432" s="25"/>
      <c r="D432" s="86"/>
      <c r="E432" s="36" t="s">
        <v>195</v>
      </c>
      <c r="F432" s="36">
        <v>1</v>
      </c>
      <c r="G432" s="86"/>
      <c r="H432" s="36" t="s">
        <v>159</v>
      </c>
      <c r="I432" s="36">
        <v>1</v>
      </c>
      <c r="J432" s="86"/>
      <c r="K432" s="36" t="s">
        <v>166</v>
      </c>
      <c r="L432" s="36">
        <v>1</v>
      </c>
      <c r="M432" s="18"/>
      <c r="O432" s="82" t="s">
        <v>205</v>
      </c>
      <c r="P432" s="82" t="s">
        <v>206</v>
      </c>
      <c r="Q432" s="83"/>
      <c r="R432" s="83"/>
      <c r="S432" s="14"/>
      <c r="Z432" s="23" t="s">
        <v>194</v>
      </c>
      <c r="AK432" s="23" t="s">
        <v>198</v>
      </c>
      <c r="AT432" s="23" t="s">
        <v>202</v>
      </c>
      <c r="AX432" s="14"/>
    </row>
    <row r="433" spans="1:50" ht="25" customHeight="1" thickTop="1" thickBot="1" x14ac:dyDescent="0.35">
      <c r="A433" s="63"/>
      <c r="B433" s="76"/>
      <c r="C433" s="25"/>
      <c r="D433" s="86"/>
      <c r="E433" s="36" t="s">
        <v>196</v>
      </c>
      <c r="F433" s="36">
        <v>1</v>
      </c>
      <c r="G433" s="86"/>
      <c r="H433" s="36" t="s">
        <v>160</v>
      </c>
      <c r="I433" s="36">
        <v>1</v>
      </c>
      <c r="J433" s="86"/>
      <c r="K433" s="36" t="s">
        <v>167</v>
      </c>
      <c r="L433" s="36">
        <v>1</v>
      </c>
      <c r="M433" s="18"/>
      <c r="O433" s="84"/>
      <c r="P433" s="2" t="s">
        <v>178</v>
      </c>
      <c r="Q433" s="2" t="s">
        <v>186</v>
      </c>
      <c r="R433" s="2" t="s">
        <v>190</v>
      </c>
      <c r="S433" s="14"/>
      <c r="U433" s="7" t="s">
        <v>146</v>
      </c>
      <c r="V433" s="7" t="s">
        <v>147</v>
      </c>
      <c r="W433" s="7" t="s">
        <v>148</v>
      </c>
      <c r="X433" s="7" t="s">
        <v>149</v>
      </c>
      <c r="Y433" s="7" t="s">
        <v>150</v>
      </c>
      <c r="Z433" s="8" t="s">
        <v>151</v>
      </c>
      <c r="AA433" s="7" t="s">
        <v>152</v>
      </c>
      <c r="AB433" s="7" t="s">
        <v>153</v>
      </c>
      <c r="AC433" s="7" t="s">
        <v>154</v>
      </c>
      <c r="AD433" s="7" t="s">
        <v>155</v>
      </c>
      <c r="AE433" s="8" t="s">
        <v>156</v>
      </c>
      <c r="AF433" s="7" t="s">
        <v>157</v>
      </c>
      <c r="AH433" s="7" t="s">
        <v>146</v>
      </c>
      <c r="AI433" s="7" t="s">
        <v>147</v>
      </c>
      <c r="AJ433" s="7" t="s">
        <v>158</v>
      </c>
      <c r="AK433" s="7" t="s">
        <v>159</v>
      </c>
      <c r="AL433" s="7" t="s">
        <v>160</v>
      </c>
      <c r="AM433" s="7" t="s">
        <v>161</v>
      </c>
      <c r="AN433" s="7" t="s">
        <v>162</v>
      </c>
      <c r="AO433" s="7" t="s">
        <v>163</v>
      </c>
      <c r="AP433" s="7" t="s">
        <v>164</v>
      </c>
      <c r="AR433" s="7" t="s">
        <v>146</v>
      </c>
      <c r="AS433" s="7" t="s">
        <v>147</v>
      </c>
      <c r="AT433" s="7" t="s">
        <v>165</v>
      </c>
      <c r="AU433" s="7" t="s">
        <v>166</v>
      </c>
      <c r="AV433" s="7" t="s">
        <v>167</v>
      </c>
      <c r="AW433" s="7" t="s">
        <v>168</v>
      </c>
      <c r="AX433" s="14"/>
    </row>
    <row r="434" spans="1:50" ht="23.5" customHeight="1" thickBot="1" x14ac:dyDescent="0.35">
      <c r="A434" s="63"/>
      <c r="B434" s="76"/>
      <c r="C434" s="25"/>
      <c r="D434" s="86"/>
      <c r="E434" s="1" t="s">
        <v>151</v>
      </c>
      <c r="F434" s="36">
        <v>1</v>
      </c>
      <c r="G434" s="86"/>
      <c r="H434" s="36" t="s">
        <v>199</v>
      </c>
      <c r="I434" s="36">
        <v>1</v>
      </c>
      <c r="J434" s="87"/>
      <c r="K434" s="38" t="s">
        <v>168</v>
      </c>
      <c r="L434" s="38">
        <v>1</v>
      </c>
      <c r="M434" s="18"/>
      <c r="O434" s="1">
        <v>1</v>
      </c>
      <c r="P434" s="1">
        <v>0</v>
      </c>
      <c r="Q434" s="1">
        <v>2</v>
      </c>
      <c r="R434" s="1">
        <v>0</v>
      </c>
      <c r="S434" s="14"/>
      <c r="U434" s="9" t="s">
        <v>171</v>
      </c>
      <c r="V434" s="10" t="s">
        <v>172</v>
      </c>
      <c r="W434" s="9">
        <v>7.94</v>
      </c>
      <c r="X434" s="9">
        <v>0.76</v>
      </c>
      <c r="Y434" s="9">
        <v>1.1000000000000001</v>
      </c>
      <c r="Z434" s="9">
        <v>0.62</v>
      </c>
      <c r="AA434" s="9">
        <v>2.77</v>
      </c>
      <c r="AB434" s="9">
        <v>0.84</v>
      </c>
      <c r="AC434" s="9">
        <v>0.95</v>
      </c>
      <c r="AD434" s="9">
        <v>1.03</v>
      </c>
      <c r="AE434" s="9">
        <v>1.28</v>
      </c>
      <c r="AF434" s="9">
        <v>2.14</v>
      </c>
      <c r="AH434" s="9" t="s">
        <v>173</v>
      </c>
      <c r="AI434" s="10" t="s">
        <v>174</v>
      </c>
      <c r="AJ434" s="9">
        <v>6.44</v>
      </c>
      <c r="AK434" s="9">
        <v>6.73</v>
      </c>
      <c r="AL434" s="9">
        <v>3</v>
      </c>
      <c r="AM434" s="9">
        <v>6.37</v>
      </c>
      <c r="AN434" s="9">
        <v>1.94</v>
      </c>
      <c r="AO434" s="9">
        <v>7.57</v>
      </c>
      <c r="AP434" s="9">
        <v>5.33</v>
      </c>
      <c r="AR434" s="9" t="s">
        <v>175</v>
      </c>
      <c r="AS434" s="10" t="s">
        <v>176</v>
      </c>
      <c r="AT434" s="9">
        <v>2.61</v>
      </c>
      <c r="AU434" s="9">
        <v>1.17</v>
      </c>
      <c r="AV434" s="9">
        <v>2.95</v>
      </c>
      <c r="AW434" s="9">
        <v>2</v>
      </c>
      <c r="AX434" s="14"/>
    </row>
    <row r="435" spans="1:50" ht="24" customHeight="1" thickTop="1" thickBot="1" x14ac:dyDescent="0.35">
      <c r="A435" s="63"/>
      <c r="B435" s="76"/>
      <c r="C435" s="25"/>
      <c r="D435" s="86"/>
      <c r="E435" s="36" t="s">
        <v>152</v>
      </c>
      <c r="F435" s="36">
        <v>1</v>
      </c>
      <c r="G435" s="86"/>
      <c r="H435" s="36" t="s">
        <v>200</v>
      </c>
      <c r="I435" s="36">
        <v>1</v>
      </c>
      <c r="J435" s="39"/>
      <c r="K435" s="39"/>
      <c r="L435" s="39"/>
      <c r="M435" s="18"/>
      <c r="O435" s="1">
        <v>2</v>
      </c>
      <c r="P435" s="1">
        <v>0</v>
      </c>
      <c r="Q435" s="1">
        <v>0</v>
      </c>
      <c r="R435" s="1">
        <v>1</v>
      </c>
      <c r="S435" s="14"/>
      <c r="U435" s="9" t="s">
        <v>179</v>
      </c>
      <c r="V435" s="10" t="s">
        <v>180</v>
      </c>
      <c r="W435" s="9">
        <v>8.59</v>
      </c>
      <c r="X435" s="9">
        <v>0.67</v>
      </c>
      <c r="Y435" s="9">
        <v>1.05</v>
      </c>
      <c r="Z435" s="9">
        <v>0.75</v>
      </c>
      <c r="AA435" s="9">
        <v>2.5</v>
      </c>
      <c r="AB435" s="9">
        <v>0.8</v>
      </c>
      <c r="AC435" s="9">
        <v>0.99</v>
      </c>
      <c r="AD435" s="9">
        <v>1.1200000000000001</v>
      </c>
      <c r="AE435" s="9">
        <v>1.1000000000000001</v>
      </c>
      <c r="AF435" s="9">
        <v>1.62</v>
      </c>
      <c r="AH435" s="11" t="s">
        <v>181</v>
      </c>
      <c r="AI435" s="12" t="s">
        <v>182</v>
      </c>
      <c r="AJ435" s="11">
        <v>6.78</v>
      </c>
      <c r="AK435" s="11">
        <v>7.11</v>
      </c>
      <c r="AL435" s="11">
        <v>3</v>
      </c>
      <c r="AM435" s="11">
        <v>7.49</v>
      </c>
      <c r="AN435" s="11">
        <v>2.21</v>
      </c>
      <c r="AO435" s="11">
        <v>8.4700000000000006</v>
      </c>
      <c r="AP435" s="11">
        <v>5.65</v>
      </c>
      <c r="AR435" s="11" t="s">
        <v>183</v>
      </c>
      <c r="AS435" s="12" t="s">
        <v>184</v>
      </c>
      <c r="AT435" s="11">
        <v>3.12</v>
      </c>
      <c r="AU435" s="11">
        <v>1.07</v>
      </c>
      <c r="AV435" s="11">
        <v>2.35</v>
      </c>
      <c r="AW435" s="11">
        <v>2</v>
      </c>
      <c r="AX435" s="14"/>
    </row>
    <row r="436" spans="1:50" ht="23.5" customHeight="1" thickTop="1" thickBot="1" x14ac:dyDescent="0.35">
      <c r="A436" s="63"/>
      <c r="B436" s="76"/>
      <c r="C436" s="25"/>
      <c r="D436" s="86"/>
      <c r="E436" s="36" t="s">
        <v>153</v>
      </c>
      <c r="F436" s="36">
        <v>1</v>
      </c>
      <c r="G436" s="86"/>
      <c r="H436" s="36" t="s">
        <v>201</v>
      </c>
      <c r="I436" s="36">
        <v>1</v>
      </c>
      <c r="J436" s="25"/>
      <c r="K436" s="25"/>
      <c r="L436" s="25"/>
      <c r="M436" s="18"/>
      <c r="O436" s="4">
        <v>3</v>
      </c>
      <c r="P436" s="4">
        <v>0</v>
      </c>
      <c r="Q436" s="4">
        <v>1</v>
      </c>
      <c r="R436" s="4">
        <v>1</v>
      </c>
      <c r="S436" s="14"/>
      <c r="U436" s="11" t="s">
        <v>187</v>
      </c>
      <c r="V436" s="12" t="s">
        <v>188</v>
      </c>
      <c r="W436" s="11">
        <v>9.1999999999999993</v>
      </c>
      <c r="X436" s="11">
        <v>0.9</v>
      </c>
      <c r="Y436" s="11">
        <v>1.25</v>
      </c>
      <c r="Z436" s="11">
        <v>0.56999999999999995</v>
      </c>
      <c r="AA436" s="11">
        <v>2.83</v>
      </c>
      <c r="AB436" s="11">
        <v>0.89</v>
      </c>
      <c r="AC436" s="11">
        <v>0.93</v>
      </c>
      <c r="AD436" s="11">
        <v>1</v>
      </c>
      <c r="AE436" s="11">
        <v>1.35</v>
      </c>
      <c r="AF436" s="11">
        <v>2.4</v>
      </c>
      <c r="AX436" s="14"/>
    </row>
    <row r="437" spans="1:50" ht="23.5" customHeight="1" thickTop="1" thickBot="1" x14ac:dyDescent="0.35">
      <c r="A437" s="63"/>
      <c r="B437" s="76"/>
      <c r="C437" s="25"/>
      <c r="D437" s="86"/>
      <c r="E437" s="1" t="s">
        <v>156</v>
      </c>
      <c r="F437" s="36">
        <v>1</v>
      </c>
      <c r="G437" s="87"/>
      <c r="H437" s="38" t="s">
        <v>164</v>
      </c>
      <c r="I437" s="38">
        <v>1</v>
      </c>
      <c r="J437" s="36"/>
      <c r="K437" s="25"/>
      <c r="L437" s="25"/>
      <c r="M437" s="18"/>
      <c r="O437" s="1"/>
      <c r="P437" s="1"/>
      <c r="Q437" s="1"/>
      <c r="R437" s="1"/>
      <c r="S437" s="14"/>
      <c r="U437" s="9"/>
      <c r="V437" s="10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X437" s="14"/>
    </row>
    <row r="438" spans="1:50" ht="23.5" customHeight="1" thickTop="1" thickBot="1" x14ac:dyDescent="0.35">
      <c r="A438" s="63"/>
      <c r="B438" s="76"/>
      <c r="C438" s="25"/>
      <c r="D438" s="87"/>
      <c r="E438" s="38" t="s">
        <v>197</v>
      </c>
      <c r="F438" s="38">
        <v>1</v>
      </c>
      <c r="G438" s="39"/>
      <c r="H438" s="39"/>
      <c r="I438" s="39"/>
      <c r="J438" s="36"/>
      <c r="K438" s="36"/>
      <c r="L438" s="25"/>
      <c r="M438" s="18"/>
      <c r="O438" s="1"/>
      <c r="P438" s="1"/>
      <c r="Q438" s="1"/>
      <c r="R438" s="1"/>
      <c r="S438" s="14"/>
      <c r="U438" s="9"/>
      <c r="V438" s="10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X438" s="14"/>
    </row>
    <row r="439" spans="1:50" ht="23" customHeight="1" thickTop="1" x14ac:dyDescent="0.3">
      <c r="A439" s="63"/>
      <c r="B439" s="76"/>
      <c r="C439" s="25"/>
      <c r="D439" s="39"/>
      <c r="E439" s="39"/>
      <c r="F439" s="39"/>
      <c r="G439" s="25"/>
      <c r="H439" s="25"/>
      <c r="I439" s="25"/>
      <c r="J439" s="25"/>
      <c r="K439" s="25"/>
      <c r="L439" s="25"/>
      <c r="M439" s="18"/>
      <c r="O439" s="1"/>
      <c r="P439" s="1"/>
      <c r="Q439" s="1"/>
      <c r="R439" s="1"/>
      <c r="S439" s="14"/>
      <c r="AX439" s="14"/>
    </row>
    <row r="440" spans="1:50" ht="23" customHeight="1" thickBot="1" x14ac:dyDescent="0.35">
      <c r="A440" s="63"/>
      <c r="B440" s="81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19"/>
      <c r="N440" s="15"/>
      <c r="O440" s="15"/>
      <c r="P440" s="15"/>
      <c r="Q440" s="15"/>
      <c r="R440" s="15"/>
      <c r="S440" s="16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6"/>
    </row>
    <row r="441" spans="1:50" ht="15" customHeight="1" thickTop="1" thickBot="1" x14ac:dyDescent="0.35">
      <c r="A441" s="63"/>
      <c r="B441" s="89" t="s">
        <v>61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17"/>
      <c r="N441" s="24"/>
      <c r="O441" s="24"/>
      <c r="P441" s="24"/>
      <c r="Q441" s="24"/>
      <c r="R441" s="24"/>
      <c r="S441" s="1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17"/>
    </row>
    <row r="442" spans="1:50" ht="31" customHeight="1" thickTop="1" thickBot="1" x14ac:dyDescent="0.35">
      <c r="A442" s="63"/>
      <c r="B442" s="76"/>
      <c r="C442" s="24"/>
      <c r="D442" s="27" t="s">
        <v>191</v>
      </c>
      <c r="E442" s="27" t="s">
        <v>192</v>
      </c>
      <c r="F442" s="27" t="s">
        <v>193</v>
      </c>
      <c r="G442" s="27" t="s">
        <v>191</v>
      </c>
      <c r="H442" s="27" t="s">
        <v>192</v>
      </c>
      <c r="I442" s="27" t="s">
        <v>193</v>
      </c>
      <c r="J442" s="27" t="s">
        <v>191</v>
      </c>
      <c r="K442" s="27" t="s">
        <v>192</v>
      </c>
      <c r="L442" s="27" t="s">
        <v>193</v>
      </c>
      <c r="M442" s="17"/>
      <c r="N442" s="24"/>
      <c r="O442" s="24"/>
      <c r="P442" s="24"/>
      <c r="Q442" s="24"/>
      <c r="R442" s="24"/>
      <c r="S442" s="1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17"/>
    </row>
    <row r="443" spans="1:50" ht="23.5" customHeight="1" thickTop="1" thickBot="1" x14ac:dyDescent="0.35">
      <c r="A443" s="63"/>
      <c r="B443" s="76"/>
      <c r="C443" s="33"/>
      <c r="D443" s="88" t="s">
        <v>194</v>
      </c>
      <c r="E443" s="36" t="s">
        <v>148</v>
      </c>
      <c r="F443" s="36">
        <v>5</v>
      </c>
      <c r="G443" s="85" t="s">
        <v>198</v>
      </c>
      <c r="H443" s="36" t="s">
        <v>158</v>
      </c>
      <c r="I443" s="36">
        <v>1</v>
      </c>
      <c r="J443" s="85" t="s">
        <v>202</v>
      </c>
      <c r="K443" s="36" t="s">
        <v>203</v>
      </c>
      <c r="L443" s="36">
        <v>2</v>
      </c>
      <c r="M443" s="18"/>
      <c r="N443" s="13"/>
      <c r="O443" s="34"/>
      <c r="P443" s="34"/>
      <c r="Q443" s="24"/>
      <c r="S443" s="14"/>
      <c r="T443" s="13"/>
      <c r="AX443" s="14"/>
    </row>
    <row r="444" spans="1:50" ht="23.5" customHeight="1" thickTop="1" thickBot="1" x14ac:dyDescent="0.35">
      <c r="A444" s="63"/>
      <c r="B444" s="76"/>
      <c r="C444" s="25"/>
      <c r="D444" s="86"/>
      <c r="E444" s="36" t="s">
        <v>195</v>
      </c>
      <c r="F444" s="36">
        <v>1</v>
      </c>
      <c r="G444" s="86"/>
      <c r="H444" s="36" t="s">
        <v>159</v>
      </c>
      <c r="I444" s="36">
        <v>1</v>
      </c>
      <c r="J444" s="86"/>
      <c r="K444" s="36" t="s">
        <v>166</v>
      </c>
      <c r="L444" s="36">
        <v>1</v>
      </c>
      <c r="M444" s="18"/>
      <c r="O444" s="82" t="s">
        <v>205</v>
      </c>
      <c r="P444" s="82" t="s">
        <v>206</v>
      </c>
      <c r="Q444" s="83"/>
      <c r="R444" s="83"/>
      <c r="S444" s="14"/>
      <c r="Z444" s="23" t="s">
        <v>194</v>
      </c>
      <c r="AK444" s="23" t="s">
        <v>198</v>
      </c>
      <c r="AT444" s="23" t="s">
        <v>202</v>
      </c>
      <c r="AX444" s="14"/>
    </row>
    <row r="445" spans="1:50" ht="25" customHeight="1" thickTop="1" thickBot="1" x14ac:dyDescent="0.35">
      <c r="A445" s="63"/>
      <c r="B445" s="76"/>
      <c r="C445" s="25"/>
      <c r="D445" s="86"/>
      <c r="E445" s="36" t="s">
        <v>196</v>
      </c>
      <c r="F445" s="36">
        <v>1</v>
      </c>
      <c r="G445" s="86"/>
      <c r="H445" s="36" t="s">
        <v>160</v>
      </c>
      <c r="I445" s="36">
        <v>1</v>
      </c>
      <c r="J445" s="86"/>
      <c r="K445" s="36" t="s">
        <v>167</v>
      </c>
      <c r="L445" s="36">
        <v>1</v>
      </c>
      <c r="M445" s="18"/>
      <c r="O445" s="84"/>
      <c r="P445" s="2" t="s">
        <v>178</v>
      </c>
      <c r="Q445" s="2" t="s">
        <v>186</v>
      </c>
      <c r="R445" s="2" t="s">
        <v>190</v>
      </c>
      <c r="S445" s="14"/>
      <c r="U445" s="7" t="s">
        <v>146</v>
      </c>
      <c r="V445" s="7" t="s">
        <v>147</v>
      </c>
      <c r="W445" s="7" t="s">
        <v>148</v>
      </c>
      <c r="X445" s="7" t="s">
        <v>149</v>
      </c>
      <c r="Y445" s="7" t="s">
        <v>150</v>
      </c>
      <c r="Z445" s="8" t="s">
        <v>151</v>
      </c>
      <c r="AA445" s="7" t="s">
        <v>152</v>
      </c>
      <c r="AB445" s="7" t="s">
        <v>153</v>
      </c>
      <c r="AC445" s="7" t="s">
        <v>154</v>
      </c>
      <c r="AD445" s="7" t="s">
        <v>155</v>
      </c>
      <c r="AE445" s="8" t="s">
        <v>156</v>
      </c>
      <c r="AF445" s="7" t="s">
        <v>157</v>
      </c>
      <c r="AH445" s="7" t="s">
        <v>146</v>
      </c>
      <c r="AI445" s="7" t="s">
        <v>147</v>
      </c>
      <c r="AJ445" s="7" t="s">
        <v>158</v>
      </c>
      <c r="AK445" s="7" t="s">
        <v>159</v>
      </c>
      <c r="AL445" s="7" t="s">
        <v>160</v>
      </c>
      <c r="AM445" s="7" t="s">
        <v>161</v>
      </c>
      <c r="AN445" s="7" t="s">
        <v>162</v>
      </c>
      <c r="AO445" s="7" t="s">
        <v>163</v>
      </c>
      <c r="AP445" s="7" t="s">
        <v>164</v>
      </c>
      <c r="AR445" s="7" t="s">
        <v>146</v>
      </c>
      <c r="AS445" s="7" t="s">
        <v>147</v>
      </c>
      <c r="AT445" s="7" t="s">
        <v>165</v>
      </c>
      <c r="AU445" s="7" t="s">
        <v>166</v>
      </c>
      <c r="AV445" s="7" t="s">
        <v>167</v>
      </c>
      <c r="AW445" s="7" t="s">
        <v>168</v>
      </c>
      <c r="AX445" s="14"/>
    </row>
    <row r="446" spans="1:50" ht="23.5" customHeight="1" thickBot="1" x14ac:dyDescent="0.35">
      <c r="A446" s="63"/>
      <c r="B446" s="76"/>
      <c r="C446" s="25"/>
      <c r="D446" s="86"/>
      <c r="E446" s="1" t="s">
        <v>151</v>
      </c>
      <c r="F446" s="36">
        <v>1</v>
      </c>
      <c r="G446" s="86"/>
      <c r="H446" s="36" t="s">
        <v>199</v>
      </c>
      <c r="I446" s="36">
        <v>1</v>
      </c>
      <c r="J446" s="87"/>
      <c r="K446" s="38" t="s">
        <v>168</v>
      </c>
      <c r="L446" s="38">
        <v>1</v>
      </c>
      <c r="M446" s="18"/>
      <c r="O446" s="1">
        <v>1</v>
      </c>
      <c r="P446" s="1">
        <v>1</v>
      </c>
      <c r="Q446" s="1">
        <v>1</v>
      </c>
      <c r="R446" s="1">
        <v>1</v>
      </c>
      <c r="S446" s="14"/>
      <c r="U446" s="9" t="s">
        <v>171</v>
      </c>
      <c r="V446" s="10" t="s">
        <v>172</v>
      </c>
      <c r="W446" s="9">
        <v>7.12</v>
      </c>
      <c r="X446" s="9">
        <v>0.81</v>
      </c>
      <c r="Y446" s="9">
        <v>1.19</v>
      </c>
      <c r="Z446" s="9">
        <v>0.67</v>
      </c>
      <c r="AA446" s="9">
        <v>2.5</v>
      </c>
      <c r="AB446" s="9">
        <v>0.87</v>
      </c>
      <c r="AC446" s="9">
        <v>0.97</v>
      </c>
      <c r="AD446" s="9">
        <v>1.1499999999999999</v>
      </c>
      <c r="AE446" s="9">
        <v>1.08</v>
      </c>
      <c r="AF446" s="9">
        <v>1.97</v>
      </c>
      <c r="AH446" s="9" t="s">
        <v>173</v>
      </c>
      <c r="AI446" s="10" t="s">
        <v>174</v>
      </c>
      <c r="AJ446" s="9">
        <v>6.16</v>
      </c>
      <c r="AK446" s="9">
        <v>6.59</v>
      </c>
      <c r="AL446" s="9">
        <v>3</v>
      </c>
      <c r="AM446" s="9">
        <v>6.15</v>
      </c>
      <c r="AN446" s="9">
        <v>1.59</v>
      </c>
      <c r="AO446" s="9">
        <v>7.19</v>
      </c>
      <c r="AP446" s="9">
        <v>5.16</v>
      </c>
      <c r="AR446" s="9" t="s">
        <v>175</v>
      </c>
      <c r="AS446" s="10" t="s">
        <v>176</v>
      </c>
      <c r="AT446" s="9">
        <v>3.3</v>
      </c>
      <c r="AU446" s="9">
        <v>1.1100000000000001</v>
      </c>
      <c r="AV446" s="9">
        <v>2.5499999999999998</v>
      </c>
      <c r="AW446" s="9">
        <v>2</v>
      </c>
      <c r="AX446" s="14"/>
    </row>
    <row r="447" spans="1:50" ht="24" customHeight="1" thickTop="1" thickBot="1" x14ac:dyDescent="0.35">
      <c r="A447" s="63"/>
      <c r="B447" s="76"/>
      <c r="C447" s="25"/>
      <c r="D447" s="86"/>
      <c r="E447" s="36" t="s">
        <v>152</v>
      </c>
      <c r="F447" s="36">
        <v>1</v>
      </c>
      <c r="G447" s="86"/>
      <c r="H447" s="36" t="s">
        <v>200</v>
      </c>
      <c r="I447" s="36">
        <v>1</v>
      </c>
      <c r="J447" s="39"/>
      <c r="K447" s="39"/>
      <c r="L447" s="39"/>
      <c r="M447" s="18"/>
      <c r="O447" s="1">
        <v>2</v>
      </c>
      <c r="P447" s="1">
        <v>0</v>
      </c>
      <c r="Q447" s="1">
        <v>1</v>
      </c>
      <c r="R447" s="1">
        <v>0</v>
      </c>
      <c r="S447" s="14"/>
      <c r="U447" s="9" t="s">
        <v>179</v>
      </c>
      <c r="V447" s="10" t="s">
        <v>180</v>
      </c>
      <c r="W447" s="9">
        <v>8.73</v>
      </c>
      <c r="X447" s="9">
        <v>0.72</v>
      </c>
      <c r="Y447" s="9">
        <v>1.02</v>
      </c>
      <c r="Z447" s="9">
        <v>0.61</v>
      </c>
      <c r="AA447" s="9">
        <v>2.63</v>
      </c>
      <c r="AB447" s="9">
        <v>0.83</v>
      </c>
      <c r="AC447" s="9">
        <v>0.92</v>
      </c>
      <c r="AD447" s="9">
        <v>1.03</v>
      </c>
      <c r="AE447" s="9">
        <v>1.22</v>
      </c>
      <c r="AF447" s="9">
        <v>2.31</v>
      </c>
      <c r="AH447" s="11" t="s">
        <v>181</v>
      </c>
      <c r="AI447" s="12" t="s">
        <v>182</v>
      </c>
      <c r="AJ447" s="11">
        <v>6.93</v>
      </c>
      <c r="AK447" s="11">
        <v>7.41</v>
      </c>
      <c r="AL447" s="11">
        <v>3</v>
      </c>
      <c r="AM447" s="11">
        <v>7.84</v>
      </c>
      <c r="AN447" s="11">
        <v>2.41</v>
      </c>
      <c r="AO447" s="11">
        <v>8.81</v>
      </c>
      <c r="AP447" s="11">
        <v>5.93</v>
      </c>
      <c r="AR447" s="11" t="s">
        <v>183</v>
      </c>
      <c r="AS447" s="12" t="s">
        <v>184</v>
      </c>
      <c r="AT447" s="11">
        <v>2.57</v>
      </c>
      <c r="AU447" s="11">
        <v>1.22</v>
      </c>
      <c r="AV447" s="11">
        <v>2.2000000000000002</v>
      </c>
      <c r="AW447" s="11">
        <v>2</v>
      </c>
      <c r="AX447" s="14"/>
    </row>
    <row r="448" spans="1:50" ht="23.5" customHeight="1" thickTop="1" thickBot="1" x14ac:dyDescent="0.35">
      <c r="A448" s="63"/>
      <c r="B448" s="76"/>
      <c r="C448" s="25"/>
      <c r="D448" s="86"/>
      <c r="E448" s="36" t="s">
        <v>153</v>
      </c>
      <c r="F448" s="36">
        <v>1</v>
      </c>
      <c r="G448" s="86"/>
      <c r="H448" s="36" t="s">
        <v>201</v>
      </c>
      <c r="I448" s="36">
        <v>1</v>
      </c>
      <c r="J448" s="25"/>
      <c r="K448" s="25"/>
      <c r="L448" s="25"/>
      <c r="M448" s="18"/>
      <c r="O448" s="4">
        <v>3</v>
      </c>
      <c r="P448" s="4">
        <v>0</v>
      </c>
      <c r="Q448" s="4">
        <v>1</v>
      </c>
      <c r="R448" s="4">
        <v>2</v>
      </c>
      <c r="S448" s="14"/>
      <c r="U448" s="11" t="s">
        <v>187</v>
      </c>
      <c r="V448" s="12" t="s">
        <v>188</v>
      </c>
      <c r="W448" s="11">
        <v>9.0500000000000007</v>
      </c>
      <c r="X448" s="11">
        <v>0.65</v>
      </c>
      <c r="Y448" s="11">
        <v>1.21</v>
      </c>
      <c r="Z448" s="11">
        <v>0.75</v>
      </c>
      <c r="AA448" s="11">
        <v>2.97</v>
      </c>
      <c r="AB448" s="11">
        <v>0.81</v>
      </c>
      <c r="AC448" s="11">
        <v>1</v>
      </c>
      <c r="AD448" s="11">
        <v>1.2</v>
      </c>
      <c r="AE448" s="11">
        <v>1.4</v>
      </c>
      <c r="AF448" s="11">
        <v>1.54</v>
      </c>
      <c r="AX448" s="14"/>
    </row>
    <row r="449" spans="1:50" ht="23.5" customHeight="1" thickTop="1" thickBot="1" x14ac:dyDescent="0.35">
      <c r="A449" s="63"/>
      <c r="B449" s="76"/>
      <c r="C449" s="25"/>
      <c r="D449" s="86"/>
      <c r="E449" s="1" t="s">
        <v>156</v>
      </c>
      <c r="F449" s="36">
        <v>1</v>
      </c>
      <c r="G449" s="87"/>
      <c r="H449" s="38" t="s">
        <v>164</v>
      </c>
      <c r="I449" s="38">
        <v>1</v>
      </c>
      <c r="J449" s="36"/>
      <c r="K449" s="25"/>
      <c r="L449" s="25"/>
      <c r="M449" s="18"/>
      <c r="O449" s="1"/>
      <c r="P449" s="1"/>
      <c r="Q449" s="1"/>
      <c r="R449" s="1"/>
      <c r="S449" s="14"/>
      <c r="U449" s="9"/>
      <c r="V449" s="10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X449" s="14"/>
    </row>
    <row r="450" spans="1:50" ht="23.5" customHeight="1" thickTop="1" thickBot="1" x14ac:dyDescent="0.35">
      <c r="A450" s="63"/>
      <c r="B450" s="76"/>
      <c r="C450" s="25"/>
      <c r="D450" s="87"/>
      <c r="E450" s="38" t="s">
        <v>197</v>
      </c>
      <c r="F450" s="38">
        <v>1</v>
      </c>
      <c r="G450" s="39"/>
      <c r="H450" s="39"/>
      <c r="I450" s="39"/>
      <c r="J450" s="36"/>
      <c r="K450" s="36"/>
      <c r="L450" s="25"/>
      <c r="M450" s="18"/>
      <c r="S450" s="14"/>
      <c r="U450" s="9"/>
      <c r="V450" s="10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X450" s="14"/>
    </row>
    <row r="451" spans="1:50" ht="23" customHeight="1" thickTop="1" x14ac:dyDescent="0.3">
      <c r="A451" s="63"/>
      <c r="B451" s="76"/>
      <c r="C451" s="25"/>
      <c r="D451" s="39"/>
      <c r="E451" s="39"/>
      <c r="F451" s="39"/>
      <c r="G451" s="25"/>
      <c r="H451" s="25"/>
      <c r="I451" s="25"/>
      <c r="J451" s="25"/>
      <c r="K451" s="25"/>
      <c r="L451" s="25"/>
      <c r="M451" s="18"/>
      <c r="O451" s="1"/>
      <c r="P451" s="1"/>
      <c r="Q451" s="1"/>
      <c r="R451" s="1"/>
      <c r="S451" s="14"/>
      <c r="AX451" s="14"/>
    </row>
    <row r="452" spans="1:50" ht="23" customHeight="1" thickBot="1" x14ac:dyDescent="0.35">
      <c r="A452" s="63"/>
      <c r="B452" s="81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19"/>
      <c r="N452" s="15"/>
      <c r="O452" s="15"/>
      <c r="P452" s="15"/>
      <c r="Q452" s="15"/>
      <c r="R452" s="15"/>
      <c r="S452" s="16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6"/>
    </row>
    <row r="453" spans="1:50" ht="15" customHeight="1" thickTop="1" thickBot="1" x14ac:dyDescent="0.35">
      <c r="A453" s="63"/>
      <c r="B453" s="89" t="s">
        <v>62</v>
      </c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17"/>
      <c r="N453" s="24"/>
      <c r="O453" s="24"/>
      <c r="P453" s="24"/>
      <c r="Q453" s="24"/>
      <c r="R453" s="24"/>
      <c r="S453" s="1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17"/>
    </row>
    <row r="454" spans="1:50" ht="31" customHeight="1" thickTop="1" thickBot="1" x14ac:dyDescent="0.35">
      <c r="A454" s="63"/>
      <c r="B454" s="76"/>
      <c r="C454" s="24"/>
      <c r="D454" s="27" t="s">
        <v>191</v>
      </c>
      <c r="E454" s="27" t="s">
        <v>192</v>
      </c>
      <c r="F454" s="27" t="s">
        <v>193</v>
      </c>
      <c r="G454" s="27" t="s">
        <v>191</v>
      </c>
      <c r="H454" s="27" t="s">
        <v>192</v>
      </c>
      <c r="I454" s="27" t="s">
        <v>193</v>
      </c>
      <c r="J454" s="27" t="s">
        <v>191</v>
      </c>
      <c r="K454" s="27" t="s">
        <v>192</v>
      </c>
      <c r="L454" s="27" t="s">
        <v>193</v>
      </c>
      <c r="M454" s="17"/>
      <c r="N454" s="24"/>
      <c r="O454" s="24"/>
      <c r="P454" s="24"/>
      <c r="Q454" s="24"/>
      <c r="R454" s="24"/>
      <c r="S454" s="1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17"/>
    </row>
    <row r="455" spans="1:50" ht="23.5" customHeight="1" thickTop="1" thickBot="1" x14ac:dyDescent="0.35">
      <c r="A455" s="63"/>
      <c r="B455" s="76"/>
      <c r="C455" s="33"/>
      <c r="D455" s="88" t="s">
        <v>194</v>
      </c>
      <c r="E455" s="36" t="s">
        <v>148</v>
      </c>
      <c r="F455" s="36">
        <v>5</v>
      </c>
      <c r="G455" s="85" t="s">
        <v>198</v>
      </c>
      <c r="H455" s="36" t="s">
        <v>158</v>
      </c>
      <c r="I455" s="36">
        <v>1</v>
      </c>
      <c r="J455" s="85" t="s">
        <v>202</v>
      </c>
      <c r="K455" s="36" t="s">
        <v>203</v>
      </c>
      <c r="L455" s="36">
        <v>1</v>
      </c>
      <c r="M455" s="18"/>
      <c r="N455" s="13"/>
      <c r="O455" s="34"/>
      <c r="P455" s="34"/>
      <c r="Q455" s="24"/>
      <c r="S455" s="14"/>
      <c r="T455" s="13"/>
      <c r="AX455" s="14"/>
    </row>
    <row r="456" spans="1:50" ht="23.5" customHeight="1" thickTop="1" thickBot="1" x14ac:dyDescent="0.35">
      <c r="A456" s="63"/>
      <c r="B456" s="76"/>
      <c r="C456" s="25"/>
      <c r="D456" s="86"/>
      <c r="E456" s="36" t="s">
        <v>195</v>
      </c>
      <c r="F456" s="36">
        <v>2</v>
      </c>
      <c r="G456" s="86"/>
      <c r="H456" s="36" t="s">
        <v>159</v>
      </c>
      <c r="I456" s="36">
        <v>1</v>
      </c>
      <c r="J456" s="86"/>
      <c r="K456" s="36" t="s">
        <v>166</v>
      </c>
      <c r="L456" s="36">
        <v>1</v>
      </c>
      <c r="M456" s="18"/>
      <c r="O456" s="82" t="s">
        <v>205</v>
      </c>
      <c r="P456" s="82" t="s">
        <v>206</v>
      </c>
      <c r="Q456" s="83"/>
      <c r="R456" s="83"/>
      <c r="S456" s="14"/>
      <c r="Z456" s="23" t="s">
        <v>194</v>
      </c>
      <c r="AK456" s="23" t="s">
        <v>198</v>
      </c>
      <c r="AT456" s="23" t="s">
        <v>202</v>
      </c>
      <c r="AX456" s="14"/>
    </row>
    <row r="457" spans="1:50" ht="25" customHeight="1" thickTop="1" thickBot="1" x14ac:dyDescent="0.35">
      <c r="A457" s="63"/>
      <c r="B457" s="76"/>
      <c r="C457" s="25"/>
      <c r="D457" s="86"/>
      <c r="E457" s="36" t="s">
        <v>196</v>
      </c>
      <c r="F457" s="36">
        <v>2</v>
      </c>
      <c r="G457" s="86"/>
      <c r="H457" s="36" t="s">
        <v>160</v>
      </c>
      <c r="I457" s="36">
        <v>1</v>
      </c>
      <c r="J457" s="86"/>
      <c r="K457" s="36" t="s">
        <v>167</v>
      </c>
      <c r="L457" s="36">
        <v>1</v>
      </c>
      <c r="M457" s="18"/>
      <c r="O457" s="84"/>
      <c r="P457" s="2" t="s">
        <v>178</v>
      </c>
      <c r="Q457" s="2" t="s">
        <v>186</v>
      </c>
      <c r="R457" s="2" t="s">
        <v>190</v>
      </c>
      <c r="S457" s="14"/>
      <c r="U457" s="7" t="s">
        <v>146</v>
      </c>
      <c r="V457" s="7" t="s">
        <v>147</v>
      </c>
      <c r="W457" s="7" t="s">
        <v>148</v>
      </c>
      <c r="X457" s="7" t="s">
        <v>149</v>
      </c>
      <c r="Y457" s="7" t="s">
        <v>150</v>
      </c>
      <c r="Z457" s="8" t="s">
        <v>151</v>
      </c>
      <c r="AA457" s="7" t="s">
        <v>152</v>
      </c>
      <c r="AB457" s="7" t="s">
        <v>153</v>
      </c>
      <c r="AC457" s="7" t="s">
        <v>154</v>
      </c>
      <c r="AD457" s="7" t="s">
        <v>155</v>
      </c>
      <c r="AE457" s="8" t="s">
        <v>156</v>
      </c>
      <c r="AF457" s="7" t="s">
        <v>157</v>
      </c>
      <c r="AH457" s="7" t="s">
        <v>146</v>
      </c>
      <c r="AI457" s="7" t="s">
        <v>147</v>
      </c>
      <c r="AJ457" s="7" t="s">
        <v>158</v>
      </c>
      <c r="AK457" s="7" t="s">
        <v>159</v>
      </c>
      <c r="AL457" s="7" t="s">
        <v>160</v>
      </c>
      <c r="AM457" s="7" t="s">
        <v>161</v>
      </c>
      <c r="AN457" s="7" t="s">
        <v>162</v>
      </c>
      <c r="AO457" s="7" t="s">
        <v>163</v>
      </c>
      <c r="AP457" s="7" t="s">
        <v>164</v>
      </c>
      <c r="AR457" s="7" t="s">
        <v>146</v>
      </c>
      <c r="AS457" s="7" t="s">
        <v>147</v>
      </c>
      <c r="AT457" s="7" t="s">
        <v>165</v>
      </c>
      <c r="AU457" s="7" t="s">
        <v>166</v>
      </c>
      <c r="AV457" s="7" t="s">
        <v>167</v>
      </c>
      <c r="AW457" s="7" t="s">
        <v>168</v>
      </c>
      <c r="AX457" s="14"/>
    </row>
    <row r="458" spans="1:50" ht="23.5" customHeight="1" thickBot="1" x14ac:dyDescent="0.35">
      <c r="A458" s="63"/>
      <c r="B458" s="76"/>
      <c r="C458" s="25"/>
      <c r="D458" s="86"/>
      <c r="E458" s="1" t="s">
        <v>151</v>
      </c>
      <c r="F458" s="36">
        <v>1</v>
      </c>
      <c r="G458" s="86"/>
      <c r="H458" s="36" t="s">
        <v>199</v>
      </c>
      <c r="I458" s="36">
        <v>1</v>
      </c>
      <c r="J458" s="87"/>
      <c r="K458" s="38" t="s">
        <v>168</v>
      </c>
      <c r="L458" s="38">
        <v>1</v>
      </c>
      <c r="M458" s="18"/>
      <c r="O458" s="1">
        <v>1</v>
      </c>
      <c r="P458" s="1">
        <v>1</v>
      </c>
      <c r="Q458" s="1">
        <v>0</v>
      </c>
      <c r="R458" s="1">
        <v>1</v>
      </c>
      <c r="S458" s="14"/>
      <c r="U458" s="9" t="s">
        <v>171</v>
      </c>
      <c r="V458" s="10" t="s">
        <v>172</v>
      </c>
      <c r="W458" s="9">
        <v>7.38</v>
      </c>
      <c r="X458" s="9">
        <v>0.78</v>
      </c>
      <c r="Y458" s="9">
        <v>1.1399999999999999</v>
      </c>
      <c r="Z458" s="9">
        <v>0.59</v>
      </c>
      <c r="AA458" s="9">
        <v>2.5</v>
      </c>
      <c r="AB458" s="9">
        <v>0.85</v>
      </c>
      <c r="AC458" s="9">
        <v>0.93</v>
      </c>
      <c r="AD458" s="9">
        <v>1.1000000000000001</v>
      </c>
      <c r="AE458" s="9">
        <v>1.3</v>
      </c>
      <c r="AF458" s="9">
        <v>2.0499999999999998</v>
      </c>
      <c r="AH458" s="9" t="s">
        <v>173</v>
      </c>
      <c r="AI458" s="10" t="s">
        <v>174</v>
      </c>
      <c r="AJ458" s="9">
        <v>6.51</v>
      </c>
      <c r="AK458" s="9">
        <v>6.85</v>
      </c>
      <c r="AL458" s="9">
        <v>3</v>
      </c>
      <c r="AM458" s="9">
        <v>6.51</v>
      </c>
      <c r="AN458" s="9">
        <v>1.85</v>
      </c>
      <c r="AO458" s="9">
        <v>7.51</v>
      </c>
      <c r="AP458" s="9">
        <v>5.41</v>
      </c>
      <c r="AR458" s="9" t="s">
        <v>175</v>
      </c>
      <c r="AS458" s="10" t="s">
        <v>176</v>
      </c>
      <c r="AT458" s="9">
        <v>2.85</v>
      </c>
      <c r="AU458" s="9">
        <v>1.0900000000000001</v>
      </c>
      <c r="AV458" s="9">
        <v>2.8</v>
      </c>
      <c r="AW458" s="9">
        <v>2</v>
      </c>
      <c r="AX458" s="14"/>
    </row>
    <row r="459" spans="1:50" ht="24" customHeight="1" thickTop="1" thickBot="1" x14ac:dyDescent="0.35">
      <c r="A459" s="63"/>
      <c r="B459" s="76"/>
      <c r="C459" s="25"/>
      <c r="D459" s="86"/>
      <c r="E459" s="36" t="s">
        <v>152</v>
      </c>
      <c r="F459" s="36">
        <v>1</v>
      </c>
      <c r="G459" s="86"/>
      <c r="H459" s="36" t="s">
        <v>200</v>
      </c>
      <c r="I459" s="36">
        <v>1</v>
      </c>
      <c r="J459" s="39"/>
      <c r="K459" s="39"/>
      <c r="L459" s="39"/>
      <c r="M459" s="18"/>
      <c r="O459" s="1">
        <v>2</v>
      </c>
      <c r="P459" s="1">
        <v>0</v>
      </c>
      <c r="Q459" s="1">
        <v>1</v>
      </c>
      <c r="R459" s="1">
        <v>0</v>
      </c>
      <c r="S459" s="14"/>
      <c r="U459" s="9" t="s">
        <v>179</v>
      </c>
      <c r="V459" s="10" t="s">
        <v>180</v>
      </c>
      <c r="W459" s="9">
        <v>8.17</v>
      </c>
      <c r="X459" s="9">
        <v>0.69</v>
      </c>
      <c r="Y459" s="9">
        <v>1.06</v>
      </c>
      <c r="Z459" s="9">
        <v>0.68</v>
      </c>
      <c r="AA459" s="9">
        <v>2.79</v>
      </c>
      <c r="AB459" s="9">
        <v>0.82</v>
      </c>
      <c r="AC459" s="9">
        <v>0.98</v>
      </c>
      <c r="AD459" s="9">
        <v>1.05</v>
      </c>
      <c r="AE459" s="9">
        <v>1.1499999999999999</v>
      </c>
      <c r="AF459" s="9">
        <v>1.68</v>
      </c>
      <c r="AH459" s="11" t="s">
        <v>181</v>
      </c>
      <c r="AI459" s="12" t="s">
        <v>182</v>
      </c>
      <c r="AJ459" s="11">
        <v>6.81</v>
      </c>
      <c r="AK459" s="11">
        <v>7.26</v>
      </c>
      <c r="AL459" s="11">
        <v>3</v>
      </c>
      <c r="AM459" s="11">
        <v>7.51</v>
      </c>
      <c r="AN459" s="11">
        <v>2.16</v>
      </c>
      <c r="AO459" s="11">
        <v>8.51</v>
      </c>
      <c r="AP459" s="11">
        <v>5.71</v>
      </c>
      <c r="AR459" s="11" t="s">
        <v>183</v>
      </c>
      <c r="AS459" s="12" t="s">
        <v>184</v>
      </c>
      <c r="AT459" s="11">
        <v>3.25</v>
      </c>
      <c r="AU459" s="11">
        <v>1.1399999999999999</v>
      </c>
      <c r="AV459" s="11">
        <v>2.4</v>
      </c>
      <c r="AW459" s="11">
        <v>2</v>
      </c>
      <c r="AX459" s="14"/>
    </row>
    <row r="460" spans="1:50" ht="23.5" customHeight="1" thickTop="1" thickBot="1" x14ac:dyDescent="0.35">
      <c r="A460" s="63"/>
      <c r="B460" s="76"/>
      <c r="C460" s="25"/>
      <c r="D460" s="86"/>
      <c r="E460" s="36" t="s">
        <v>153</v>
      </c>
      <c r="F460" s="36">
        <v>1</v>
      </c>
      <c r="G460" s="86"/>
      <c r="H460" s="36" t="s">
        <v>201</v>
      </c>
      <c r="I460" s="36">
        <v>1</v>
      </c>
      <c r="J460" s="25"/>
      <c r="K460" s="25"/>
      <c r="L460" s="25"/>
      <c r="M460" s="18"/>
      <c r="O460" s="1">
        <v>3</v>
      </c>
      <c r="P460" s="1">
        <v>0</v>
      </c>
      <c r="Q460" s="1">
        <v>0</v>
      </c>
      <c r="R460" s="1">
        <v>1</v>
      </c>
      <c r="S460" s="14"/>
      <c r="U460" s="11" t="s">
        <v>187</v>
      </c>
      <c r="V460" s="12" t="s">
        <v>188</v>
      </c>
      <c r="W460" s="11">
        <v>9.1199999999999992</v>
      </c>
      <c r="X460" s="11">
        <v>0.85</v>
      </c>
      <c r="Y460" s="11">
        <v>1.25</v>
      </c>
      <c r="Z460" s="11">
        <v>0.72</v>
      </c>
      <c r="AA460" s="11">
        <v>2.5</v>
      </c>
      <c r="AB460" s="11">
        <v>0.88</v>
      </c>
      <c r="AC460" s="11">
        <v>0.95</v>
      </c>
      <c r="AD460" s="11">
        <v>1.2</v>
      </c>
      <c r="AE460" s="11">
        <v>1.38</v>
      </c>
      <c r="AF460" s="11">
        <v>2.42</v>
      </c>
      <c r="AX460" s="14"/>
    </row>
    <row r="461" spans="1:50" ht="23.5" customHeight="1" thickTop="1" thickBot="1" x14ac:dyDescent="0.35">
      <c r="A461" s="63"/>
      <c r="B461" s="76"/>
      <c r="C461" s="25"/>
      <c r="D461" s="86"/>
      <c r="E461" s="1" t="s">
        <v>156</v>
      </c>
      <c r="F461" s="36">
        <v>1</v>
      </c>
      <c r="G461" s="87"/>
      <c r="H461" s="38" t="s">
        <v>164</v>
      </c>
      <c r="I461" s="38">
        <v>1</v>
      </c>
      <c r="J461" s="36"/>
      <c r="K461" s="25"/>
      <c r="L461" s="25"/>
      <c r="M461" s="18"/>
      <c r="O461" s="1">
        <v>4</v>
      </c>
      <c r="P461" s="1">
        <v>2</v>
      </c>
      <c r="Q461" s="1">
        <v>0</v>
      </c>
      <c r="R461" s="1">
        <v>0</v>
      </c>
      <c r="S461" s="14"/>
      <c r="U461" s="9"/>
      <c r="V461" s="10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X461" s="14"/>
    </row>
    <row r="462" spans="1:50" ht="23.5" customHeight="1" thickTop="1" thickBot="1" x14ac:dyDescent="0.35">
      <c r="A462" s="63"/>
      <c r="B462" s="76"/>
      <c r="C462" s="25"/>
      <c r="D462" s="87"/>
      <c r="E462" s="38" t="s">
        <v>197</v>
      </c>
      <c r="F462" s="38">
        <v>1</v>
      </c>
      <c r="G462" s="39"/>
      <c r="H462" s="39"/>
      <c r="I462" s="39"/>
      <c r="J462" s="36"/>
      <c r="K462" s="36"/>
      <c r="L462" s="25"/>
      <c r="M462" s="18"/>
      <c r="O462" s="4">
        <v>5</v>
      </c>
      <c r="P462" s="4">
        <v>0</v>
      </c>
      <c r="Q462" s="4">
        <v>0</v>
      </c>
      <c r="R462" s="4">
        <v>2</v>
      </c>
      <c r="S462" s="14"/>
      <c r="U462" s="9"/>
      <c r="V462" s="10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X462" s="14"/>
    </row>
    <row r="463" spans="1:50" ht="23" customHeight="1" thickTop="1" x14ac:dyDescent="0.3">
      <c r="A463" s="63"/>
      <c r="B463" s="76"/>
      <c r="C463" s="25"/>
      <c r="D463" s="39"/>
      <c r="E463" s="39"/>
      <c r="F463" s="39"/>
      <c r="G463" s="25"/>
      <c r="H463" s="25"/>
      <c r="I463" s="25"/>
      <c r="J463" s="25"/>
      <c r="K463" s="25"/>
      <c r="L463" s="25"/>
      <c r="M463" s="18"/>
      <c r="O463" s="1"/>
      <c r="P463" s="1"/>
      <c r="Q463" s="1"/>
      <c r="R463" s="1"/>
      <c r="S463" s="14"/>
      <c r="AX463" s="14"/>
    </row>
    <row r="464" spans="1:50" ht="23" customHeight="1" thickBot="1" x14ac:dyDescent="0.35">
      <c r="A464" s="63"/>
      <c r="B464" s="81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19"/>
      <c r="N464" s="15"/>
      <c r="O464" s="15"/>
      <c r="P464" s="15"/>
      <c r="Q464" s="15"/>
      <c r="R464" s="15"/>
      <c r="S464" s="16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6"/>
    </row>
    <row r="465" spans="1:50" ht="15" customHeight="1" thickTop="1" thickBot="1" x14ac:dyDescent="0.35">
      <c r="A465" s="63"/>
      <c r="B465" s="89" t="s">
        <v>63</v>
      </c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17"/>
      <c r="N465" s="24"/>
      <c r="O465" s="24"/>
      <c r="P465" s="24"/>
      <c r="Q465" s="24"/>
      <c r="R465" s="24"/>
      <c r="S465" s="1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17"/>
    </row>
    <row r="466" spans="1:50" ht="31" customHeight="1" thickTop="1" thickBot="1" x14ac:dyDescent="0.35">
      <c r="A466" s="63"/>
      <c r="B466" s="76"/>
      <c r="C466" s="24"/>
      <c r="D466" s="27" t="s">
        <v>191</v>
      </c>
      <c r="E466" s="27" t="s">
        <v>192</v>
      </c>
      <c r="F466" s="27" t="s">
        <v>193</v>
      </c>
      <c r="G466" s="27" t="s">
        <v>191</v>
      </c>
      <c r="H466" s="27" t="s">
        <v>192</v>
      </c>
      <c r="I466" s="27" t="s">
        <v>193</v>
      </c>
      <c r="J466" s="27" t="s">
        <v>191</v>
      </c>
      <c r="K466" s="27" t="s">
        <v>192</v>
      </c>
      <c r="L466" s="27" t="s">
        <v>193</v>
      </c>
      <c r="M466" s="17"/>
      <c r="N466" s="24"/>
      <c r="O466" s="24"/>
      <c r="P466" s="24"/>
      <c r="Q466" s="24"/>
      <c r="R466" s="24"/>
      <c r="S466" s="1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17"/>
    </row>
    <row r="467" spans="1:50" ht="23.5" customHeight="1" thickTop="1" thickBot="1" x14ac:dyDescent="0.35">
      <c r="A467" s="63"/>
      <c r="B467" s="76"/>
      <c r="C467" s="33"/>
      <c r="D467" s="35" t="s">
        <v>194</v>
      </c>
      <c r="E467" s="36" t="s">
        <v>148</v>
      </c>
      <c r="F467" s="36">
        <v>5</v>
      </c>
      <c r="G467" s="1" t="s">
        <v>198</v>
      </c>
      <c r="H467" s="36" t="s">
        <v>158</v>
      </c>
      <c r="I467" s="36">
        <v>1</v>
      </c>
      <c r="J467" s="1" t="s">
        <v>202</v>
      </c>
      <c r="K467" s="36" t="s">
        <v>203</v>
      </c>
      <c r="L467" s="36">
        <v>1</v>
      </c>
      <c r="M467" s="18"/>
      <c r="N467" s="13"/>
      <c r="O467" s="34"/>
      <c r="P467" s="34"/>
      <c r="Q467" s="34"/>
      <c r="S467" s="14"/>
      <c r="T467" s="13"/>
      <c r="AX467" s="14"/>
    </row>
    <row r="468" spans="1:50" ht="31" customHeight="1" thickTop="1" thickBot="1" x14ac:dyDescent="0.35">
      <c r="A468" s="63"/>
      <c r="B468" s="76"/>
      <c r="C468" s="25"/>
      <c r="D468" s="1"/>
      <c r="E468" s="36" t="s">
        <v>195</v>
      </c>
      <c r="F468" s="36">
        <v>2</v>
      </c>
      <c r="G468" s="1"/>
      <c r="H468" s="36" t="s">
        <v>159</v>
      </c>
      <c r="I468" s="36">
        <v>1</v>
      </c>
      <c r="J468" s="1"/>
      <c r="K468" s="36" t="s">
        <v>166</v>
      </c>
      <c r="L468" s="36">
        <v>1</v>
      </c>
      <c r="M468" s="18"/>
      <c r="O468" s="20" t="s">
        <v>205</v>
      </c>
      <c r="P468" s="22" t="s">
        <v>206</v>
      </c>
      <c r="Q468" s="22"/>
      <c r="R468" s="22"/>
      <c r="S468" s="14"/>
      <c r="Z468" s="23" t="s">
        <v>194</v>
      </c>
      <c r="AK468" s="23" t="s">
        <v>198</v>
      </c>
      <c r="AT468" s="23" t="s">
        <v>202</v>
      </c>
      <c r="AX468" s="14"/>
    </row>
    <row r="469" spans="1:50" ht="25" customHeight="1" thickTop="1" thickBot="1" x14ac:dyDescent="0.35">
      <c r="A469" s="63"/>
      <c r="B469" s="76"/>
      <c r="C469" s="25"/>
      <c r="D469" s="1"/>
      <c r="E469" s="36" t="s">
        <v>196</v>
      </c>
      <c r="F469" s="36">
        <v>2</v>
      </c>
      <c r="G469" s="1"/>
      <c r="H469" s="36" t="s">
        <v>160</v>
      </c>
      <c r="I469" s="36">
        <v>1</v>
      </c>
      <c r="J469" s="1"/>
      <c r="K469" s="36" t="s">
        <v>167</v>
      </c>
      <c r="L469" s="36">
        <v>1</v>
      </c>
      <c r="M469" s="18"/>
      <c r="O469" s="21"/>
      <c r="P469" s="2" t="s">
        <v>178</v>
      </c>
      <c r="Q469" s="2" t="s">
        <v>186</v>
      </c>
      <c r="R469" s="2" t="s">
        <v>190</v>
      </c>
      <c r="S469" s="14"/>
      <c r="U469" s="7" t="s">
        <v>146</v>
      </c>
      <c r="V469" s="7" t="s">
        <v>147</v>
      </c>
      <c r="W469" s="7" t="s">
        <v>148</v>
      </c>
      <c r="X469" s="7" t="s">
        <v>149</v>
      </c>
      <c r="Y469" s="7" t="s">
        <v>150</v>
      </c>
      <c r="Z469" s="8" t="s">
        <v>151</v>
      </c>
      <c r="AA469" s="7" t="s">
        <v>152</v>
      </c>
      <c r="AB469" s="7" t="s">
        <v>153</v>
      </c>
      <c r="AC469" s="7" t="s">
        <v>154</v>
      </c>
      <c r="AD469" s="7" t="s">
        <v>155</v>
      </c>
      <c r="AE469" s="8" t="s">
        <v>156</v>
      </c>
      <c r="AF469" s="7" t="s">
        <v>157</v>
      </c>
      <c r="AH469" s="7" t="s">
        <v>146</v>
      </c>
      <c r="AI469" s="7" t="s">
        <v>147</v>
      </c>
      <c r="AJ469" s="7" t="s">
        <v>158</v>
      </c>
      <c r="AK469" s="7" t="s">
        <v>159</v>
      </c>
      <c r="AL469" s="7" t="s">
        <v>160</v>
      </c>
      <c r="AM469" s="7" t="s">
        <v>161</v>
      </c>
      <c r="AN469" s="7" t="s">
        <v>162</v>
      </c>
      <c r="AO469" s="7" t="s">
        <v>163</v>
      </c>
      <c r="AP469" s="7" t="s">
        <v>164</v>
      </c>
      <c r="AR469" s="7" t="s">
        <v>146</v>
      </c>
      <c r="AS469" s="7" t="s">
        <v>147</v>
      </c>
      <c r="AT469" s="7" t="s">
        <v>165</v>
      </c>
      <c r="AU469" s="7" t="s">
        <v>166</v>
      </c>
      <c r="AV469" s="7" t="s">
        <v>167</v>
      </c>
      <c r="AW469" s="7" t="s">
        <v>168</v>
      </c>
      <c r="AX469" s="14"/>
    </row>
    <row r="470" spans="1:50" ht="23.5" customHeight="1" thickBot="1" x14ac:dyDescent="0.35">
      <c r="A470" s="63"/>
      <c r="B470" s="76"/>
      <c r="C470" s="25"/>
      <c r="D470" s="1"/>
      <c r="E470" s="1" t="s">
        <v>151</v>
      </c>
      <c r="F470" s="36">
        <v>1</v>
      </c>
      <c r="G470" s="1"/>
      <c r="H470" s="36" t="s">
        <v>199</v>
      </c>
      <c r="I470" s="36">
        <v>1</v>
      </c>
      <c r="J470" s="37"/>
      <c r="K470" s="38" t="s">
        <v>168</v>
      </c>
      <c r="L470" s="38">
        <v>1</v>
      </c>
      <c r="M470" s="18"/>
      <c r="O470" s="1">
        <v>1</v>
      </c>
      <c r="P470" s="1">
        <v>0</v>
      </c>
      <c r="Q470" s="1">
        <v>1</v>
      </c>
      <c r="R470" s="1">
        <v>1</v>
      </c>
      <c r="S470" s="14"/>
      <c r="U470" s="9" t="s">
        <v>171</v>
      </c>
      <c r="V470" s="10" t="s">
        <v>172</v>
      </c>
      <c r="W470" s="9">
        <v>7.66</v>
      </c>
      <c r="X470" s="9">
        <v>0.73</v>
      </c>
      <c r="Y470" s="9">
        <v>1.17</v>
      </c>
      <c r="Z470" s="9">
        <v>0.63</v>
      </c>
      <c r="AA470" s="9">
        <v>2.82</v>
      </c>
      <c r="AB470" s="9">
        <v>0.8</v>
      </c>
      <c r="AC470" s="9">
        <v>0.96</v>
      </c>
      <c r="AD470" s="9">
        <v>1.18</v>
      </c>
      <c r="AE470" s="9">
        <v>1.02</v>
      </c>
      <c r="AF470" s="9">
        <v>1.76</v>
      </c>
      <c r="AH470" s="9" t="s">
        <v>173</v>
      </c>
      <c r="AI470" s="10" t="s">
        <v>174</v>
      </c>
      <c r="AJ470" s="9">
        <v>6.26</v>
      </c>
      <c r="AK470" s="9">
        <v>6.61</v>
      </c>
      <c r="AL470" s="9">
        <v>3</v>
      </c>
      <c r="AM470" s="9">
        <v>6.81</v>
      </c>
      <c r="AN470" s="9">
        <v>1.61</v>
      </c>
      <c r="AO470" s="9">
        <v>7.26</v>
      </c>
      <c r="AP470" s="9">
        <v>5.26</v>
      </c>
      <c r="AR470" s="9" t="s">
        <v>175</v>
      </c>
      <c r="AS470" s="10" t="s">
        <v>176</v>
      </c>
      <c r="AT470" s="9">
        <v>3.18</v>
      </c>
      <c r="AU470" s="9">
        <v>1.1299999999999999</v>
      </c>
      <c r="AV470" s="9">
        <v>2.65</v>
      </c>
      <c r="AW470" s="9">
        <v>2</v>
      </c>
      <c r="AX470" s="14"/>
    </row>
    <row r="471" spans="1:50" ht="24" customHeight="1" thickTop="1" thickBot="1" x14ac:dyDescent="0.35">
      <c r="A471" s="63"/>
      <c r="B471" s="76"/>
      <c r="C471" s="25"/>
      <c r="D471" s="1"/>
      <c r="E471" s="36" t="s">
        <v>152</v>
      </c>
      <c r="F471" s="36">
        <v>1</v>
      </c>
      <c r="G471" s="1"/>
      <c r="H471" s="36" t="s">
        <v>200</v>
      </c>
      <c r="I471" s="36">
        <v>1</v>
      </c>
      <c r="J471" s="39"/>
      <c r="K471" s="39"/>
      <c r="L471" s="39"/>
      <c r="M471" s="18"/>
      <c r="O471" s="1">
        <v>2</v>
      </c>
      <c r="P471" s="1">
        <v>2</v>
      </c>
      <c r="Q471" s="1">
        <v>0</v>
      </c>
      <c r="R471" s="1">
        <v>1</v>
      </c>
      <c r="S471" s="14"/>
      <c r="U471" s="9" t="s">
        <v>179</v>
      </c>
      <c r="V471" s="10" t="s">
        <v>180</v>
      </c>
      <c r="W471" s="9">
        <v>8.4</v>
      </c>
      <c r="X471" s="9">
        <v>0.87</v>
      </c>
      <c r="Y471" s="9">
        <v>1.01</v>
      </c>
      <c r="Z471" s="9">
        <v>0.56999999999999995</v>
      </c>
      <c r="AA471" s="9">
        <v>2.5</v>
      </c>
      <c r="AB471" s="9">
        <v>0.84</v>
      </c>
      <c r="AC471" s="9">
        <v>0.91</v>
      </c>
      <c r="AD471" s="9">
        <v>1.03</v>
      </c>
      <c r="AE471" s="9">
        <v>1.25</v>
      </c>
      <c r="AF471" s="9">
        <v>2.33</v>
      </c>
      <c r="AH471" s="11" t="s">
        <v>181</v>
      </c>
      <c r="AI471" s="12" t="s">
        <v>182</v>
      </c>
      <c r="AJ471" s="11">
        <v>6.83</v>
      </c>
      <c r="AK471" s="11">
        <v>7.31</v>
      </c>
      <c r="AL471" s="11">
        <v>3</v>
      </c>
      <c r="AM471" s="11">
        <v>7.71</v>
      </c>
      <c r="AN471" s="11">
        <v>2.31</v>
      </c>
      <c r="AO471" s="11">
        <v>8.7100000000000009</v>
      </c>
      <c r="AP471" s="11">
        <v>5.76</v>
      </c>
      <c r="AR471" s="11" t="s">
        <v>183</v>
      </c>
      <c r="AS471" s="12" t="s">
        <v>184</v>
      </c>
      <c r="AT471" s="11">
        <v>2.76</v>
      </c>
      <c r="AU471" s="11">
        <v>1.03</v>
      </c>
      <c r="AV471" s="11">
        <v>2.15</v>
      </c>
      <c r="AW471" s="11">
        <v>2</v>
      </c>
      <c r="AX471" s="14"/>
    </row>
    <row r="472" spans="1:50" ht="23.5" customHeight="1" thickTop="1" thickBot="1" x14ac:dyDescent="0.35">
      <c r="A472" s="63"/>
      <c r="B472" s="76"/>
      <c r="C472" s="25"/>
      <c r="D472" s="1"/>
      <c r="E472" s="36" t="s">
        <v>153</v>
      </c>
      <c r="F472" s="36">
        <v>1</v>
      </c>
      <c r="G472" s="1"/>
      <c r="H472" s="36" t="s">
        <v>201</v>
      </c>
      <c r="I472" s="36">
        <v>1</v>
      </c>
      <c r="J472" s="25"/>
      <c r="K472" s="25"/>
      <c r="L472" s="25"/>
      <c r="M472" s="18"/>
      <c r="O472" s="1">
        <v>3</v>
      </c>
      <c r="P472" s="1">
        <v>0</v>
      </c>
      <c r="Q472" s="1">
        <v>1</v>
      </c>
      <c r="R472" s="1">
        <v>0</v>
      </c>
      <c r="S472" s="14"/>
      <c r="U472" s="11" t="s">
        <v>187</v>
      </c>
      <c r="V472" s="12" t="s">
        <v>188</v>
      </c>
      <c r="W472" s="11">
        <v>9.25</v>
      </c>
      <c r="X472" s="11">
        <v>0.68</v>
      </c>
      <c r="Y472" s="11">
        <v>1.23</v>
      </c>
      <c r="Z472" s="11">
        <v>0.71</v>
      </c>
      <c r="AA472" s="11">
        <v>2.65</v>
      </c>
      <c r="AB472" s="11">
        <v>0.89</v>
      </c>
      <c r="AC472" s="11">
        <v>0.98</v>
      </c>
      <c r="AD472" s="11">
        <v>1.2</v>
      </c>
      <c r="AE472" s="11">
        <v>1.32</v>
      </c>
      <c r="AF472" s="11">
        <v>1.5</v>
      </c>
      <c r="AX472" s="14"/>
    </row>
    <row r="473" spans="1:50" ht="23.5" customHeight="1" thickTop="1" thickBot="1" x14ac:dyDescent="0.35">
      <c r="A473" s="63"/>
      <c r="B473" s="76"/>
      <c r="C473" s="25"/>
      <c r="D473" s="1"/>
      <c r="E473" s="1" t="s">
        <v>156</v>
      </c>
      <c r="F473" s="36">
        <v>1</v>
      </c>
      <c r="G473" s="37"/>
      <c r="H473" s="38" t="s">
        <v>164</v>
      </c>
      <c r="I473" s="38">
        <v>1</v>
      </c>
      <c r="J473" s="36"/>
      <c r="K473" s="25"/>
      <c r="L473" s="25"/>
      <c r="M473" s="18"/>
      <c r="O473" s="1">
        <v>4</v>
      </c>
      <c r="P473" s="1">
        <v>0</v>
      </c>
      <c r="Q473" s="1">
        <v>1</v>
      </c>
      <c r="R473" s="1">
        <v>0</v>
      </c>
      <c r="S473" s="14"/>
      <c r="U473" s="9"/>
      <c r="V473" s="10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X473" s="14"/>
    </row>
    <row r="474" spans="1:50" ht="23.5" customHeight="1" thickTop="1" thickBot="1" x14ac:dyDescent="0.35">
      <c r="A474" s="63"/>
      <c r="B474" s="76"/>
      <c r="C474" s="25"/>
      <c r="D474" s="37"/>
      <c r="E474" s="38" t="s">
        <v>197</v>
      </c>
      <c r="F474" s="38">
        <v>1</v>
      </c>
      <c r="G474" s="39"/>
      <c r="H474" s="39"/>
      <c r="I474" s="39"/>
      <c r="J474" s="36"/>
      <c r="K474" s="36"/>
      <c r="L474" s="25"/>
      <c r="M474" s="18"/>
      <c r="O474" s="4">
        <v>5</v>
      </c>
      <c r="P474" s="4">
        <v>0</v>
      </c>
      <c r="Q474" s="4">
        <v>0</v>
      </c>
      <c r="R474" s="4">
        <v>2</v>
      </c>
      <c r="S474" s="14"/>
      <c r="U474" s="9"/>
      <c r="V474" s="10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X474" s="14"/>
    </row>
    <row r="475" spans="1:50" ht="23" customHeight="1" thickTop="1" x14ac:dyDescent="0.3">
      <c r="A475" s="63"/>
      <c r="B475" s="76"/>
      <c r="C475" s="25"/>
      <c r="D475" s="39"/>
      <c r="E475" s="39"/>
      <c r="F475" s="39"/>
      <c r="G475" s="25"/>
      <c r="H475" s="39"/>
      <c r="I475" s="25"/>
      <c r="J475" s="25"/>
      <c r="K475" s="25"/>
      <c r="L475" s="25"/>
      <c r="M475" s="18"/>
      <c r="O475" s="1"/>
      <c r="P475" s="1"/>
      <c r="Q475" s="1"/>
      <c r="R475" s="1"/>
      <c r="S475" s="14"/>
      <c r="AX475" s="14"/>
    </row>
    <row r="476" spans="1:50" ht="23" customHeight="1" thickBot="1" x14ac:dyDescent="0.35">
      <c r="A476" s="63"/>
      <c r="B476" s="81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19"/>
      <c r="N476" s="15"/>
      <c r="O476" s="15"/>
      <c r="P476" s="15"/>
      <c r="Q476" s="15"/>
      <c r="R476" s="15"/>
      <c r="S476" s="16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6"/>
    </row>
    <row r="477" spans="1:50" ht="15" customHeight="1" thickTop="1" thickBot="1" x14ac:dyDescent="0.35">
      <c r="A477" s="63"/>
      <c r="B477" s="89" t="s">
        <v>64</v>
      </c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17"/>
      <c r="N477" s="24"/>
      <c r="O477" s="24"/>
      <c r="P477" s="24"/>
      <c r="Q477" s="24"/>
      <c r="R477" s="24"/>
      <c r="S477" s="1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17"/>
    </row>
    <row r="478" spans="1:50" ht="31" customHeight="1" thickTop="1" thickBot="1" x14ac:dyDescent="0.35">
      <c r="A478" s="63"/>
      <c r="B478" s="76"/>
      <c r="C478" s="24"/>
      <c r="D478" s="27" t="s">
        <v>191</v>
      </c>
      <c r="E478" s="27" t="s">
        <v>192</v>
      </c>
      <c r="F478" s="27" t="s">
        <v>193</v>
      </c>
      <c r="G478" s="27" t="s">
        <v>191</v>
      </c>
      <c r="H478" s="27" t="s">
        <v>192</v>
      </c>
      <c r="I478" s="27" t="s">
        <v>193</v>
      </c>
      <c r="J478" s="27" t="s">
        <v>191</v>
      </c>
      <c r="K478" s="27" t="s">
        <v>192</v>
      </c>
      <c r="L478" s="27" t="s">
        <v>193</v>
      </c>
      <c r="M478" s="17"/>
      <c r="N478" s="24"/>
      <c r="O478" s="24"/>
      <c r="P478" s="24"/>
      <c r="Q478" s="24"/>
      <c r="R478" s="24"/>
      <c r="S478" s="1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17"/>
    </row>
    <row r="479" spans="1:50" ht="23.5" customHeight="1" thickTop="1" thickBot="1" x14ac:dyDescent="0.35">
      <c r="A479" s="63"/>
      <c r="B479" s="76"/>
      <c r="C479" s="33"/>
      <c r="D479" s="35" t="s">
        <v>194</v>
      </c>
      <c r="E479" s="36" t="s">
        <v>148</v>
      </c>
      <c r="F479" s="36">
        <v>5</v>
      </c>
      <c r="G479" s="1" t="s">
        <v>198</v>
      </c>
      <c r="H479" s="36" t="s">
        <v>158</v>
      </c>
      <c r="I479" s="36">
        <v>2</v>
      </c>
      <c r="J479" s="1" t="s">
        <v>202</v>
      </c>
      <c r="K479" s="36" t="s">
        <v>203</v>
      </c>
      <c r="L479" s="36">
        <v>2</v>
      </c>
      <c r="M479" s="18"/>
      <c r="N479" s="13"/>
      <c r="O479" s="34"/>
      <c r="P479" s="34"/>
      <c r="Q479" s="34"/>
      <c r="S479" s="14"/>
      <c r="T479" s="13"/>
      <c r="AX479" s="14"/>
    </row>
    <row r="480" spans="1:50" ht="31" customHeight="1" thickTop="1" thickBot="1" x14ac:dyDescent="0.35">
      <c r="A480" s="63"/>
      <c r="B480" s="76"/>
      <c r="C480" s="25"/>
      <c r="D480" s="1"/>
      <c r="E480" s="36" t="s">
        <v>195</v>
      </c>
      <c r="F480" s="36">
        <v>2</v>
      </c>
      <c r="G480" s="1"/>
      <c r="H480" s="36" t="s">
        <v>159</v>
      </c>
      <c r="I480" s="36">
        <v>1</v>
      </c>
      <c r="J480" s="1"/>
      <c r="K480" s="36" t="s">
        <v>166</v>
      </c>
      <c r="L480" s="36">
        <v>1</v>
      </c>
      <c r="M480" s="18"/>
      <c r="O480" s="20" t="s">
        <v>205</v>
      </c>
      <c r="P480" s="22" t="s">
        <v>206</v>
      </c>
      <c r="Q480" s="22"/>
      <c r="R480" s="22"/>
      <c r="S480" s="14"/>
      <c r="Z480" s="23" t="s">
        <v>194</v>
      </c>
      <c r="AK480" s="23" t="s">
        <v>198</v>
      </c>
      <c r="AT480" s="23" t="s">
        <v>202</v>
      </c>
      <c r="AX480" s="14"/>
    </row>
    <row r="481" spans="1:50" ht="25" customHeight="1" thickTop="1" thickBot="1" x14ac:dyDescent="0.35">
      <c r="A481" s="63"/>
      <c r="B481" s="76"/>
      <c r="C481" s="25"/>
      <c r="D481" s="1"/>
      <c r="E481" s="36" t="s">
        <v>196</v>
      </c>
      <c r="F481" s="36">
        <v>2</v>
      </c>
      <c r="G481" s="1"/>
      <c r="H481" s="36" t="s">
        <v>160</v>
      </c>
      <c r="I481" s="36">
        <v>1</v>
      </c>
      <c r="J481" s="1"/>
      <c r="K481" s="36" t="s">
        <v>167</v>
      </c>
      <c r="L481" s="36">
        <v>1</v>
      </c>
      <c r="M481" s="18"/>
      <c r="O481" s="21"/>
      <c r="P481" s="2" t="s">
        <v>178</v>
      </c>
      <c r="Q481" s="2" t="s">
        <v>186</v>
      </c>
      <c r="R481" s="2" t="s">
        <v>190</v>
      </c>
      <c r="S481" s="14"/>
      <c r="U481" s="7" t="s">
        <v>146</v>
      </c>
      <c r="V481" s="7" t="s">
        <v>147</v>
      </c>
      <c r="W481" s="7" t="s">
        <v>148</v>
      </c>
      <c r="X481" s="7" t="s">
        <v>149</v>
      </c>
      <c r="Y481" s="7" t="s">
        <v>150</v>
      </c>
      <c r="Z481" s="8" t="s">
        <v>151</v>
      </c>
      <c r="AA481" s="7" t="s">
        <v>152</v>
      </c>
      <c r="AB481" s="7" t="s">
        <v>153</v>
      </c>
      <c r="AC481" s="7" t="s">
        <v>154</v>
      </c>
      <c r="AD481" s="7" t="s">
        <v>155</v>
      </c>
      <c r="AE481" s="8" t="s">
        <v>156</v>
      </c>
      <c r="AF481" s="7" t="s">
        <v>157</v>
      </c>
      <c r="AH481" s="7" t="s">
        <v>146</v>
      </c>
      <c r="AI481" s="7" t="s">
        <v>147</v>
      </c>
      <c r="AJ481" s="7" t="s">
        <v>158</v>
      </c>
      <c r="AK481" s="7" t="s">
        <v>159</v>
      </c>
      <c r="AL481" s="7" t="s">
        <v>160</v>
      </c>
      <c r="AM481" s="7" t="s">
        <v>161</v>
      </c>
      <c r="AN481" s="7" t="s">
        <v>162</v>
      </c>
      <c r="AO481" s="7" t="s">
        <v>163</v>
      </c>
      <c r="AP481" s="7" t="s">
        <v>164</v>
      </c>
      <c r="AR481" s="7" t="s">
        <v>146</v>
      </c>
      <c r="AS481" s="7" t="s">
        <v>147</v>
      </c>
      <c r="AT481" s="7" t="s">
        <v>165</v>
      </c>
      <c r="AU481" s="7" t="s">
        <v>166</v>
      </c>
      <c r="AV481" s="7" t="s">
        <v>167</v>
      </c>
      <c r="AW481" s="7" t="s">
        <v>168</v>
      </c>
      <c r="AX481" s="14"/>
    </row>
    <row r="482" spans="1:50" ht="23.5" customHeight="1" thickBot="1" x14ac:dyDescent="0.35">
      <c r="A482" s="63"/>
      <c r="B482" s="76"/>
      <c r="C482" s="25"/>
      <c r="D482" s="1"/>
      <c r="E482" s="1" t="s">
        <v>151</v>
      </c>
      <c r="F482" s="36">
        <v>1</v>
      </c>
      <c r="G482" s="1"/>
      <c r="H482" s="36" t="s">
        <v>199</v>
      </c>
      <c r="I482" s="36">
        <v>1</v>
      </c>
      <c r="J482" s="37"/>
      <c r="K482" s="38" t="s">
        <v>168</v>
      </c>
      <c r="L482" s="38">
        <v>1</v>
      </c>
      <c r="M482" s="18"/>
      <c r="O482" s="1">
        <v>1</v>
      </c>
      <c r="P482" s="1">
        <v>1</v>
      </c>
      <c r="Q482" s="1">
        <v>0</v>
      </c>
      <c r="R482" s="1">
        <v>0</v>
      </c>
      <c r="S482" s="14"/>
      <c r="U482" s="9" t="s">
        <v>171</v>
      </c>
      <c r="V482" s="10" t="s">
        <v>172</v>
      </c>
      <c r="W482" s="9">
        <v>7.21</v>
      </c>
      <c r="X482" s="9">
        <v>0.83</v>
      </c>
      <c r="Y482" s="9">
        <v>1.1599999999999999</v>
      </c>
      <c r="Z482" s="9">
        <v>0.65</v>
      </c>
      <c r="AA482" s="9">
        <v>2.5</v>
      </c>
      <c r="AB482" s="9">
        <v>0.81</v>
      </c>
      <c r="AC482" s="9">
        <v>0.96</v>
      </c>
      <c r="AD482" s="9">
        <v>1</v>
      </c>
      <c r="AE482" s="9">
        <v>1.32</v>
      </c>
      <c r="AF482" s="9">
        <v>1.93</v>
      </c>
      <c r="AH482" s="9" t="s">
        <v>173</v>
      </c>
      <c r="AI482" s="10" t="s">
        <v>174</v>
      </c>
      <c r="AJ482" s="9">
        <v>6.43</v>
      </c>
      <c r="AK482" s="9">
        <v>6.74</v>
      </c>
      <c r="AL482" s="9">
        <v>3</v>
      </c>
      <c r="AM482" s="9">
        <v>6.36</v>
      </c>
      <c r="AN482" s="9">
        <v>1.95</v>
      </c>
      <c r="AO482" s="9">
        <v>7.43</v>
      </c>
      <c r="AP482" s="9">
        <v>5.34</v>
      </c>
      <c r="AR482" s="9" t="s">
        <v>175</v>
      </c>
      <c r="AS482" s="10" t="s">
        <v>176</v>
      </c>
      <c r="AT482" s="9">
        <v>2.99</v>
      </c>
      <c r="AU482" s="9">
        <v>1.21</v>
      </c>
      <c r="AV482" s="9">
        <v>2.75</v>
      </c>
      <c r="AW482" s="9">
        <v>2</v>
      </c>
      <c r="AX482" s="14"/>
    </row>
    <row r="483" spans="1:50" ht="24" customHeight="1" thickTop="1" thickBot="1" x14ac:dyDescent="0.35">
      <c r="A483" s="63"/>
      <c r="B483" s="76"/>
      <c r="C483" s="25"/>
      <c r="D483" s="1"/>
      <c r="E483" s="36" t="s">
        <v>152</v>
      </c>
      <c r="F483" s="36">
        <v>1</v>
      </c>
      <c r="G483" s="1"/>
      <c r="H483" s="36" t="s">
        <v>200</v>
      </c>
      <c r="I483" s="36">
        <v>1</v>
      </c>
      <c r="J483" s="39"/>
      <c r="K483" s="39"/>
      <c r="L483" s="39"/>
      <c r="M483" s="18"/>
      <c r="O483" s="1">
        <v>2</v>
      </c>
      <c r="P483" s="1">
        <v>1</v>
      </c>
      <c r="Q483" s="1">
        <v>0</v>
      </c>
      <c r="R483" s="1">
        <v>2</v>
      </c>
      <c r="S483" s="14"/>
      <c r="U483" s="9" t="s">
        <v>179</v>
      </c>
      <c r="V483" s="10" t="s">
        <v>180</v>
      </c>
      <c r="W483" s="9">
        <v>8.59</v>
      </c>
      <c r="X483" s="9">
        <v>0.75</v>
      </c>
      <c r="Y483" s="9">
        <v>1.01</v>
      </c>
      <c r="Z483" s="9">
        <v>0.59</v>
      </c>
      <c r="AA483" s="9">
        <v>2.94</v>
      </c>
      <c r="AB483" s="9">
        <v>0.86</v>
      </c>
      <c r="AC483" s="9">
        <v>0.93</v>
      </c>
      <c r="AD483" s="9">
        <v>1.1200000000000001</v>
      </c>
      <c r="AE483" s="9">
        <v>1.02</v>
      </c>
      <c r="AF483" s="9">
        <v>2.37</v>
      </c>
      <c r="AH483" s="11" t="s">
        <v>181</v>
      </c>
      <c r="AI483" s="12" t="s">
        <v>182</v>
      </c>
      <c r="AJ483" s="11">
        <v>6.72</v>
      </c>
      <c r="AK483" s="11">
        <v>7.18</v>
      </c>
      <c r="AL483" s="11">
        <v>3</v>
      </c>
      <c r="AM483" s="11">
        <v>7.41</v>
      </c>
      <c r="AN483" s="11">
        <v>2.2799999999999998</v>
      </c>
      <c r="AO483" s="11">
        <v>8.43</v>
      </c>
      <c r="AP483" s="11">
        <v>5.63</v>
      </c>
      <c r="AR483" s="11" t="s">
        <v>183</v>
      </c>
      <c r="AS483" s="12" t="s">
        <v>184</v>
      </c>
      <c r="AT483" s="11">
        <v>3.33</v>
      </c>
      <c r="AU483" s="11">
        <v>1.06</v>
      </c>
      <c r="AV483" s="11">
        <v>2.35</v>
      </c>
      <c r="AW483" s="11">
        <v>2</v>
      </c>
      <c r="AX483" s="14"/>
    </row>
    <row r="484" spans="1:50" ht="23.5" customHeight="1" thickTop="1" thickBot="1" x14ac:dyDescent="0.35">
      <c r="A484" s="63"/>
      <c r="B484" s="76"/>
      <c r="C484" s="25"/>
      <c r="D484" s="1"/>
      <c r="E484" s="36" t="s">
        <v>153</v>
      </c>
      <c r="F484" s="36">
        <v>1</v>
      </c>
      <c r="G484" s="1"/>
      <c r="H484" s="36" t="s">
        <v>201</v>
      </c>
      <c r="I484" s="36">
        <v>1</v>
      </c>
      <c r="J484" s="25"/>
      <c r="K484" s="25"/>
      <c r="L484" s="25"/>
      <c r="M484" s="18"/>
      <c r="O484" s="1">
        <v>3</v>
      </c>
      <c r="P484" s="1">
        <v>0</v>
      </c>
      <c r="Q484" s="1">
        <v>1</v>
      </c>
      <c r="R484" s="1">
        <v>0</v>
      </c>
      <c r="S484" s="14"/>
      <c r="U484" s="11" t="s">
        <v>187</v>
      </c>
      <c r="V484" s="12" t="s">
        <v>188</v>
      </c>
      <c r="W484" s="11">
        <v>9.18</v>
      </c>
      <c r="X484" s="11">
        <v>0.69</v>
      </c>
      <c r="Y484" s="11">
        <v>1.23</v>
      </c>
      <c r="Z484" s="11">
        <v>0.71</v>
      </c>
      <c r="AA484" s="11">
        <v>2.5</v>
      </c>
      <c r="AB484" s="11">
        <v>0.88</v>
      </c>
      <c r="AC484" s="11">
        <v>0.98</v>
      </c>
      <c r="AD484" s="11">
        <v>1.2</v>
      </c>
      <c r="AE484" s="11">
        <v>1.38</v>
      </c>
      <c r="AF484" s="11">
        <v>1.58</v>
      </c>
      <c r="AX484" s="14"/>
    </row>
    <row r="485" spans="1:50" ht="23.5" customHeight="1" thickTop="1" thickBot="1" x14ac:dyDescent="0.35">
      <c r="A485" s="63"/>
      <c r="B485" s="76"/>
      <c r="C485" s="25"/>
      <c r="D485" s="1"/>
      <c r="E485" s="1" t="s">
        <v>156</v>
      </c>
      <c r="F485" s="36">
        <v>1</v>
      </c>
      <c r="G485" s="37"/>
      <c r="H485" s="38" t="s">
        <v>164</v>
      </c>
      <c r="I485" s="38">
        <v>1</v>
      </c>
      <c r="J485" s="36"/>
      <c r="K485" s="25"/>
      <c r="L485" s="25"/>
      <c r="M485" s="18"/>
      <c r="O485" s="1">
        <v>4</v>
      </c>
      <c r="P485" s="1">
        <v>0</v>
      </c>
      <c r="Q485" s="1">
        <v>1</v>
      </c>
      <c r="R485" s="1">
        <v>0</v>
      </c>
      <c r="S485" s="14"/>
      <c r="U485" s="9"/>
      <c r="V485" s="10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X485" s="14"/>
    </row>
    <row r="486" spans="1:50" ht="23.5" customHeight="1" thickTop="1" thickBot="1" x14ac:dyDescent="0.35">
      <c r="A486" s="63"/>
      <c r="B486" s="76"/>
      <c r="C486" s="25"/>
      <c r="D486" s="37"/>
      <c r="E486" s="38" t="s">
        <v>197</v>
      </c>
      <c r="F486" s="38">
        <v>1</v>
      </c>
      <c r="G486" s="39"/>
      <c r="H486" s="39"/>
      <c r="I486" s="39"/>
      <c r="J486" s="36"/>
      <c r="K486" s="36"/>
      <c r="L486" s="25"/>
      <c r="M486" s="18"/>
      <c r="O486" s="4">
        <v>5</v>
      </c>
      <c r="P486" s="4">
        <v>0</v>
      </c>
      <c r="Q486" s="4">
        <v>1</v>
      </c>
      <c r="R486" s="4">
        <v>2</v>
      </c>
      <c r="S486" s="14"/>
      <c r="U486" s="9"/>
      <c r="V486" s="10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X486" s="14"/>
    </row>
    <row r="487" spans="1:50" ht="23" customHeight="1" thickTop="1" x14ac:dyDescent="0.3">
      <c r="A487" s="63"/>
      <c r="B487" s="76"/>
      <c r="C487" s="25"/>
      <c r="D487" s="39"/>
      <c r="E487" s="39"/>
      <c r="F487" s="39"/>
      <c r="G487" s="25"/>
      <c r="H487" s="25"/>
      <c r="I487" s="25"/>
      <c r="J487" s="25"/>
      <c r="K487" s="25"/>
      <c r="L487" s="25"/>
      <c r="M487" s="18"/>
      <c r="O487" s="1"/>
      <c r="P487" s="1"/>
      <c r="Q487" s="1"/>
      <c r="R487" s="1"/>
      <c r="S487" s="14"/>
      <c r="AX487" s="14"/>
    </row>
    <row r="488" spans="1:50" ht="23" customHeight="1" thickBot="1" x14ac:dyDescent="0.35">
      <c r="A488" s="63"/>
      <c r="B488" s="81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19"/>
      <c r="N488" s="15"/>
      <c r="O488" s="15"/>
      <c r="P488" s="15"/>
      <c r="Q488" s="15"/>
      <c r="R488" s="15"/>
      <c r="S488" s="16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6"/>
    </row>
    <row r="489" spans="1:50" ht="15" customHeight="1" thickTop="1" thickBot="1" x14ac:dyDescent="0.35">
      <c r="A489" s="63"/>
      <c r="B489" s="89" t="s">
        <v>65</v>
      </c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17"/>
      <c r="N489" s="24"/>
      <c r="O489" s="24"/>
      <c r="P489" s="24"/>
      <c r="Q489" s="24"/>
      <c r="R489" s="24"/>
      <c r="S489" s="1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17"/>
    </row>
    <row r="490" spans="1:50" ht="31" customHeight="1" thickTop="1" thickBot="1" x14ac:dyDescent="0.35">
      <c r="A490" s="63"/>
      <c r="B490" s="76"/>
      <c r="C490" s="24"/>
      <c r="D490" s="27" t="s">
        <v>191</v>
      </c>
      <c r="E490" s="27" t="s">
        <v>192</v>
      </c>
      <c r="F490" s="27" t="s">
        <v>193</v>
      </c>
      <c r="G490" s="27" t="s">
        <v>191</v>
      </c>
      <c r="H490" s="27" t="s">
        <v>192</v>
      </c>
      <c r="I490" s="27" t="s">
        <v>193</v>
      </c>
      <c r="J490" s="27" t="s">
        <v>191</v>
      </c>
      <c r="K490" s="27" t="s">
        <v>192</v>
      </c>
      <c r="L490" s="27" t="s">
        <v>193</v>
      </c>
      <c r="M490" s="17"/>
      <c r="N490" s="24"/>
      <c r="O490" s="24"/>
      <c r="P490" s="24"/>
      <c r="Q490" s="24"/>
      <c r="R490" s="24"/>
      <c r="S490" s="1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17"/>
    </row>
    <row r="491" spans="1:50" ht="23.5" customHeight="1" thickTop="1" thickBot="1" x14ac:dyDescent="0.35">
      <c r="A491" s="63"/>
      <c r="B491" s="76"/>
      <c r="C491" s="33"/>
      <c r="D491" s="35" t="s">
        <v>194</v>
      </c>
      <c r="E491" s="36" t="s">
        <v>148</v>
      </c>
      <c r="F491" s="36">
        <v>5</v>
      </c>
      <c r="G491" s="35" t="s">
        <v>198</v>
      </c>
      <c r="H491" s="36" t="s">
        <v>158</v>
      </c>
      <c r="I491" s="36">
        <v>2</v>
      </c>
      <c r="J491" s="35" t="s">
        <v>202</v>
      </c>
      <c r="K491" s="36" t="s">
        <v>203</v>
      </c>
      <c r="L491" s="36">
        <v>2</v>
      </c>
      <c r="M491" s="18"/>
      <c r="N491" s="13"/>
      <c r="O491" s="34"/>
      <c r="P491" s="34"/>
      <c r="Q491" s="34"/>
      <c r="S491" s="14"/>
      <c r="T491" s="13"/>
      <c r="AX491" s="14"/>
    </row>
    <row r="492" spans="1:50" ht="31" customHeight="1" thickTop="1" thickBot="1" x14ac:dyDescent="0.35">
      <c r="A492" s="63"/>
      <c r="B492" s="76"/>
      <c r="C492" s="25"/>
      <c r="D492" s="1"/>
      <c r="E492" s="36" t="s">
        <v>195</v>
      </c>
      <c r="F492" s="36">
        <v>2</v>
      </c>
      <c r="G492" s="1"/>
      <c r="H492" s="36" t="s">
        <v>159</v>
      </c>
      <c r="I492" s="36">
        <v>1</v>
      </c>
      <c r="J492" s="1"/>
      <c r="K492" s="36" t="s">
        <v>166</v>
      </c>
      <c r="L492" s="36">
        <v>1</v>
      </c>
      <c r="M492" s="18"/>
      <c r="O492" s="20" t="s">
        <v>205</v>
      </c>
      <c r="P492" s="22" t="s">
        <v>206</v>
      </c>
      <c r="Q492" s="22"/>
      <c r="R492" s="22"/>
      <c r="S492" s="14"/>
      <c r="Z492" s="23" t="s">
        <v>194</v>
      </c>
      <c r="AK492" s="23" t="s">
        <v>198</v>
      </c>
      <c r="AT492" s="23" t="s">
        <v>202</v>
      </c>
      <c r="AX492" s="14"/>
    </row>
    <row r="493" spans="1:50" ht="25" customHeight="1" thickTop="1" thickBot="1" x14ac:dyDescent="0.35">
      <c r="A493" s="63"/>
      <c r="B493" s="76"/>
      <c r="C493" s="25"/>
      <c r="D493" s="1"/>
      <c r="E493" s="36" t="s">
        <v>196</v>
      </c>
      <c r="F493" s="36">
        <v>2</v>
      </c>
      <c r="G493" s="1"/>
      <c r="H493" s="36" t="s">
        <v>160</v>
      </c>
      <c r="I493" s="36">
        <v>1</v>
      </c>
      <c r="J493" s="1"/>
      <c r="K493" s="36" t="s">
        <v>167</v>
      </c>
      <c r="L493" s="36">
        <v>1</v>
      </c>
      <c r="M493" s="18"/>
      <c r="O493" s="21"/>
      <c r="P493" s="2" t="s">
        <v>178</v>
      </c>
      <c r="Q493" s="2" t="s">
        <v>186</v>
      </c>
      <c r="R493" s="2" t="s">
        <v>190</v>
      </c>
      <c r="S493" s="14"/>
      <c r="U493" s="7" t="s">
        <v>146</v>
      </c>
      <c r="V493" s="7" t="s">
        <v>147</v>
      </c>
      <c r="W493" s="7" t="s">
        <v>148</v>
      </c>
      <c r="X493" s="7" t="s">
        <v>149</v>
      </c>
      <c r="Y493" s="7" t="s">
        <v>150</v>
      </c>
      <c r="Z493" s="8" t="s">
        <v>151</v>
      </c>
      <c r="AA493" s="7" t="s">
        <v>152</v>
      </c>
      <c r="AB493" s="7" t="s">
        <v>153</v>
      </c>
      <c r="AC493" s="7" t="s">
        <v>154</v>
      </c>
      <c r="AD493" s="7" t="s">
        <v>155</v>
      </c>
      <c r="AE493" s="8" t="s">
        <v>156</v>
      </c>
      <c r="AF493" s="7" t="s">
        <v>157</v>
      </c>
      <c r="AH493" s="7" t="s">
        <v>146</v>
      </c>
      <c r="AI493" s="7" t="s">
        <v>147</v>
      </c>
      <c r="AJ493" s="7" t="s">
        <v>158</v>
      </c>
      <c r="AK493" s="7" t="s">
        <v>159</v>
      </c>
      <c r="AL493" s="7" t="s">
        <v>160</v>
      </c>
      <c r="AM493" s="7" t="s">
        <v>161</v>
      </c>
      <c r="AN493" s="7" t="s">
        <v>162</v>
      </c>
      <c r="AO493" s="7" t="s">
        <v>163</v>
      </c>
      <c r="AP493" s="7" t="s">
        <v>164</v>
      </c>
      <c r="AR493" s="7" t="s">
        <v>146</v>
      </c>
      <c r="AS493" s="7" t="s">
        <v>147</v>
      </c>
      <c r="AT493" s="7" t="s">
        <v>165</v>
      </c>
      <c r="AU493" s="7" t="s">
        <v>166</v>
      </c>
      <c r="AV493" s="7" t="s">
        <v>167</v>
      </c>
      <c r="AW493" s="7" t="s">
        <v>168</v>
      </c>
      <c r="AX493" s="14"/>
    </row>
    <row r="494" spans="1:50" ht="23.5" customHeight="1" thickBot="1" x14ac:dyDescent="0.35">
      <c r="A494" s="63"/>
      <c r="B494" s="76"/>
      <c r="C494" s="25"/>
      <c r="D494" s="1"/>
      <c r="E494" s="1" t="s">
        <v>151</v>
      </c>
      <c r="F494" s="36">
        <v>1</v>
      </c>
      <c r="G494" s="1"/>
      <c r="H494" s="36" t="s">
        <v>199</v>
      </c>
      <c r="I494" s="36">
        <v>1</v>
      </c>
      <c r="J494" s="4"/>
      <c r="K494" s="38" t="s">
        <v>168</v>
      </c>
      <c r="L494" s="38">
        <v>1</v>
      </c>
      <c r="M494" s="18"/>
      <c r="O494" s="1">
        <v>1</v>
      </c>
      <c r="P494" s="1">
        <v>1</v>
      </c>
      <c r="Q494" s="1">
        <v>0</v>
      </c>
      <c r="R494" s="1">
        <v>0</v>
      </c>
      <c r="S494" s="14"/>
      <c r="U494" s="9" t="s">
        <v>171</v>
      </c>
      <c r="V494" s="10" t="s">
        <v>172</v>
      </c>
      <c r="W494" s="9">
        <v>7.32</v>
      </c>
      <c r="X494" s="9">
        <v>0.71</v>
      </c>
      <c r="Y494" s="9">
        <v>1.1499999999999999</v>
      </c>
      <c r="Z494" s="9">
        <v>0.68</v>
      </c>
      <c r="AA494" s="9">
        <v>2.63</v>
      </c>
      <c r="AB494" s="9">
        <v>0.85</v>
      </c>
      <c r="AC494" s="9">
        <v>0.97</v>
      </c>
      <c r="AD494" s="9">
        <v>1.1200000000000001</v>
      </c>
      <c r="AE494" s="9">
        <v>1.28</v>
      </c>
      <c r="AF494" s="9">
        <v>1.86</v>
      </c>
      <c r="AH494" s="9" t="s">
        <v>173</v>
      </c>
      <c r="AI494" s="10" t="s">
        <v>174</v>
      </c>
      <c r="AJ494" s="9">
        <v>6.95</v>
      </c>
      <c r="AK494" s="9">
        <v>7.44</v>
      </c>
      <c r="AL494" s="9">
        <v>3</v>
      </c>
      <c r="AM494" s="9">
        <v>7.86</v>
      </c>
      <c r="AN494" s="9">
        <v>2.44</v>
      </c>
      <c r="AO494" s="9">
        <v>8.9499999999999993</v>
      </c>
      <c r="AP494" s="9">
        <v>5.95</v>
      </c>
      <c r="AR494" s="9" t="s">
        <v>175</v>
      </c>
      <c r="AS494" s="10" t="s">
        <v>176</v>
      </c>
      <c r="AT494" s="9">
        <v>2.69</v>
      </c>
      <c r="AU494" s="9">
        <v>1.18</v>
      </c>
      <c r="AV494" s="9">
        <v>2.2000000000000002</v>
      </c>
      <c r="AW494" s="9">
        <v>2</v>
      </c>
      <c r="AX494" s="14"/>
    </row>
    <row r="495" spans="1:50" ht="24" customHeight="1" thickTop="1" thickBot="1" x14ac:dyDescent="0.35">
      <c r="A495" s="63"/>
      <c r="B495" s="76"/>
      <c r="C495" s="25"/>
      <c r="D495" s="1"/>
      <c r="E495" s="36" t="s">
        <v>152</v>
      </c>
      <c r="F495" s="36">
        <v>1</v>
      </c>
      <c r="G495" s="1"/>
      <c r="H495" s="36" t="s">
        <v>200</v>
      </c>
      <c r="I495" s="36">
        <v>1</v>
      </c>
      <c r="J495" s="39"/>
      <c r="K495" s="39"/>
      <c r="L495" s="39"/>
      <c r="M495" s="18"/>
      <c r="O495" s="1">
        <v>2</v>
      </c>
      <c r="P495" s="1">
        <v>1</v>
      </c>
      <c r="Q495" s="1">
        <v>0</v>
      </c>
      <c r="R495" s="1">
        <v>1</v>
      </c>
      <c r="S495" s="14"/>
      <c r="U495" s="9" t="s">
        <v>179</v>
      </c>
      <c r="V495" s="10" t="s">
        <v>180</v>
      </c>
      <c r="W495" s="9">
        <v>8.75</v>
      </c>
      <c r="X495" s="9">
        <v>0.69</v>
      </c>
      <c r="Y495" s="9">
        <v>1.02</v>
      </c>
      <c r="Z495" s="9">
        <v>0.57999999999999996</v>
      </c>
      <c r="AA495" s="9">
        <v>2.5</v>
      </c>
      <c r="AB495" s="9">
        <v>0.82</v>
      </c>
      <c r="AC495" s="9">
        <v>0.99</v>
      </c>
      <c r="AD495" s="9">
        <v>1.05</v>
      </c>
      <c r="AE495" s="9">
        <v>1.1000000000000001</v>
      </c>
      <c r="AF495" s="9">
        <v>2.14</v>
      </c>
      <c r="AH495" s="11" t="s">
        <v>181</v>
      </c>
      <c r="AI495" s="12" t="s">
        <v>182</v>
      </c>
      <c r="AJ495" s="11">
        <v>6.08</v>
      </c>
      <c r="AK495" s="11">
        <v>6.58</v>
      </c>
      <c r="AL495" s="11">
        <v>3</v>
      </c>
      <c r="AM495" s="11">
        <v>6.04</v>
      </c>
      <c r="AN495" s="11">
        <v>1.58</v>
      </c>
      <c r="AO495" s="11">
        <v>7.08</v>
      </c>
      <c r="AP495" s="11">
        <v>5.08</v>
      </c>
      <c r="AR495" s="11" t="s">
        <v>183</v>
      </c>
      <c r="AS495" s="12" t="s">
        <v>184</v>
      </c>
      <c r="AT495" s="11">
        <v>3.4</v>
      </c>
      <c r="AU495" s="11">
        <v>1.04</v>
      </c>
      <c r="AV495" s="11">
        <v>2.9</v>
      </c>
      <c r="AW495" s="11">
        <v>2</v>
      </c>
      <c r="AX495" s="14"/>
    </row>
    <row r="496" spans="1:50" ht="23.5" customHeight="1" thickTop="1" thickBot="1" x14ac:dyDescent="0.35">
      <c r="A496" s="63"/>
      <c r="B496" s="76"/>
      <c r="C496" s="25"/>
      <c r="D496" s="1"/>
      <c r="E496" s="36" t="s">
        <v>153</v>
      </c>
      <c r="F496" s="36">
        <v>1</v>
      </c>
      <c r="G496" s="1"/>
      <c r="H496" s="36" t="s">
        <v>201</v>
      </c>
      <c r="I496" s="36">
        <v>1</v>
      </c>
      <c r="J496" s="25"/>
      <c r="K496" s="25"/>
      <c r="L496" s="25"/>
      <c r="M496" s="18"/>
      <c r="O496" s="1">
        <v>3</v>
      </c>
      <c r="P496" s="1">
        <v>0</v>
      </c>
      <c r="Q496" s="1">
        <v>0</v>
      </c>
      <c r="R496" s="1">
        <v>1</v>
      </c>
      <c r="S496" s="14"/>
      <c r="U496" s="11" t="s">
        <v>187</v>
      </c>
      <c r="V496" s="12" t="s">
        <v>188</v>
      </c>
      <c r="W496" s="11">
        <v>9.1</v>
      </c>
      <c r="X496" s="11">
        <v>0.85</v>
      </c>
      <c r="Y496" s="11">
        <v>1.25</v>
      </c>
      <c r="Z496" s="11">
        <v>0.72</v>
      </c>
      <c r="AA496" s="11">
        <v>2.91</v>
      </c>
      <c r="AB496" s="11">
        <v>0.88</v>
      </c>
      <c r="AC496" s="11">
        <v>1</v>
      </c>
      <c r="AD496" s="11">
        <v>1.2</v>
      </c>
      <c r="AE496" s="11">
        <v>1.35</v>
      </c>
      <c r="AF496" s="11">
        <v>2.5</v>
      </c>
      <c r="AX496" s="14"/>
    </row>
    <row r="497" spans="1:50" ht="23.5" customHeight="1" thickTop="1" thickBot="1" x14ac:dyDescent="0.35">
      <c r="A497" s="63"/>
      <c r="B497" s="76"/>
      <c r="C497" s="25"/>
      <c r="D497" s="1"/>
      <c r="E497" s="1" t="s">
        <v>156</v>
      </c>
      <c r="F497" s="36">
        <v>1</v>
      </c>
      <c r="G497" s="4"/>
      <c r="H497" s="38" t="s">
        <v>164</v>
      </c>
      <c r="I497" s="38">
        <v>1</v>
      </c>
      <c r="J497" s="36"/>
      <c r="K497" s="25"/>
      <c r="L497" s="25"/>
      <c r="M497" s="18"/>
      <c r="O497" s="1">
        <v>3</v>
      </c>
      <c r="P497" s="1">
        <v>0</v>
      </c>
      <c r="Q497" s="1">
        <v>2</v>
      </c>
      <c r="R497" s="1">
        <v>0</v>
      </c>
      <c r="S497" s="14"/>
      <c r="U497" s="9"/>
      <c r="V497" s="10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X497" s="14"/>
    </row>
    <row r="498" spans="1:50" ht="23.5" customHeight="1" thickTop="1" thickBot="1" x14ac:dyDescent="0.35">
      <c r="A498" s="63"/>
      <c r="B498" s="76"/>
      <c r="C498" s="25"/>
      <c r="D498" s="4"/>
      <c r="E498" s="38" t="s">
        <v>197</v>
      </c>
      <c r="F498" s="38">
        <v>1</v>
      </c>
      <c r="G498" s="39"/>
      <c r="H498" s="39"/>
      <c r="I498" s="39"/>
      <c r="J498" s="36"/>
      <c r="K498" s="36"/>
      <c r="L498" s="25"/>
      <c r="M498" s="18"/>
      <c r="O498" s="4">
        <v>5</v>
      </c>
      <c r="P498" s="4">
        <v>2</v>
      </c>
      <c r="Q498" s="4">
        <v>0</v>
      </c>
      <c r="R498" s="4">
        <v>2</v>
      </c>
      <c r="S498" s="14"/>
      <c r="U498" s="9"/>
      <c r="V498" s="10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X498" s="14"/>
    </row>
    <row r="499" spans="1:50" ht="23" customHeight="1" thickTop="1" x14ac:dyDescent="0.3">
      <c r="A499" s="63"/>
      <c r="B499" s="76"/>
      <c r="C499" s="25"/>
      <c r="D499" s="39"/>
      <c r="E499" s="39"/>
      <c r="F499" s="39"/>
      <c r="G499" s="25"/>
      <c r="H499" s="25"/>
      <c r="I499" s="25"/>
      <c r="J499" s="25"/>
      <c r="K499" s="25"/>
      <c r="L499" s="25"/>
      <c r="M499" s="18"/>
      <c r="O499" s="1"/>
      <c r="P499" s="1"/>
      <c r="Q499" s="1"/>
      <c r="R499" s="1"/>
      <c r="S499" s="14"/>
      <c r="AX499" s="14"/>
    </row>
    <row r="500" spans="1:50" ht="23" customHeight="1" thickBot="1" x14ac:dyDescent="0.35">
      <c r="A500" s="64"/>
      <c r="B500" s="81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19"/>
      <c r="N500" s="15"/>
      <c r="O500" s="15"/>
      <c r="P500" s="15"/>
      <c r="Q500" s="15"/>
      <c r="R500" s="15"/>
      <c r="S500" s="16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6"/>
    </row>
    <row r="501" spans="1:50" ht="14.5" customHeight="1" thickTop="1" x14ac:dyDescent="0.3"/>
  </sheetData>
  <mergeCells count="180">
    <mergeCell ref="A213:A308"/>
    <mergeCell ref="P192:R192"/>
    <mergeCell ref="G431:G437"/>
    <mergeCell ref="B405:B416"/>
    <mergeCell ref="O72:O73"/>
    <mergeCell ref="P144:R144"/>
    <mergeCell ref="B18:B20"/>
    <mergeCell ref="O312:O313"/>
    <mergeCell ref="P324:R324"/>
    <mergeCell ref="J71:J74"/>
    <mergeCell ref="J347:J350"/>
    <mergeCell ref="O240:O241"/>
    <mergeCell ref="D323:D330"/>
    <mergeCell ref="B333:B344"/>
    <mergeCell ref="B249:B260"/>
    <mergeCell ref="O420:O421"/>
    <mergeCell ref="D71:D78"/>
    <mergeCell ref="G239:G245"/>
    <mergeCell ref="O120:O121"/>
    <mergeCell ref="B465:B476"/>
    <mergeCell ref="D431:D438"/>
    <mergeCell ref="O264:O265"/>
    <mergeCell ref="B357:B368"/>
    <mergeCell ref="O444:O445"/>
    <mergeCell ref="G131:G137"/>
    <mergeCell ref="B105:B116"/>
    <mergeCell ref="G251:G257"/>
    <mergeCell ref="D239:D246"/>
    <mergeCell ref="G311:G317"/>
    <mergeCell ref="O144:O145"/>
    <mergeCell ref="C18:M20"/>
    <mergeCell ref="G167:G173"/>
    <mergeCell ref="J59:J62"/>
    <mergeCell ref="B261:B272"/>
    <mergeCell ref="D131:D138"/>
    <mergeCell ref="B201:B212"/>
    <mergeCell ref="G443:G449"/>
    <mergeCell ref="P312:R312"/>
    <mergeCell ref="B153:B164"/>
    <mergeCell ref="B237:B248"/>
    <mergeCell ref="O324:O325"/>
    <mergeCell ref="P216:R216"/>
    <mergeCell ref="B429:B440"/>
    <mergeCell ref="P168:R168"/>
    <mergeCell ref="P24:R24"/>
    <mergeCell ref="P444:R444"/>
    <mergeCell ref="B93:B104"/>
    <mergeCell ref="A21:A116"/>
    <mergeCell ref="G155:G161"/>
    <mergeCell ref="P240:R240"/>
    <mergeCell ref="J251:J254"/>
    <mergeCell ref="J311:J314"/>
    <mergeCell ref="O48:O49"/>
    <mergeCell ref="D347:D354"/>
    <mergeCell ref="B417:B428"/>
    <mergeCell ref="D227:D234"/>
    <mergeCell ref="D407:D414"/>
    <mergeCell ref="J239:J242"/>
    <mergeCell ref="P60:R60"/>
    <mergeCell ref="G323:G329"/>
    <mergeCell ref="D335:D342"/>
    <mergeCell ref="B177:B188"/>
    <mergeCell ref="P360:R360"/>
    <mergeCell ref="D35:D42"/>
    <mergeCell ref="O132:O133"/>
    <mergeCell ref="D311:D318"/>
    <mergeCell ref="O24:O25"/>
    <mergeCell ref="O408:O409"/>
    <mergeCell ref="G419:G425"/>
    <mergeCell ref="A117:A212"/>
    <mergeCell ref="B129:B140"/>
    <mergeCell ref="T18:AX20"/>
    <mergeCell ref="G359:G365"/>
    <mergeCell ref="B297:B308"/>
    <mergeCell ref="P132:R132"/>
    <mergeCell ref="J35:J38"/>
    <mergeCell ref="O60:O61"/>
    <mergeCell ref="P408:R408"/>
    <mergeCell ref="O228:O229"/>
    <mergeCell ref="A405:A500"/>
    <mergeCell ref="B57:B68"/>
    <mergeCell ref="J263:J266"/>
    <mergeCell ref="P84:R84"/>
    <mergeCell ref="G23:G29"/>
    <mergeCell ref="A18:A20"/>
    <mergeCell ref="P72:R72"/>
    <mergeCell ref="J23:J26"/>
    <mergeCell ref="D251:D258"/>
    <mergeCell ref="B285:B296"/>
    <mergeCell ref="D119:D126"/>
    <mergeCell ref="B33:B44"/>
    <mergeCell ref="N18:S20"/>
    <mergeCell ref="B453:B464"/>
    <mergeCell ref="P48:R48"/>
    <mergeCell ref="P228:R228"/>
    <mergeCell ref="J455:J458"/>
    <mergeCell ref="O336:O337"/>
    <mergeCell ref="D419:D426"/>
    <mergeCell ref="O348:O349"/>
    <mergeCell ref="B489:B500"/>
    <mergeCell ref="O252:O253"/>
    <mergeCell ref="B345:B356"/>
    <mergeCell ref="G59:G65"/>
    <mergeCell ref="G119:G125"/>
    <mergeCell ref="D443:D450"/>
    <mergeCell ref="J407:J410"/>
    <mergeCell ref="B141:B152"/>
    <mergeCell ref="G143:G149"/>
    <mergeCell ref="O168:O169"/>
    <mergeCell ref="B165:B176"/>
    <mergeCell ref="B441:B452"/>
    <mergeCell ref="G215:G221"/>
    <mergeCell ref="D263:D270"/>
    <mergeCell ref="J227:J230"/>
    <mergeCell ref="B273:B284"/>
    <mergeCell ref="J143:J146"/>
    <mergeCell ref="B117:B128"/>
    <mergeCell ref="G455:G461"/>
    <mergeCell ref="O456:O457"/>
    <mergeCell ref="A309:A404"/>
    <mergeCell ref="P252:R252"/>
    <mergeCell ref="D167:D174"/>
    <mergeCell ref="P96:R96"/>
    <mergeCell ref="D23:D30"/>
    <mergeCell ref="B189:B200"/>
    <mergeCell ref="O216:O217"/>
    <mergeCell ref="J131:J134"/>
    <mergeCell ref="B369:B380"/>
    <mergeCell ref="G263:G269"/>
    <mergeCell ref="J155:J158"/>
    <mergeCell ref="G335:G341"/>
    <mergeCell ref="O36:O37"/>
    <mergeCell ref="B45:B56"/>
    <mergeCell ref="B321:B332"/>
    <mergeCell ref="P156:R156"/>
    <mergeCell ref="B213:B224"/>
    <mergeCell ref="P264:R264"/>
    <mergeCell ref="P108:R108"/>
    <mergeCell ref="G47:G53"/>
    <mergeCell ref="B21:B32"/>
    <mergeCell ref="P120:R120"/>
    <mergeCell ref="P348:R348"/>
    <mergeCell ref="G35:G41"/>
    <mergeCell ref="J419:J422"/>
    <mergeCell ref="B381:B392"/>
    <mergeCell ref="B225:B236"/>
    <mergeCell ref="D215:D222"/>
    <mergeCell ref="J47:J50"/>
    <mergeCell ref="P420:R420"/>
    <mergeCell ref="J323:J326"/>
    <mergeCell ref="J443:J446"/>
    <mergeCell ref="D143:D150"/>
    <mergeCell ref="B69:B80"/>
    <mergeCell ref="G407:G413"/>
    <mergeCell ref="J431:J434"/>
    <mergeCell ref="B309:B320"/>
    <mergeCell ref="J215:J218"/>
    <mergeCell ref="P36:R36"/>
    <mergeCell ref="B477:B488"/>
    <mergeCell ref="P456:R456"/>
    <mergeCell ref="P204:R204"/>
    <mergeCell ref="J335:J338"/>
    <mergeCell ref="D59:D66"/>
    <mergeCell ref="P336:R336"/>
    <mergeCell ref="J167:J170"/>
    <mergeCell ref="B393:B404"/>
    <mergeCell ref="O156:O157"/>
    <mergeCell ref="O432:O433"/>
    <mergeCell ref="D359:D366"/>
    <mergeCell ref="D155:D162"/>
    <mergeCell ref="P432:R432"/>
    <mergeCell ref="O360:O361"/>
    <mergeCell ref="J119:J122"/>
    <mergeCell ref="B81:B92"/>
    <mergeCell ref="G227:G233"/>
    <mergeCell ref="G71:G77"/>
    <mergeCell ref="J359:J362"/>
    <mergeCell ref="G347:G353"/>
    <mergeCell ref="D455:D462"/>
    <mergeCell ref="D47:D54"/>
  </mergeCells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7:AX501"/>
  <sheetViews>
    <sheetView zoomScale="85" zoomScaleNormal="85" workbookViewId="0">
      <selection activeCell="P76" sqref="P76"/>
    </sheetView>
  </sheetViews>
  <sheetFormatPr defaultRowHeight="14" x14ac:dyDescent="0.3"/>
  <cols>
    <col min="1" max="1" width="10.1640625" bestFit="1" customWidth="1"/>
    <col min="2" max="2" width="29.08203125" customWidth="1"/>
    <col min="3" max="3" width="6.25" customWidth="1"/>
    <col min="4" max="4" width="6.75" customWidth="1"/>
    <col min="5" max="5" width="16.1640625" customWidth="1"/>
    <col min="6" max="7" width="6.58203125" customWidth="1"/>
    <col min="8" max="8" width="19.25" customWidth="1"/>
    <col min="9" max="9" width="6.5" customWidth="1"/>
    <col min="10" max="10" width="6.33203125" customWidth="1"/>
    <col min="11" max="11" width="17.4140625" customWidth="1"/>
    <col min="12" max="12" width="5.4140625" customWidth="1"/>
    <col min="13" max="13" width="6.5" customWidth="1"/>
    <col min="15" max="15" width="10.9140625" customWidth="1"/>
  </cols>
  <sheetData>
    <row r="17" spans="1:50" ht="14.5" customHeight="1" thickBot="1" x14ac:dyDescent="0.35"/>
    <row r="18" spans="1:50" ht="14.5" customHeight="1" thickTop="1" x14ac:dyDescent="0.3">
      <c r="A18" s="95" t="s">
        <v>25</v>
      </c>
      <c r="B18" s="97" t="s">
        <v>1</v>
      </c>
      <c r="C18" s="91" t="s">
        <v>209</v>
      </c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96" t="s">
        <v>210</v>
      </c>
      <c r="O18" s="92"/>
      <c r="P18" s="92"/>
      <c r="Q18" s="92"/>
      <c r="R18" s="92"/>
      <c r="S18" s="93"/>
      <c r="T18" s="91" t="s">
        <v>211</v>
      </c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3"/>
    </row>
    <row r="19" spans="1:50" x14ac:dyDescent="0.3">
      <c r="A19" s="76"/>
      <c r="B19" s="63"/>
      <c r="C19" s="66"/>
      <c r="D19" s="86"/>
      <c r="E19" s="86"/>
      <c r="F19" s="86"/>
      <c r="G19" s="86"/>
      <c r="H19" s="86"/>
      <c r="I19" s="86"/>
      <c r="J19" s="86"/>
      <c r="K19" s="86"/>
      <c r="L19" s="86"/>
      <c r="M19" s="63"/>
      <c r="N19" s="86"/>
      <c r="O19" s="86"/>
      <c r="P19" s="86"/>
      <c r="Q19" s="86"/>
      <c r="R19" s="86"/>
      <c r="S19" s="63"/>
      <c r="T19" s="6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63"/>
    </row>
    <row r="20" spans="1:50" ht="14.5" customHeight="1" thickBot="1" x14ac:dyDescent="0.35">
      <c r="A20" s="81"/>
      <c r="B20" s="64"/>
      <c r="C20" s="67"/>
      <c r="D20" s="94"/>
      <c r="E20" s="94"/>
      <c r="F20" s="94"/>
      <c r="G20" s="94"/>
      <c r="H20" s="94"/>
      <c r="I20" s="94"/>
      <c r="J20" s="94"/>
      <c r="K20" s="94"/>
      <c r="L20" s="94"/>
      <c r="M20" s="64"/>
      <c r="N20" s="94"/>
      <c r="O20" s="94"/>
      <c r="P20" s="94"/>
      <c r="Q20" s="94"/>
      <c r="R20" s="94"/>
      <c r="S20" s="64"/>
      <c r="T20" s="67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64"/>
    </row>
    <row r="21" spans="1:50" ht="33" customHeight="1" thickTop="1" thickBot="1" x14ac:dyDescent="0.35">
      <c r="A21" s="90">
        <v>1</v>
      </c>
      <c r="B21" s="89" t="s">
        <v>66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7"/>
      <c r="N21" s="24"/>
      <c r="O21" s="24"/>
      <c r="P21" s="24"/>
      <c r="Q21" s="24"/>
      <c r="R21" s="24"/>
      <c r="S21" s="17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17"/>
    </row>
    <row r="22" spans="1:50" ht="26" customHeight="1" thickTop="1" thickBot="1" x14ac:dyDescent="0.35">
      <c r="A22" s="63"/>
      <c r="B22" s="76"/>
      <c r="C22" s="24"/>
      <c r="D22" s="27" t="s">
        <v>191</v>
      </c>
      <c r="E22" s="27" t="s">
        <v>192</v>
      </c>
      <c r="F22" s="27" t="s">
        <v>193</v>
      </c>
      <c r="G22" s="27" t="s">
        <v>191</v>
      </c>
      <c r="H22" s="27" t="s">
        <v>192</v>
      </c>
      <c r="I22" s="27" t="s">
        <v>193</v>
      </c>
      <c r="J22" s="27" t="s">
        <v>191</v>
      </c>
      <c r="K22" s="27" t="s">
        <v>192</v>
      </c>
      <c r="L22" s="27" t="s">
        <v>193</v>
      </c>
      <c r="M22" s="17"/>
      <c r="N22" s="24"/>
      <c r="O22" s="82" t="s">
        <v>205</v>
      </c>
      <c r="P22" s="82" t="s">
        <v>206</v>
      </c>
      <c r="Q22" s="83"/>
      <c r="R22" s="83"/>
      <c r="S22" s="17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17"/>
    </row>
    <row r="23" spans="1:50" ht="23.5" customHeight="1" thickTop="1" thickBot="1" x14ac:dyDescent="0.35">
      <c r="A23" s="63"/>
      <c r="B23" s="76"/>
      <c r="C23" s="33"/>
      <c r="D23" s="88" t="s">
        <v>194</v>
      </c>
      <c r="E23" s="36" t="s">
        <v>148</v>
      </c>
      <c r="F23" s="36">
        <v>5</v>
      </c>
      <c r="G23" s="85" t="s">
        <v>198</v>
      </c>
      <c r="H23" s="36" t="s">
        <v>158</v>
      </c>
      <c r="I23" s="36">
        <v>2</v>
      </c>
      <c r="J23" s="85" t="s">
        <v>202</v>
      </c>
      <c r="K23" s="36" t="s">
        <v>203</v>
      </c>
      <c r="L23" s="36">
        <v>2</v>
      </c>
      <c r="M23" s="18"/>
      <c r="N23" s="13"/>
      <c r="O23" s="84"/>
      <c r="P23" s="2" t="s">
        <v>178</v>
      </c>
      <c r="Q23" s="2" t="s">
        <v>186</v>
      </c>
      <c r="R23" s="2" t="s">
        <v>190</v>
      </c>
      <c r="S23" s="14"/>
      <c r="T23" s="13"/>
      <c r="AX23" s="14"/>
    </row>
    <row r="24" spans="1:50" ht="16" customHeight="1" thickBot="1" x14ac:dyDescent="0.35">
      <c r="A24" s="63"/>
      <c r="B24" s="76"/>
      <c r="C24" s="25"/>
      <c r="D24" s="86"/>
      <c r="E24" s="36" t="s">
        <v>195</v>
      </c>
      <c r="F24" s="36">
        <v>2</v>
      </c>
      <c r="G24" s="86"/>
      <c r="H24" s="36" t="s">
        <v>159</v>
      </c>
      <c r="I24" s="36">
        <v>1</v>
      </c>
      <c r="J24" s="86"/>
      <c r="K24" s="36" t="s">
        <v>166</v>
      </c>
      <c r="L24" s="36">
        <v>2</v>
      </c>
      <c r="M24" s="18"/>
      <c r="O24" s="1">
        <v>1</v>
      </c>
      <c r="P24" s="1">
        <v>1</v>
      </c>
      <c r="Q24" s="1">
        <v>0</v>
      </c>
      <c r="R24" s="1">
        <v>2</v>
      </c>
      <c r="S24" s="14"/>
      <c r="Z24" s="23" t="s">
        <v>194</v>
      </c>
      <c r="AK24" s="23" t="s">
        <v>198</v>
      </c>
      <c r="AT24" s="23" t="s">
        <v>202</v>
      </c>
      <c r="AX24" s="14"/>
    </row>
    <row r="25" spans="1:50" ht="25" customHeight="1" thickTop="1" thickBot="1" x14ac:dyDescent="0.35">
      <c r="A25" s="63"/>
      <c r="B25" s="76"/>
      <c r="C25" s="25"/>
      <c r="D25" s="86"/>
      <c r="E25" s="36" t="s">
        <v>196</v>
      </c>
      <c r="F25" s="36">
        <v>2</v>
      </c>
      <c r="G25" s="86"/>
      <c r="H25" s="36" t="s">
        <v>160</v>
      </c>
      <c r="I25" s="36">
        <v>1</v>
      </c>
      <c r="J25" s="86"/>
      <c r="K25" s="36" t="s">
        <v>167</v>
      </c>
      <c r="L25" s="36">
        <v>1</v>
      </c>
      <c r="M25" s="18"/>
      <c r="O25" s="1">
        <v>2</v>
      </c>
      <c r="P25" s="1">
        <v>2</v>
      </c>
      <c r="Q25" s="1">
        <v>1</v>
      </c>
      <c r="R25" s="1">
        <v>1</v>
      </c>
      <c r="S25" s="14"/>
      <c r="U25" s="7" t="s">
        <v>146</v>
      </c>
      <c r="V25" s="7" t="s">
        <v>147</v>
      </c>
      <c r="W25" s="7" t="s">
        <v>148</v>
      </c>
      <c r="X25" s="7" t="s">
        <v>149</v>
      </c>
      <c r="Y25" s="7" t="s">
        <v>150</v>
      </c>
      <c r="Z25" s="8" t="s">
        <v>151</v>
      </c>
      <c r="AA25" s="7" t="s">
        <v>152</v>
      </c>
      <c r="AB25" s="7" t="s">
        <v>153</v>
      </c>
      <c r="AC25" s="7" t="s">
        <v>154</v>
      </c>
      <c r="AD25" s="7" t="s">
        <v>155</v>
      </c>
      <c r="AE25" s="8" t="s">
        <v>156</v>
      </c>
      <c r="AF25" s="7" t="s">
        <v>157</v>
      </c>
      <c r="AH25" s="7" t="s">
        <v>146</v>
      </c>
      <c r="AI25" s="7" t="s">
        <v>147</v>
      </c>
      <c r="AJ25" s="7" t="s">
        <v>158</v>
      </c>
      <c r="AK25" s="7" t="s">
        <v>159</v>
      </c>
      <c r="AL25" s="7" t="s">
        <v>160</v>
      </c>
      <c r="AM25" s="7" t="s">
        <v>161</v>
      </c>
      <c r="AN25" s="7" t="s">
        <v>162</v>
      </c>
      <c r="AO25" s="7" t="s">
        <v>163</v>
      </c>
      <c r="AP25" s="7" t="s">
        <v>164</v>
      </c>
      <c r="AR25" s="7" t="s">
        <v>146</v>
      </c>
      <c r="AS25" s="7" t="s">
        <v>147</v>
      </c>
      <c r="AT25" s="7" t="s">
        <v>165</v>
      </c>
      <c r="AU25" s="7" t="s">
        <v>166</v>
      </c>
      <c r="AV25" s="7" t="s">
        <v>167</v>
      </c>
      <c r="AW25" s="7" t="s">
        <v>168</v>
      </c>
      <c r="AX25" s="14"/>
    </row>
    <row r="26" spans="1:50" ht="23" customHeight="1" thickTop="1" thickBot="1" x14ac:dyDescent="0.35">
      <c r="A26" s="63"/>
      <c r="B26" s="76"/>
      <c r="C26" s="25"/>
      <c r="D26" s="86"/>
      <c r="E26" s="1" t="s">
        <v>151</v>
      </c>
      <c r="F26" s="36">
        <v>1</v>
      </c>
      <c r="G26" s="86"/>
      <c r="H26" s="36" t="s">
        <v>199</v>
      </c>
      <c r="I26" s="36">
        <v>2</v>
      </c>
      <c r="J26" s="87"/>
      <c r="K26" s="38" t="s">
        <v>168</v>
      </c>
      <c r="L26" s="38">
        <v>1</v>
      </c>
      <c r="M26" s="18"/>
      <c r="O26" s="1">
        <v>3</v>
      </c>
      <c r="P26" s="1">
        <v>0</v>
      </c>
      <c r="Q26" s="1">
        <v>1</v>
      </c>
      <c r="R26" s="1">
        <v>0</v>
      </c>
      <c r="S26" s="14"/>
      <c r="U26" s="9" t="s">
        <v>171</v>
      </c>
      <c r="V26" s="10" t="s">
        <v>172</v>
      </c>
      <c r="W26" s="9">
        <v>7.64</v>
      </c>
      <c r="X26" s="9">
        <v>0.78</v>
      </c>
      <c r="Y26" s="9">
        <v>1.1000000000000001</v>
      </c>
      <c r="Z26" s="9">
        <v>0.65</v>
      </c>
      <c r="AA26" s="9">
        <v>2.75</v>
      </c>
      <c r="AB26" s="9">
        <v>0.8</v>
      </c>
      <c r="AC26" s="9">
        <v>0.92</v>
      </c>
      <c r="AD26" s="9">
        <v>1</v>
      </c>
      <c r="AE26" s="9">
        <v>1.05</v>
      </c>
      <c r="AF26" s="9">
        <v>1.5</v>
      </c>
      <c r="AH26" s="9" t="s">
        <v>173</v>
      </c>
      <c r="AI26" s="10" t="s">
        <v>174</v>
      </c>
      <c r="AJ26" s="9">
        <v>6.35</v>
      </c>
      <c r="AK26" s="9">
        <v>6.77</v>
      </c>
      <c r="AL26" s="9">
        <v>3</v>
      </c>
      <c r="AM26" s="9">
        <v>6.88</v>
      </c>
      <c r="AN26" s="9">
        <v>1.77</v>
      </c>
      <c r="AO26" s="9">
        <v>7.27</v>
      </c>
      <c r="AP26" s="9">
        <v>5.35</v>
      </c>
      <c r="AR26" s="9" t="s">
        <v>175</v>
      </c>
      <c r="AS26" s="10" t="s">
        <v>176</v>
      </c>
      <c r="AT26" s="9">
        <v>2.75</v>
      </c>
      <c r="AU26" s="9">
        <v>1.1200000000000001</v>
      </c>
      <c r="AV26" s="9">
        <v>2.35</v>
      </c>
      <c r="AW26" s="9">
        <v>2</v>
      </c>
      <c r="AX26" s="14"/>
    </row>
    <row r="27" spans="1:50" ht="23.5" customHeight="1" thickTop="1" thickBot="1" x14ac:dyDescent="0.35">
      <c r="A27" s="63"/>
      <c r="B27" s="76"/>
      <c r="C27" s="25"/>
      <c r="D27" s="86"/>
      <c r="E27" s="36" t="s">
        <v>152</v>
      </c>
      <c r="F27" s="36">
        <v>1</v>
      </c>
      <c r="G27" s="86"/>
      <c r="H27" s="36" t="s">
        <v>200</v>
      </c>
      <c r="I27" s="36">
        <v>1</v>
      </c>
      <c r="J27" s="39"/>
      <c r="K27" s="39"/>
      <c r="L27" s="39"/>
      <c r="M27" s="18"/>
      <c r="O27" s="1">
        <v>4</v>
      </c>
      <c r="P27" s="1">
        <v>1</v>
      </c>
      <c r="Q27" s="1">
        <v>1</v>
      </c>
      <c r="R27" s="1">
        <v>1</v>
      </c>
      <c r="S27" s="14"/>
      <c r="U27" s="9" t="s">
        <v>179</v>
      </c>
      <c r="V27" s="10" t="s">
        <v>180</v>
      </c>
      <c r="W27" s="9">
        <v>8.2100000000000009</v>
      </c>
      <c r="X27" s="9">
        <v>0.9</v>
      </c>
      <c r="Y27" s="9">
        <v>1.08</v>
      </c>
      <c r="Z27" s="9">
        <v>0.75</v>
      </c>
      <c r="AA27" s="9">
        <v>2.5</v>
      </c>
      <c r="AB27" s="9">
        <v>0.87</v>
      </c>
      <c r="AC27" s="9">
        <v>0.95</v>
      </c>
      <c r="AD27" s="9">
        <v>1.18</v>
      </c>
      <c r="AE27" s="9">
        <v>1.2</v>
      </c>
      <c r="AF27" s="9">
        <v>1.93</v>
      </c>
      <c r="AH27" s="11" t="s">
        <v>181</v>
      </c>
      <c r="AI27" s="12" t="s">
        <v>182</v>
      </c>
      <c r="AJ27" s="11">
        <v>6.86</v>
      </c>
      <c r="AK27" s="11">
        <v>7.33</v>
      </c>
      <c r="AL27" s="11">
        <v>3</v>
      </c>
      <c r="AM27" s="11">
        <v>7.55</v>
      </c>
      <c r="AN27" s="11">
        <v>2.27</v>
      </c>
      <c r="AO27" s="11">
        <v>8.5500000000000007</v>
      </c>
      <c r="AP27" s="11">
        <v>5.85</v>
      </c>
      <c r="AR27" s="11" t="s">
        <v>183</v>
      </c>
      <c r="AS27" s="12" t="s">
        <v>184</v>
      </c>
      <c r="AT27" s="11">
        <v>3.23</v>
      </c>
      <c r="AU27" s="11">
        <v>1.05</v>
      </c>
      <c r="AV27" s="11">
        <v>2.78</v>
      </c>
      <c r="AW27" s="11">
        <v>2</v>
      </c>
      <c r="AX27" s="14"/>
    </row>
    <row r="28" spans="1:50" ht="23" customHeight="1" thickTop="1" thickBot="1" x14ac:dyDescent="0.35">
      <c r="A28" s="63"/>
      <c r="B28" s="76"/>
      <c r="C28" s="25"/>
      <c r="D28" s="86"/>
      <c r="E28" s="36" t="s">
        <v>153</v>
      </c>
      <c r="F28" s="36">
        <v>1</v>
      </c>
      <c r="G28" s="86"/>
      <c r="H28" s="36" t="s">
        <v>201</v>
      </c>
      <c r="I28" s="36">
        <v>1</v>
      </c>
      <c r="J28" s="25"/>
      <c r="K28" s="25"/>
      <c r="L28" s="25"/>
      <c r="M28" s="18"/>
      <c r="O28" s="1">
        <v>5</v>
      </c>
      <c r="P28" s="1">
        <v>1</v>
      </c>
      <c r="Q28" s="1">
        <v>1</v>
      </c>
      <c r="R28" s="1">
        <v>0</v>
      </c>
      <c r="S28" s="14"/>
      <c r="U28" s="11" t="s">
        <v>187</v>
      </c>
      <c r="V28" s="12" t="s">
        <v>188</v>
      </c>
      <c r="W28" s="11">
        <v>7.98</v>
      </c>
      <c r="X28" s="11">
        <v>0.67</v>
      </c>
      <c r="Y28" s="11">
        <v>1.2</v>
      </c>
      <c r="Z28" s="11">
        <v>0.61</v>
      </c>
      <c r="AA28" s="11">
        <v>2.87</v>
      </c>
      <c r="AB28" s="11">
        <v>0.83</v>
      </c>
      <c r="AC28" s="11">
        <v>0.98</v>
      </c>
      <c r="AD28" s="11">
        <v>1.03</v>
      </c>
      <c r="AE28" s="11">
        <v>1.32</v>
      </c>
      <c r="AF28" s="11">
        <v>2.27</v>
      </c>
      <c r="AX28" s="14"/>
    </row>
    <row r="29" spans="1:50" ht="23" customHeight="1" thickTop="1" thickBot="1" x14ac:dyDescent="0.35">
      <c r="A29" s="63"/>
      <c r="B29" s="76"/>
      <c r="C29" s="25"/>
      <c r="D29" s="86"/>
      <c r="E29" s="1" t="s">
        <v>156</v>
      </c>
      <c r="F29" s="36">
        <v>1</v>
      </c>
      <c r="G29" s="87"/>
      <c r="H29" s="38" t="s">
        <v>164</v>
      </c>
      <c r="I29" s="38">
        <v>1</v>
      </c>
      <c r="J29" s="36"/>
      <c r="K29" s="25"/>
      <c r="L29" s="25"/>
      <c r="M29" s="18"/>
      <c r="O29" s="4">
        <v>6</v>
      </c>
      <c r="P29" s="4">
        <v>0</v>
      </c>
      <c r="Q29" s="4">
        <v>1</v>
      </c>
      <c r="R29" s="4">
        <v>1</v>
      </c>
      <c r="S29" s="14"/>
      <c r="U29" s="9"/>
      <c r="V29" s="10"/>
      <c r="W29" s="9"/>
      <c r="X29" s="9"/>
      <c r="Y29" s="9"/>
      <c r="Z29" s="9"/>
      <c r="AA29" s="9"/>
      <c r="AB29" s="9"/>
      <c r="AC29" s="9"/>
      <c r="AD29" s="9"/>
      <c r="AE29" s="9"/>
      <c r="AF29" s="9"/>
      <c r="AX29" s="14"/>
    </row>
    <row r="30" spans="1:50" ht="23" customHeight="1" thickTop="1" thickBot="1" x14ac:dyDescent="0.35">
      <c r="A30" s="63"/>
      <c r="B30" s="76"/>
      <c r="C30" s="25"/>
      <c r="D30" s="87"/>
      <c r="E30" s="38" t="s">
        <v>197</v>
      </c>
      <c r="F30" s="38">
        <v>1</v>
      </c>
      <c r="G30" s="39"/>
      <c r="H30" s="39"/>
      <c r="I30" s="39"/>
      <c r="J30" s="36"/>
      <c r="K30" s="36"/>
      <c r="L30" s="25"/>
      <c r="M30" s="18"/>
      <c r="O30" s="1"/>
      <c r="P30" s="1"/>
      <c r="Q30" s="1"/>
      <c r="R30" s="1"/>
      <c r="S30" s="14"/>
      <c r="U30" s="9"/>
      <c r="V30" s="10"/>
      <c r="W30" s="9"/>
      <c r="X30" s="9"/>
      <c r="Y30" s="9"/>
      <c r="Z30" s="9"/>
      <c r="AA30" s="9"/>
      <c r="AB30" s="9"/>
      <c r="AC30" s="9"/>
      <c r="AD30" s="9"/>
      <c r="AE30" s="9"/>
      <c r="AF30" s="9"/>
      <c r="AX30" s="14"/>
    </row>
    <row r="31" spans="1:50" ht="22.5" customHeight="1" thickTop="1" x14ac:dyDescent="0.3">
      <c r="A31" s="63"/>
      <c r="B31" s="76"/>
      <c r="C31" s="25"/>
      <c r="D31" s="39"/>
      <c r="E31" s="39"/>
      <c r="F31" s="39"/>
      <c r="G31" s="25"/>
      <c r="H31" s="25"/>
      <c r="I31" s="25"/>
      <c r="J31" s="25"/>
      <c r="K31" s="25"/>
      <c r="L31" s="25"/>
      <c r="M31" s="18"/>
      <c r="S31" s="14"/>
      <c r="AX31" s="14"/>
    </row>
    <row r="32" spans="1:50" ht="23" customHeight="1" thickBot="1" x14ac:dyDescent="0.35">
      <c r="A32" s="63"/>
      <c r="B32" s="81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19"/>
      <c r="N32" s="15"/>
      <c r="O32" s="15"/>
      <c r="P32" s="15"/>
      <c r="Q32" s="15"/>
      <c r="R32" s="15"/>
      <c r="S32" s="1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6"/>
    </row>
    <row r="33" spans="1:50" ht="33" customHeight="1" thickTop="1" thickBot="1" x14ac:dyDescent="0.35">
      <c r="A33" s="63"/>
      <c r="B33" s="89" t="s">
        <v>67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7"/>
      <c r="N33" s="24"/>
      <c r="O33" s="24"/>
      <c r="P33" s="24"/>
      <c r="Q33" s="24"/>
      <c r="R33" s="24"/>
      <c r="S33" s="17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17"/>
    </row>
    <row r="34" spans="1:50" ht="26" customHeight="1" thickTop="1" thickBot="1" x14ac:dyDescent="0.35">
      <c r="A34" s="63"/>
      <c r="B34" s="76"/>
      <c r="C34" s="24"/>
      <c r="D34" s="27" t="s">
        <v>191</v>
      </c>
      <c r="E34" s="27" t="s">
        <v>192</v>
      </c>
      <c r="F34" s="27" t="s">
        <v>193</v>
      </c>
      <c r="G34" s="27" t="s">
        <v>191</v>
      </c>
      <c r="H34" s="27" t="s">
        <v>192</v>
      </c>
      <c r="I34" s="27" t="s">
        <v>193</v>
      </c>
      <c r="J34" s="27" t="s">
        <v>191</v>
      </c>
      <c r="K34" s="27" t="s">
        <v>192</v>
      </c>
      <c r="L34" s="27" t="s">
        <v>193</v>
      </c>
      <c r="M34" s="17"/>
      <c r="N34" s="24"/>
      <c r="O34" s="82" t="s">
        <v>205</v>
      </c>
      <c r="P34" s="82" t="s">
        <v>206</v>
      </c>
      <c r="Q34" s="83"/>
      <c r="R34" s="83"/>
      <c r="S34" s="17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17"/>
    </row>
    <row r="35" spans="1:50" ht="23.5" customHeight="1" thickTop="1" thickBot="1" x14ac:dyDescent="0.35">
      <c r="A35" s="63"/>
      <c r="B35" s="76"/>
      <c r="C35" s="33"/>
      <c r="D35" s="88" t="s">
        <v>194</v>
      </c>
      <c r="E35" s="36" t="s">
        <v>148</v>
      </c>
      <c r="F35" s="36">
        <v>5</v>
      </c>
      <c r="G35" s="85" t="s">
        <v>198</v>
      </c>
      <c r="H35" s="36" t="s">
        <v>158</v>
      </c>
      <c r="I35" s="36">
        <v>2</v>
      </c>
      <c r="J35" s="85" t="s">
        <v>202</v>
      </c>
      <c r="K35" s="36" t="s">
        <v>203</v>
      </c>
      <c r="L35" s="36">
        <v>2</v>
      </c>
      <c r="M35" s="18"/>
      <c r="N35" s="13"/>
      <c r="O35" s="84"/>
      <c r="P35" s="2" t="s">
        <v>178</v>
      </c>
      <c r="Q35" s="2" t="s">
        <v>186</v>
      </c>
      <c r="R35" s="2" t="s">
        <v>190</v>
      </c>
      <c r="S35" s="14"/>
      <c r="T35" s="13"/>
      <c r="AX35" s="14"/>
    </row>
    <row r="36" spans="1:50" ht="16" customHeight="1" thickBot="1" x14ac:dyDescent="0.35">
      <c r="A36" s="63"/>
      <c r="B36" s="76"/>
      <c r="C36" s="25"/>
      <c r="D36" s="86"/>
      <c r="E36" s="36" t="s">
        <v>195</v>
      </c>
      <c r="F36" s="36">
        <v>2</v>
      </c>
      <c r="G36" s="86"/>
      <c r="H36" s="36" t="s">
        <v>159</v>
      </c>
      <c r="I36" s="36">
        <v>1</v>
      </c>
      <c r="J36" s="86"/>
      <c r="K36" s="36" t="s">
        <v>166</v>
      </c>
      <c r="L36" s="36">
        <v>2</v>
      </c>
      <c r="M36" s="18"/>
      <c r="O36" s="1">
        <v>1</v>
      </c>
      <c r="P36" s="1">
        <v>0</v>
      </c>
      <c r="Q36" s="1">
        <v>0</v>
      </c>
      <c r="R36" s="1">
        <v>0</v>
      </c>
      <c r="S36" s="14"/>
      <c r="Z36" s="23" t="s">
        <v>194</v>
      </c>
      <c r="AK36" s="23" t="s">
        <v>198</v>
      </c>
      <c r="AT36" s="23" t="s">
        <v>202</v>
      </c>
      <c r="AX36" s="14"/>
    </row>
    <row r="37" spans="1:50" ht="25" customHeight="1" thickTop="1" thickBot="1" x14ac:dyDescent="0.35">
      <c r="A37" s="63"/>
      <c r="B37" s="76"/>
      <c r="C37" s="25"/>
      <c r="D37" s="86"/>
      <c r="E37" s="36" t="s">
        <v>196</v>
      </c>
      <c r="F37" s="36">
        <v>2</v>
      </c>
      <c r="G37" s="86"/>
      <c r="H37" s="36" t="s">
        <v>159</v>
      </c>
      <c r="I37" s="36">
        <v>1</v>
      </c>
      <c r="J37" s="86"/>
      <c r="K37" s="36" t="s">
        <v>167</v>
      </c>
      <c r="L37" s="36">
        <v>1</v>
      </c>
      <c r="M37" s="18"/>
      <c r="O37" s="1">
        <v>2</v>
      </c>
      <c r="P37" s="1">
        <v>2</v>
      </c>
      <c r="Q37" s="1">
        <v>2</v>
      </c>
      <c r="R37" s="1">
        <v>1</v>
      </c>
      <c r="S37" s="14"/>
      <c r="U37" s="7" t="s">
        <v>146</v>
      </c>
      <c r="V37" s="7" t="s">
        <v>147</v>
      </c>
      <c r="W37" s="7" t="s">
        <v>148</v>
      </c>
      <c r="X37" s="7" t="s">
        <v>149</v>
      </c>
      <c r="Y37" s="7" t="s">
        <v>150</v>
      </c>
      <c r="Z37" s="8" t="s">
        <v>151</v>
      </c>
      <c r="AA37" s="7" t="s">
        <v>152</v>
      </c>
      <c r="AB37" s="7" t="s">
        <v>153</v>
      </c>
      <c r="AC37" s="7" t="s">
        <v>154</v>
      </c>
      <c r="AD37" s="7" t="s">
        <v>155</v>
      </c>
      <c r="AE37" s="8" t="s">
        <v>156</v>
      </c>
      <c r="AF37" s="7" t="s">
        <v>157</v>
      </c>
      <c r="AH37" s="7" t="s">
        <v>146</v>
      </c>
      <c r="AI37" s="7" t="s">
        <v>147</v>
      </c>
      <c r="AJ37" s="7" t="s">
        <v>158</v>
      </c>
      <c r="AK37" s="7" t="s">
        <v>159</v>
      </c>
      <c r="AL37" s="7" t="s">
        <v>160</v>
      </c>
      <c r="AM37" s="7" t="s">
        <v>161</v>
      </c>
      <c r="AN37" s="7" t="s">
        <v>162</v>
      </c>
      <c r="AO37" s="7" t="s">
        <v>163</v>
      </c>
      <c r="AP37" s="7" t="s">
        <v>164</v>
      </c>
      <c r="AR37" s="7" t="s">
        <v>146</v>
      </c>
      <c r="AS37" s="7" t="s">
        <v>147</v>
      </c>
      <c r="AT37" s="7" t="s">
        <v>165</v>
      </c>
      <c r="AU37" s="7" t="s">
        <v>166</v>
      </c>
      <c r="AV37" s="7" t="s">
        <v>167</v>
      </c>
      <c r="AW37" s="7" t="s">
        <v>168</v>
      </c>
      <c r="AX37" s="14"/>
    </row>
    <row r="38" spans="1:50" ht="23" customHeight="1" thickTop="1" thickBot="1" x14ac:dyDescent="0.35">
      <c r="A38" s="63"/>
      <c r="B38" s="76"/>
      <c r="C38" s="25"/>
      <c r="D38" s="86"/>
      <c r="E38" s="1" t="s">
        <v>151</v>
      </c>
      <c r="F38" s="36">
        <v>1</v>
      </c>
      <c r="G38" s="86"/>
      <c r="H38" s="36" t="s">
        <v>199</v>
      </c>
      <c r="I38" s="36">
        <v>2</v>
      </c>
      <c r="J38" s="87"/>
      <c r="K38" s="38" t="s">
        <v>168</v>
      </c>
      <c r="L38" s="38">
        <v>1</v>
      </c>
      <c r="M38" s="18"/>
      <c r="O38" s="1">
        <v>3</v>
      </c>
      <c r="P38" s="1">
        <v>0</v>
      </c>
      <c r="Q38" s="1">
        <v>1</v>
      </c>
      <c r="R38" s="1">
        <v>1</v>
      </c>
      <c r="S38" s="14"/>
      <c r="U38" s="9" t="s">
        <v>171</v>
      </c>
      <c r="V38" s="10" t="s">
        <v>172</v>
      </c>
      <c r="W38" s="9">
        <v>8.9499999999999993</v>
      </c>
      <c r="X38" s="9">
        <v>0.73</v>
      </c>
      <c r="Y38" s="9">
        <v>1.05</v>
      </c>
      <c r="Z38" s="9">
        <v>0.59</v>
      </c>
      <c r="AA38" s="9">
        <v>2.5</v>
      </c>
      <c r="AB38" s="9">
        <v>0.89</v>
      </c>
      <c r="AC38" s="9">
        <v>0.91</v>
      </c>
      <c r="AD38" s="9">
        <v>1.25</v>
      </c>
      <c r="AE38" s="9">
        <v>1.1499999999999999</v>
      </c>
      <c r="AF38" s="9">
        <v>1.64</v>
      </c>
      <c r="AH38" s="9" t="s">
        <v>173</v>
      </c>
      <c r="AI38" s="10" t="s">
        <v>174</v>
      </c>
      <c r="AJ38" s="9">
        <v>6.12</v>
      </c>
      <c r="AK38" s="9">
        <v>6.54</v>
      </c>
      <c r="AL38" s="9">
        <v>3</v>
      </c>
      <c r="AM38" s="9">
        <v>6.06</v>
      </c>
      <c r="AN38" s="9">
        <v>1.54</v>
      </c>
      <c r="AO38" s="9">
        <v>7.07</v>
      </c>
      <c r="AP38" s="9">
        <v>5.0199999999999996</v>
      </c>
      <c r="AR38" s="9" t="s">
        <v>175</v>
      </c>
      <c r="AS38" s="10" t="s">
        <v>176</v>
      </c>
      <c r="AT38" s="9">
        <v>2.56</v>
      </c>
      <c r="AU38" s="9">
        <v>1.2</v>
      </c>
      <c r="AV38" s="9">
        <v>2.1</v>
      </c>
      <c r="AW38" s="9">
        <v>2</v>
      </c>
      <c r="AX38" s="14"/>
    </row>
    <row r="39" spans="1:50" ht="23.5" customHeight="1" thickTop="1" thickBot="1" x14ac:dyDescent="0.35">
      <c r="A39" s="63"/>
      <c r="B39" s="76"/>
      <c r="C39" s="25"/>
      <c r="D39" s="86"/>
      <c r="E39" s="36" t="s">
        <v>152</v>
      </c>
      <c r="F39" s="36">
        <v>1</v>
      </c>
      <c r="G39" s="86"/>
      <c r="H39" s="36" t="s">
        <v>200</v>
      </c>
      <c r="I39" s="36">
        <v>1</v>
      </c>
      <c r="J39" s="39"/>
      <c r="K39" s="39"/>
      <c r="L39" s="39"/>
      <c r="M39" s="18"/>
      <c r="O39" s="1">
        <v>4</v>
      </c>
      <c r="P39" s="1">
        <v>2</v>
      </c>
      <c r="Q39" s="1">
        <v>0</v>
      </c>
      <c r="R39" s="1">
        <v>0</v>
      </c>
      <c r="S39" s="14"/>
      <c r="U39" s="9" t="s">
        <v>179</v>
      </c>
      <c r="V39" s="10" t="s">
        <v>180</v>
      </c>
      <c r="W39" s="9">
        <v>7.12</v>
      </c>
      <c r="X39" s="9">
        <v>0.82</v>
      </c>
      <c r="Y39" s="9">
        <v>1.18</v>
      </c>
      <c r="Z39" s="9">
        <v>0.7</v>
      </c>
      <c r="AA39" s="9">
        <v>2.69</v>
      </c>
      <c r="AB39" s="9">
        <v>0.81</v>
      </c>
      <c r="AC39" s="9">
        <v>0.96</v>
      </c>
      <c r="AD39" s="9">
        <v>1.1000000000000001</v>
      </c>
      <c r="AE39" s="9">
        <v>1.4</v>
      </c>
      <c r="AF39" s="9">
        <v>2.4</v>
      </c>
      <c r="AH39" s="11" t="s">
        <v>181</v>
      </c>
      <c r="AI39" s="12" t="s">
        <v>182</v>
      </c>
      <c r="AJ39" s="11">
        <v>6.94</v>
      </c>
      <c r="AK39" s="11">
        <v>7.43</v>
      </c>
      <c r="AL39" s="11">
        <v>3</v>
      </c>
      <c r="AM39" s="11">
        <v>7.94</v>
      </c>
      <c r="AN39" s="11">
        <v>2.4300000000000002</v>
      </c>
      <c r="AO39" s="11">
        <v>8.94</v>
      </c>
      <c r="AP39" s="11">
        <v>5.94</v>
      </c>
      <c r="AR39" s="11" t="s">
        <v>183</v>
      </c>
      <c r="AS39" s="12" t="s">
        <v>184</v>
      </c>
      <c r="AT39" s="11">
        <v>3.45</v>
      </c>
      <c r="AU39" s="11">
        <v>1.02</v>
      </c>
      <c r="AV39" s="11">
        <v>2.9</v>
      </c>
      <c r="AW39" s="11">
        <v>2</v>
      </c>
      <c r="AX39" s="14"/>
    </row>
    <row r="40" spans="1:50" ht="23" customHeight="1" thickTop="1" thickBot="1" x14ac:dyDescent="0.35">
      <c r="A40" s="63"/>
      <c r="B40" s="76"/>
      <c r="C40" s="25"/>
      <c r="D40" s="86"/>
      <c r="E40" s="36" t="s">
        <v>153</v>
      </c>
      <c r="F40" s="36">
        <v>1</v>
      </c>
      <c r="G40" s="86"/>
      <c r="H40" s="36" t="s">
        <v>201</v>
      </c>
      <c r="I40" s="36">
        <v>1</v>
      </c>
      <c r="J40" s="25"/>
      <c r="K40" s="25"/>
      <c r="L40" s="25"/>
      <c r="M40" s="18"/>
      <c r="O40" s="1">
        <v>5</v>
      </c>
      <c r="P40" s="1">
        <v>0</v>
      </c>
      <c r="Q40" s="1">
        <v>1</v>
      </c>
      <c r="R40" s="1">
        <v>1</v>
      </c>
      <c r="S40" s="14"/>
      <c r="U40" s="11" t="s">
        <v>187</v>
      </c>
      <c r="V40" s="12" t="s">
        <v>188</v>
      </c>
      <c r="W40" s="11">
        <v>8.56</v>
      </c>
      <c r="X40" s="11">
        <v>0.7</v>
      </c>
      <c r="Y40" s="11">
        <v>1.23</v>
      </c>
      <c r="Z40" s="11">
        <v>0.63</v>
      </c>
      <c r="AA40" s="11">
        <v>2.5</v>
      </c>
      <c r="AB40" s="11">
        <v>0.86</v>
      </c>
      <c r="AC40" s="11">
        <v>0.93</v>
      </c>
      <c r="AD40" s="11">
        <v>1.07</v>
      </c>
      <c r="AE40" s="11">
        <v>1.08</v>
      </c>
      <c r="AF40" s="11">
        <v>1.72</v>
      </c>
      <c r="AX40" s="14"/>
    </row>
    <row r="41" spans="1:50" ht="23" customHeight="1" thickTop="1" thickBot="1" x14ac:dyDescent="0.35">
      <c r="A41" s="63"/>
      <c r="B41" s="76"/>
      <c r="C41" s="25"/>
      <c r="D41" s="86"/>
      <c r="E41" s="1" t="s">
        <v>156</v>
      </c>
      <c r="F41" s="36">
        <v>1</v>
      </c>
      <c r="G41" s="87"/>
      <c r="H41" s="38" t="s">
        <v>164</v>
      </c>
      <c r="I41" s="38">
        <v>1</v>
      </c>
      <c r="J41" s="36"/>
      <c r="K41" s="25"/>
      <c r="L41" s="25"/>
      <c r="M41" s="18"/>
      <c r="O41" s="4">
        <v>6</v>
      </c>
      <c r="P41" s="4">
        <v>2</v>
      </c>
      <c r="Q41" s="4">
        <v>2</v>
      </c>
      <c r="R41" s="4">
        <v>2</v>
      </c>
      <c r="S41" s="14"/>
      <c r="U41" s="9"/>
      <c r="V41" s="10"/>
      <c r="W41" s="9"/>
      <c r="X41" s="9"/>
      <c r="Y41" s="9"/>
      <c r="Z41" s="9"/>
      <c r="AA41" s="9"/>
      <c r="AB41" s="9"/>
      <c r="AC41" s="9"/>
      <c r="AD41" s="9"/>
      <c r="AE41" s="9"/>
      <c r="AF41" s="9"/>
      <c r="AX41" s="14"/>
    </row>
    <row r="42" spans="1:50" ht="23" customHeight="1" thickTop="1" thickBot="1" x14ac:dyDescent="0.35">
      <c r="A42" s="63"/>
      <c r="B42" s="76"/>
      <c r="C42" s="25"/>
      <c r="D42" s="87"/>
      <c r="E42" s="38" t="s">
        <v>197</v>
      </c>
      <c r="F42" s="38">
        <v>1</v>
      </c>
      <c r="G42" s="39"/>
      <c r="H42" s="39"/>
      <c r="I42" s="39"/>
      <c r="J42" s="36"/>
      <c r="K42" s="36"/>
      <c r="L42" s="25"/>
      <c r="M42" s="18"/>
      <c r="O42" s="1"/>
      <c r="P42" s="1"/>
      <c r="Q42" s="1"/>
      <c r="R42" s="1"/>
      <c r="S42" s="14"/>
      <c r="U42" s="9"/>
      <c r="V42" s="10"/>
      <c r="W42" s="9"/>
      <c r="X42" s="9"/>
      <c r="Y42" s="9"/>
      <c r="Z42" s="9"/>
      <c r="AA42" s="9"/>
      <c r="AB42" s="9"/>
      <c r="AC42" s="9"/>
      <c r="AD42" s="9"/>
      <c r="AE42" s="9"/>
      <c r="AF42" s="9"/>
      <c r="AX42" s="14"/>
    </row>
    <row r="43" spans="1:50" ht="22.5" customHeight="1" thickTop="1" x14ac:dyDescent="0.3">
      <c r="A43" s="63"/>
      <c r="B43" s="76"/>
      <c r="C43" s="25"/>
      <c r="D43" s="39"/>
      <c r="E43" s="39"/>
      <c r="F43" s="39"/>
      <c r="G43" s="25"/>
      <c r="H43" s="25"/>
      <c r="I43" s="25"/>
      <c r="J43" s="25"/>
      <c r="K43" s="25"/>
      <c r="L43" s="25"/>
      <c r="M43" s="18"/>
      <c r="O43" s="1"/>
      <c r="P43" s="1"/>
      <c r="Q43" s="1"/>
      <c r="R43" s="1"/>
      <c r="S43" s="14"/>
      <c r="AX43" s="14"/>
    </row>
    <row r="44" spans="1:50" ht="23" customHeight="1" thickBot="1" x14ac:dyDescent="0.35">
      <c r="A44" s="63"/>
      <c r="B44" s="81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19"/>
      <c r="N44" s="15"/>
      <c r="O44" s="15"/>
      <c r="P44" s="15"/>
      <c r="Q44" s="15"/>
      <c r="R44" s="15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6"/>
    </row>
    <row r="45" spans="1:50" ht="33" customHeight="1" thickTop="1" thickBot="1" x14ac:dyDescent="0.35">
      <c r="A45" s="63"/>
      <c r="B45" s="89" t="s">
        <v>68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17"/>
      <c r="N45" s="24"/>
      <c r="O45" s="24"/>
      <c r="P45" s="24"/>
      <c r="Q45" s="24"/>
      <c r="R45" s="24"/>
      <c r="S45" s="17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17"/>
    </row>
    <row r="46" spans="1:50" ht="26" customHeight="1" thickTop="1" thickBot="1" x14ac:dyDescent="0.35">
      <c r="A46" s="63"/>
      <c r="B46" s="76"/>
      <c r="C46" s="24"/>
      <c r="D46" s="27" t="s">
        <v>191</v>
      </c>
      <c r="E46" s="27" t="s">
        <v>192</v>
      </c>
      <c r="F46" s="27" t="s">
        <v>193</v>
      </c>
      <c r="G46" s="27" t="s">
        <v>191</v>
      </c>
      <c r="H46" s="27" t="s">
        <v>192</v>
      </c>
      <c r="I46" s="27" t="s">
        <v>193</v>
      </c>
      <c r="J46" s="27" t="s">
        <v>191</v>
      </c>
      <c r="K46" s="27" t="s">
        <v>192</v>
      </c>
      <c r="L46" s="27" t="s">
        <v>193</v>
      </c>
      <c r="M46" s="17"/>
      <c r="N46" s="24"/>
      <c r="O46" s="82" t="s">
        <v>205</v>
      </c>
      <c r="P46" s="82" t="s">
        <v>206</v>
      </c>
      <c r="Q46" s="83"/>
      <c r="R46" s="83"/>
      <c r="S46" s="17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17"/>
    </row>
    <row r="47" spans="1:50" ht="23.5" customHeight="1" thickTop="1" thickBot="1" x14ac:dyDescent="0.35">
      <c r="A47" s="63"/>
      <c r="B47" s="76"/>
      <c r="C47" s="33"/>
      <c r="D47" s="88" t="s">
        <v>194</v>
      </c>
      <c r="E47" s="36" t="s">
        <v>148</v>
      </c>
      <c r="F47" s="36">
        <v>5</v>
      </c>
      <c r="G47" s="85" t="s">
        <v>198</v>
      </c>
      <c r="H47" s="36" t="s">
        <v>158</v>
      </c>
      <c r="I47" s="36">
        <v>2</v>
      </c>
      <c r="J47" s="85" t="s">
        <v>202</v>
      </c>
      <c r="K47" s="36" t="s">
        <v>203</v>
      </c>
      <c r="L47" s="36">
        <v>2</v>
      </c>
      <c r="M47" s="18"/>
      <c r="N47" s="13"/>
      <c r="O47" s="84"/>
      <c r="P47" s="2" t="s">
        <v>178</v>
      </c>
      <c r="Q47" s="2" t="s">
        <v>186</v>
      </c>
      <c r="R47" s="2" t="s">
        <v>190</v>
      </c>
      <c r="S47" s="14"/>
      <c r="T47" s="13"/>
      <c r="AX47" s="14"/>
    </row>
    <row r="48" spans="1:50" ht="16" customHeight="1" thickBot="1" x14ac:dyDescent="0.35">
      <c r="A48" s="63"/>
      <c r="B48" s="76"/>
      <c r="C48" s="25"/>
      <c r="D48" s="86"/>
      <c r="E48" s="36" t="s">
        <v>195</v>
      </c>
      <c r="F48" s="36">
        <v>2</v>
      </c>
      <c r="G48" s="86"/>
      <c r="H48" s="36" t="s">
        <v>159</v>
      </c>
      <c r="I48" s="36">
        <v>1</v>
      </c>
      <c r="J48" s="86"/>
      <c r="K48" s="36" t="s">
        <v>166</v>
      </c>
      <c r="L48" s="36">
        <v>2</v>
      </c>
      <c r="M48" s="18"/>
      <c r="O48" s="1">
        <v>1</v>
      </c>
      <c r="P48" s="1">
        <v>3</v>
      </c>
      <c r="Q48" s="1">
        <v>0</v>
      </c>
      <c r="R48" s="1">
        <v>0</v>
      </c>
      <c r="S48" s="14"/>
      <c r="Z48" s="23" t="s">
        <v>194</v>
      </c>
      <c r="AK48" s="23" t="s">
        <v>198</v>
      </c>
      <c r="AT48" s="23" t="s">
        <v>202</v>
      </c>
      <c r="AX48" s="14"/>
    </row>
    <row r="49" spans="1:50" ht="25" customHeight="1" thickTop="1" thickBot="1" x14ac:dyDescent="0.35">
      <c r="A49" s="63"/>
      <c r="B49" s="76"/>
      <c r="C49" s="25"/>
      <c r="D49" s="86"/>
      <c r="E49" s="36" t="s">
        <v>196</v>
      </c>
      <c r="F49" s="36">
        <v>2</v>
      </c>
      <c r="G49" s="86"/>
      <c r="H49" s="36" t="s">
        <v>160</v>
      </c>
      <c r="I49" s="36">
        <v>1</v>
      </c>
      <c r="J49" s="86"/>
      <c r="K49" s="36" t="s">
        <v>167</v>
      </c>
      <c r="L49" s="36">
        <v>1</v>
      </c>
      <c r="M49" s="18"/>
      <c r="O49" s="1">
        <v>2</v>
      </c>
      <c r="P49" s="1">
        <v>0</v>
      </c>
      <c r="Q49" s="1">
        <v>2</v>
      </c>
      <c r="R49" s="1">
        <v>1</v>
      </c>
      <c r="S49" s="14"/>
      <c r="U49" s="7" t="s">
        <v>146</v>
      </c>
      <c r="V49" s="7" t="s">
        <v>147</v>
      </c>
      <c r="W49" s="7" t="s">
        <v>148</v>
      </c>
      <c r="X49" s="7" t="s">
        <v>149</v>
      </c>
      <c r="Y49" s="7" t="s">
        <v>150</v>
      </c>
      <c r="Z49" s="8" t="s">
        <v>151</v>
      </c>
      <c r="AA49" s="7" t="s">
        <v>152</v>
      </c>
      <c r="AB49" s="7" t="s">
        <v>153</v>
      </c>
      <c r="AC49" s="7" t="s">
        <v>154</v>
      </c>
      <c r="AD49" s="7" t="s">
        <v>155</v>
      </c>
      <c r="AE49" s="8" t="s">
        <v>156</v>
      </c>
      <c r="AF49" s="7" t="s">
        <v>157</v>
      </c>
      <c r="AH49" s="7" t="s">
        <v>146</v>
      </c>
      <c r="AI49" s="7" t="s">
        <v>147</v>
      </c>
      <c r="AJ49" s="7" t="s">
        <v>158</v>
      </c>
      <c r="AK49" s="7" t="s">
        <v>159</v>
      </c>
      <c r="AL49" s="7" t="s">
        <v>160</v>
      </c>
      <c r="AM49" s="7" t="s">
        <v>161</v>
      </c>
      <c r="AN49" s="7" t="s">
        <v>162</v>
      </c>
      <c r="AO49" s="7" t="s">
        <v>163</v>
      </c>
      <c r="AP49" s="7" t="s">
        <v>164</v>
      </c>
      <c r="AR49" s="7" t="s">
        <v>146</v>
      </c>
      <c r="AS49" s="7" t="s">
        <v>147</v>
      </c>
      <c r="AT49" s="7" t="s">
        <v>165</v>
      </c>
      <c r="AU49" s="7" t="s">
        <v>166</v>
      </c>
      <c r="AV49" s="7" t="s">
        <v>167</v>
      </c>
      <c r="AW49" s="7" t="s">
        <v>168</v>
      </c>
      <c r="AX49" s="14"/>
    </row>
    <row r="50" spans="1:50" ht="23" customHeight="1" thickTop="1" thickBot="1" x14ac:dyDescent="0.35">
      <c r="A50" s="63"/>
      <c r="B50" s="76"/>
      <c r="C50" s="25"/>
      <c r="D50" s="86"/>
      <c r="E50" s="1" t="s">
        <v>151</v>
      </c>
      <c r="F50" s="36">
        <v>2</v>
      </c>
      <c r="G50" s="86"/>
      <c r="H50" s="36" t="s">
        <v>199</v>
      </c>
      <c r="I50" s="36">
        <v>2</v>
      </c>
      <c r="J50" s="87"/>
      <c r="K50" s="38" t="s">
        <v>168</v>
      </c>
      <c r="L50" s="38">
        <v>1</v>
      </c>
      <c r="M50" s="18"/>
      <c r="O50" s="1">
        <v>3</v>
      </c>
      <c r="P50" s="1">
        <v>1</v>
      </c>
      <c r="Q50" s="1">
        <v>1</v>
      </c>
      <c r="R50" s="1">
        <v>1</v>
      </c>
      <c r="S50" s="14"/>
      <c r="U50" s="9" t="s">
        <v>171</v>
      </c>
      <c r="V50" s="10" t="s">
        <v>172</v>
      </c>
      <c r="W50" s="9">
        <v>9.25</v>
      </c>
      <c r="X50" s="9">
        <v>0.88</v>
      </c>
      <c r="Y50" s="9">
        <v>1.01</v>
      </c>
      <c r="Z50" s="9">
        <v>0.66</v>
      </c>
      <c r="AA50" s="9">
        <v>2.99</v>
      </c>
      <c r="AB50" s="9">
        <v>0.84</v>
      </c>
      <c r="AC50" s="9">
        <v>1</v>
      </c>
      <c r="AD50" s="9">
        <v>1.3</v>
      </c>
      <c r="AE50" s="9">
        <v>1.38</v>
      </c>
      <c r="AF50" s="9">
        <v>2.0499999999999998</v>
      </c>
      <c r="AH50" s="9" t="s">
        <v>173</v>
      </c>
      <c r="AI50" s="10" t="s">
        <v>174</v>
      </c>
      <c r="AJ50" s="9">
        <v>6.58</v>
      </c>
      <c r="AK50" s="9">
        <v>6.85</v>
      </c>
      <c r="AL50" s="9">
        <v>3</v>
      </c>
      <c r="AM50" s="9">
        <v>6.45</v>
      </c>
      <c r="AN50" s="9">
        <v>1.85</v>
      </c>
      <c r="AO50" s="9">
        <v>7.66</v>
      </c>
      <c r="AP50" s="9">
        <v>5.46</v>
      </c>
      <c r="AR50" s="9" t="s">
        <v>175</v>
      </c>
      <c r="AS50" s="10" t="s">
        <v>176</v>
      </c>
      <c r="AT50" s="9">
        <v>3.1</v>
      </c>
      <c r="AU50" s="9">
        <v>1.1499999999999999</v>
      </c>
      <c r="AV50" s="9">
        <v>2.5</v>
      </c>
      <c r="AW50" s="9">
        <v>2</v>
      </c>
      <c r="AX50" s="14"/>
    </row>
    <row r="51" spans="1:50" ht="23.5" customHeight="1" thickTop="1" thickBot="1" x14ac:dyDescent="0.35">
      <c r="A51" s="63"/>
      <c r="B51" s="76"/>
      <c r="C51" s="25"/>
      <c r="D51" s="86"/>
      <c r="E51" s="36" t="s">
        <v>152</v>
      </c>
      <c r="F51" s="36">
        <v>1</v>
      </c>
      <c r="G51" s="86"/>
      <c r="H51" s="36" t="s">
        <v>200</v>
      </c>
      <c r="I51" s="36">
        <v>1</v>
      </c>
      <c r="J51" s="39"/>
      <c r="K51" s="39"/>
      <c r="L51" s="39"/>
      <c r="M51" s="18"/>
      <c r="O51" s="1">
        <v>4</v>
      </c>
      <c r="P51" s="1">
        <v>1</v>
      </c>
      <c r="Q51" s="1">
        <v>0</v>
      </c>
      <c r="R51" s="1">
        <v>1</v>
      </c>
      <c r="S51" s="14"/>
      <c r="U51" s="9" t="s">
        <v>179</v>
      </c>
      <c r="V51" s="10" t="s">
        <v>180</v>
      </c>
      <c r="W51" s="9">
        <v>7.45</v>
      </c>
      <c r="X51" s="9">
        <v>0.65</v>
      </c>
      <c r="Y51" s="9">
        <v>1.1299999999999999</v>
      </c>
      <c r="Z51" s="9">
        <v>0.75</v>
      </c>
      <c r="AA51" s="9">
        <v>2.5</v>
      </c>
      <c r="AB51" s="9">
        <v>0.85</v>
      </c>
      <c r="AC51" s="9">
        <v>0.94</v>
      </c>
      <c r="AD51" s="9">
        <v>1.1499999999999999</v>
      </c>
      <c r="AE51" s="9">
        <v>1.22</v>
      </c>
      <c r="AF51" s="9">
        <v>1.5</v>
      </c>
      <c r="AH51" s="11" t="s">
        <v>181</v>
      </c>
      <c r="AI51" s="12" t="s">
        <v>182</v>
      </c>
      <c r="AJ51" s="11">
        <v>6.79</v>
      </c>
      <c r="AK51" s="11">
        <v>7.25</v>
      </c>
      <c r="AL51" s="11">
        <v>3</v>
      </c>
      <c r="AM51" s="11">
        <v>7.25</v>
      </c>
      <c r="AN51" s="11">
        <v>2.15</v>
      </c>
      <c r="AO51" s="11">
        <v>8.25</v>
      </c>
      <c r="AP51" s="11">
        <v>5.65</v>
      </c>
      <c r="AR51" s="11" t="s">
        <v>183</v>
      </c>
      <c r="AS51" s="12" t="s">
        <v>184</v>
      </c>
      <c r="AT51" s="11">
        <v>2.87</v>
      </c>
      <c r="AU51" s="11">
        <v>1.08</v>
      </c>
      <c r="AV51" s="11">
        <v>2.4300000000000002</v>
      </c>
      <c r="AW51" s="11">
        <v>2</v>
      </c>
      <c r="AX51" s="14"/>
    </row>
    <row r="52" spans="1:50" ht="23" customHeight="1" thickTop="1" thickBot="1" x14ac:dyDescent="0.35">
      <c r="A52" s="63"/>
      <c r="B52" s="76"/>
      <c r="C52" s="25"/>
      <c r="D52" s="86"/>
      <c r="E52" s="36" t="s">
        <v>153</v>
      </c>
      <c r="F52" s="36">
        <v>1</v>
      </c>
      <c r="G52" s="86"/>
      <c r="H52" s="36" t="s">
        <v>201</v>
      </c>
      <c r="I52" s="36">
        <v>1</v>
      </c>
      <c r="J52" s="25"/>
      <c r="K52" s="25"/>
      <c r="L52" s="25"/>
      <c r="M52" s="18"/>
      <c r="O52" s="1">
        <v>5</v>
      </c>
      <c r="P52" s="1">
        <v>0</v>
      </c>
      <c r="Q52" s="1">
        <v>1</v>
      </c>
      <c r="R52" s="1">
        <v>1</v>
      </c>
      <c r="S52" s="14"/>
      <c r="U52" s="11" t="s">
        <v>187</v>
      </c>
      <c r="V52" s="12" t="s">
        <v>188</v>
      </c>
      <c r="W52" s="11">
        <v>8.8699999999999992</v>
      </c>
      <c r="X52" s="11">
        <v>0.79</v>
      </c>
      <c r="Y52" s="11">
        <v>1.07</v>
      </c>
      <c r="Z52" s="11">
        <v>0.57999999999999996</v>
      </c>
      <c r="AA52" s="11">
        <v>2.78</v>
      </c>
      <c r="AB52" s="11">
        <v>0.82</v>
      </c>
      <c r="AC52" s="11">
        <v>0.99</v>
      </c>
      <c r="AD52" s="11">
        <v>1.02</v>
      </c>
      <c r="AE52" s="11">
        <v>1.17</v>
      </c>
      <c r="AF52" s="11">
        <v>2.35</v>
      </c>
      <c r="AX52" s="14"/>
    </row>
    <row r="53" spans="1:50" ht="23" customHeight="1" thickTop="1" thickBot="1" x14ac:dyDescent="0.35">
      <c r="A53" s="63"/>
      <c r="B53" s="76"/>
      <c r="C53" s="25"/>
      <c r="D53" s="86"/>
      <c r="E53" s="1" t="s">
        <v>156</v>
      </c>
      <c r="F53" s="36">
        <v>1</v>
      </c>
      <c r="G53" s="87"/>
      <c r="H53" s="38" t="s">
        <v>164</v>
      </c>
      <c r="I53" s="38">
        <v>1</v>
      </c>
      <c r="J53" s="36"/>
      <c r="K53" s="25"/>
      <c r="L53" s="25"/>
      <c r="M53" s="18"/>
      <c r="O53" s="4">
        <v>6</v>
      </c>
      <c r="P53" s="4">
        <v>1</v>
      </c>
      <c r="Q53" s="4">
        <v>1</v>
      </c>
      <c r="R53" s="4">
        <v>2</v>
      </c>
      <c r="S53" s="14"/>
      <c r="U53" s="9"/>
      <c r="V53" s="10"/>
      <c r="W53" s="9"/>
      <c r="X53" s="9"/>
      <c r="Y53" s="9"/>
      <c r="Z53" s="9"/>
      <c r="AA53" s="9"/>
      <c r="AB53" s="9"/>
      <c r="AC53" s="9"/>
      <c r="AD53" s="9"/>
      <c r="AE53" s="9"/>
      <c r="AF53" s="9"/>
      <c r="AX53" s="14"/>
    </row>
    <row r="54" spans="1:50" ht="23" customHeight="1" thickTop="1" thickBot="1" x14ac:dyDescent="0.35">
      <c r="A54" s="63"/>
      <c r="B54" s="76"/>
      <c r="C54" s="25"/>
      <c r="D54" s="87"/>
      <c r="E54" s="38" t="s">
        <v>197</v>
      </c>
      <c r="F54" s="38">
        <v>1</v>
      </c>
      <c r="G54" s="39"/>
      <c r="H54" s="39"/>
      <c r="I54" s="39"/>
      <c r="J54" s="36"/>
      <c r="K54" s="36"/>
      <c r="L54" s="25"/>
      <c r="M54" s="18"/>
      <c r="O54" s="1"/>
      <c r="P54" s="1"/>
      <c r="Q54" s="1"/>
      <c r="R54" s="1"/>
      <c r="S54" s="14"/>
      <c r="U54" s="9"/>
      <c r="V54" s="10"/>
      <c r="W54" s="9"/>
      <c r="X54" s="9"/>
      <c r="Y54" s="9"/>
      <c r="Z54" s="9"/>
      <c r="AA54" s="9"/>
      <c r="AB54" s="9"/>
      <c r="AC54" s="9"/>
      <c r="AD54" s="9"/>
      <c r="AE54" s="9"/>
      <c r="AF54" s="9"/>
      <c r="AX54" s="14"/>
    </row>
    <row r="55" spans="1:50" ht="22.5" customHeight="1" thickTop="1" x14ac:dyDescent="0.3">
      <c r="A55" s="63"/>
      <c r="B55" s="76"/>
      <c r="C55" s="25"/>
      <c r="D55" s="39"/>
      <c r="E55" s="39"/>
      <c r="F55" s="39"/>
      <c r="G55" s="25"/>
      <c r="H55" s="25"/>
      <c r="I55" s="25"/>
      <c r="J55" s="25"/>
      <c r="K55" s="25"/>
      <c r="L55" s="25"/>
      <c r="M55" s="18"/>
      <c r="O55" s="1"/>
      <c r="P55" s="1"/>
      <c r="Q55" s="1"/>
      <c r="R55" s="1"/>
      <c r="S55" s="14"/>
      <c r="AX55" s="14"/>
    </row>
    <row r="56" spans="1:50" ht="23" customHeight="1" thickBot="1" x14ac:dyDescent="0.35">
      <c r="A56" s="63"/>
      <c r="B56" s="81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19"/>
      <c r="N56" s="15"/>
      <c r="O56" s="15"/>
      <c r="P56" s="15"/>
      <c r="Q56" s="15"/>
      <c r="R56" s="15"/>
      <c r="S56" s="1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6"/>
    </row>
    <row r="57" spans="1:50" ht="33" customHeight="1" thickTop="1" thickBot="1" x14ac:dyDescent="0.35">
      <c r="A57" s="63"/>
      <c r="B57" s="89" t="s">
        <v>69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17"/>
      <c r="N57" s="24"/>
      <c r="O57" s="24"/>
      <c r="P57" s="24"/>
      <c r="Q57" s="24"/>
      <c r="R57" s="24"/>
      <c r="S57" s="17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17"/>
    </row>
    <row r="58" spans="1:50" ht="26" customHeight="1" thickTop="1" thickBot="1" x14ac:dyDescent="0.35">
      <c r="A58" s="63"/>
      <c r="B58" s="76"/>
      <c r="C58" s="24"/>
      <c r="D58" s="27" t="s">
        <v>191</v>
      </c>
      <c r="E58" s="27" t="s">
        <v>192</v>
      </c>
      <c r="F58" s="27" t="s">
        <v>193</v>
      </c>
      <c r="G58" s="27" t="s">
        <v>191</v>
      </c>
      <c r="H58" s="27" t="s">
        <v>192</v>
      </c>
      <c r="I58" s="27" t="s">
        <v>193</v>
      </c>
      <c r="J58" s="27" t="s">
        <v>191</v>
      </c>
      <c r="K58" s="27" t="s">
        <v>192</v>
      </c>
      <c r="L58" s="27" t="s">
        <v>193</v>
      </c>
      <c r="M58" s="17"/>
      <c r="N58" s="24"/>
      <c r="O58" s="82" t="s">
        <v>205</v>
      </c>
      <c r="P58" s="82" t="s">
        <v>206</v>
      </c>
      <c r="Q58" s="83"/>
      <c r="R58" s="83"/>
      <c r="S58" s="17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17"/>
    </row>
    <row r="59" spans="1:50" ht="23.5" customHeight="1" thickTop="1" thickBot="1" x14ac:dyDescent="0.35">
      <c r="A59" s="63"/>
      <c r="B59" s="76"/>
      <c r="C59" s="33"/>
      <c r="D59" s="88" t="s">
        <v>194</v>
      </c>
      <c r="E59" s="36" t="s">
        <v>148</v>
      </c>
      <c r="F59" s="36">
        <v>5</v>
      </c>
      <c r="G59" s="85" t="s">
        <v>198</v>
      </c>
      <c r="H59" s="36" t="s">
        <v>158</v>
      </c>
      <c r="I59" s="36">
        <v>2</v>
      </c>
      <c r="J59" s="85" t="s">
        <v>202</v>
      </c>
      <c r="K59" s="36" t="s">
        <v>203</v>
      </c>
      <c r="L59" s="36">
        <v>2</v>
      </c>
      <c r="M59" s="18"/>
      <c r="N59" s="13"/>
      <c r="O59" s="84"/>
      <c r="P59" s="2" t="s">
        <v>178</v>
      </c>
      <c r="Q59" s="2" t="s">
        <v>186</v>
      </c>
      <c r="R59" s="2" t="s">
        <v>190</v>
      </c>
      <c r="S59" s="14"/>
      <c r="T59" s="13"/>
      <c r="AX59" s="14"/>
    </row>
    <row r="60" spans="1:50" ht="16" customHeight="1" thickBot="1" x14ac:dyDescent="0.35">
      <c r="A60" s="63"/>
      <c r="B60" s="76"/>
      <c r="C60" s="25"/>
      <c r="D60" s="86"/>
      <c r="E60" s="36" t="s">
        <v>195</v>
      </c>
      <c r="F60" s="36">
        <v>2</v>
      </c>
      <c r="G60" s="86"/>
      <c r="H60" s="36" t="s">
        <v>159</v>
      </c>
      <c r="I60" s="36">
        <v>1</v>
      </c>
      <c r="J60" s="86"/>
      <c r="K60" s="36" t="s">
        <v>166</v>
      </c>
      <c r="L60" s="36">
        <v>2</v>
      </c>
      <c r="M60" s="18"/>
      <c r="O60" s="1">
        <v>1</v>
      </c>
      <c r="P60" s="1">
        <v>1</v>
      </c>
      <c r="Q60" s="1">
        <v>0</v>
      </c>
      <c r="R60" s="1">
        <v>2</v>
      </c>
      <c r="S60" s="14"/>
      <c r="Z60" s="23" t="s">
        <v>194</v>
      </c>
      <c r="AK60" s="23" t="s">
        <v>198</v>
      </c>
      <c r="AT60" s="23" t="s">
        <v>202</v>
      </c>
      <c r="AX60" s="14"/>
    </row>
    <row r="61" spans="1:50" ht="25" customHeight="1" thickTop="1" thickBot="1" x14ac:dyDescent="0.35">
      <c r="A61" s="63"/>
      <c r="B61" s="76"/>
      <c r="C61" s="25"/>
      <c r="D61" s="86"/>
      <c r="E61" s="36" t="s">
        <v>196</v>
      </c>
      <c r="F61" s="36">
        <v>2</v>
      </c>
      <c r="G61" s="86"/>
      <c r="H61" s="36" t="s">
        <v>160</v>
      </c>
      <c r="I61" s="36">
        <v>1</v>
      </c>
      <c r="J61" s="86"/>
      <c r="K61" s="36" t="s">
        <v>167</v>
      </c>
      <c r="L61" s="36">
        <v>1</v>
      </c>
      <c r="M61" s="18"/>
      <c r="O61" s="1">
        <v>2</v>
      </c>
      <c r="P61" s="1">
        <v>2</v>
      </c>
      <c r="Q61" s="1">
        <v>1</v>
      </c>
      <c r="R61" s="1">
        <v>1</v>
      </c>
      <c r="S61" s="14"/>
      <c r="U61" s="7" t="s">
        <v>146</v>
      </c>
      <c r="V61" s="7" t="s">
        <v>147</v>
      </c>
      <c r="W61" s="7" t="s">
        <v>148</v>
      </c>
      <c r="X61" s="7" t="s">
        <v>149</v>
      </c>
      <c r="Y61" s="7" t="s">
        <v>150</v>
      </c>
      <c r="Z61" s="8" t="s">
        <v>151</v>
      </c>
      <c r="AA61" s="7" t="s">
        <v>152</v>
      </c>
      <c r="AB61" s="7" t="s">
        <v>153</v>
      </c>
      <c r="AC61" s="7" t="s">
        <v>154</v>
      </c>
      <c r="AD61" s="7" t="s">
        <v>155</v>
      </c>
      <c r="AE61" s="8" t="s">
        <v>156</v>
      </c>
      <c r="AF61" s="7" t="s">
        <v>157</v>
      </c>
      <c r="AH61" s="7" t="s">
        <v>146</v>
      </c>
      <c r="AI61" s="7" t="s">
        <v>147</v>
      </c>
      <c r="AJ61" s="7" t="s">
        <v>158</v>
      </c>
      <c r="AK61" s="7" t="s">
        <v>159</v>
      </c>
      <c r="AL61" s="7" t="s">
        <v>160</v>
      </c>
      <c r="AM61" s="7" t="s">
        <v>161</v>
      </c>
      <c r="AN61" s="7" t="s">
        <v>162</v>
      </c>
      <c r="AO61" s="7" t="s">
        <v>163</v>
      </c>
      <c r="AP61" s="7" t="s">
        <v>164</v>
      </c>
      <c r="AR61" s="7" t="s">
        <v>146</v>
      </c>
      <c r="AS61" s="7" t="s">
        <v>147</v>
      </c>
      <c r="AT61" s="7" t="s">
        <v>165</v>
      </c>
      <c r="AU61" s="7" t="s">
        <v>166</v>
      </c>
      <c r="AV61" s="7" t="s">
        <v>167</v>
      </c>
      <c r="AW61" s="7" t="s">
        <v>168</v>
      </c>
      <c r="AX61" s="14"/>
    </row>
    <row r="62" spans="1:50" ht="23" customHeight="1" thickTop="1" thickBot="1" x14ac:dyDescent="0.35">
      <c r="A62" s="63"/>
      <c r="B62" s="76"/>
      <c r="C62" s="25"/>
      <c r="D62" s="86"/>
      <c r="E62" s="1" t="s">
        <v>151</v>
      </c>
      <c r="F62" s="36">
        <v>2</v>
      </c>
      <c r="G62" s="86"/>
      <c r="H62" s="36" t="s">
        <v>199</v>
      </c>
      <c r="I62" s="36">
        <v>2</v>
      </c>
      <c r="J62" s="87"/>
      <c r="K62" s="38" t="s">
        <v>168</v>
      </c>
      <c r="L62" s="38">
        <v>1</v>
      </c>
      <c r="M62" s="18"/>
      <c r="O62" s="1">
        <v>3</v>
      </c>
      <c r="P62" s="1">
        <v>2</v>
      </c>
      <c r="Q62" s="1">
        <v>1</v>
      </c>
      <c r="R62" s="1">
        <v>1</v>
      </c>
      <c r="S62" s="14"/>
      <c r="U62" s="9" t="s">
        <v>171</v>
      </c>
      <c r="V62" s="10" t="s">
        <v>172</v>
      </c>
      <c r="W62" s="9">
        <v>7</v>
      </c>
      <c r="X62" s="9">
        <v>0.83</v>
      </c>
      <c r="Y62" s="9">
        <v>1.25</v>
      </c>
      <c r="Z62" s="9">
        <v>0.69</v>
      </c>
      <c r="AA62" s="9">
        <v>2.61</v>
      </c>
      <c r="AB62" s="9">
        <v>0.88</v>
      </c>
      <c r="AC62" s="9">
        <v>0.91</v>
      </c>
      <c r="AD62" s="9">
        <v>1.28</v>
      </c>
      <c r="AE62" s="9">
        <v>1.3</v>
      </c>
      <c r="AF62" s="9">
        <v>1.68</v>
      </c>
      <c r="AH62" s="9" t="s">
        <v>173</v>
      </c>
      <c r="AI62" s="10" t="s">
        <v>174</v>
      </c>
      <c r="AJ62" s="9">
        <v>6.24</v>
      </c>
      <c r="AK62" s="9">
        <v>6.66</v>
      </c>
      <c r="AL62" s="9">
        <v>3</v>
      </c>
      <c r="AM62" s="9">
        <v>6.96</v>
      </c>
      <c r="AN62" s="9">
        <v>1.66</v>
      </c>
      <c r="AO62" s="9">
        <v>7.35</v>
      </c>
      <c r="AP62" s="9">
        <v>5.24</v>
      </c>
      <c r="AR62" s="9" t="s">
        <v>175</v>
      </c>
      <c r="AS62" s="10" t="s">
        <v>176</v>
      </c>
      <c r="AT62" s="9">
        <v>2.95</v>
      </c>
      <c r="AU62" s="9">
        <v>1.25</v>
      </c>
      <c r="AV62" s="9">
        <v>2.85</v>
      </c>
      <c r="AW62" s="9">
        <v>2</v>
      </c>
      <c r="AX62" s="14"/>
    </row>
    <row r="63" spans="1:50" ht="23.5" customHeight="1" thickTop="1" thickBot="1" x14ac:dyDescent="0.35">
      <c r="A63" s="63"/>
      <c r="B63" s="76"/>
      <c r="C63" s="25"/>
      <c r="D63" s="86"/>
      <c r="E63" s="36" t="s">
        <v>152</v>
      </c>
      <c r="F63" s="36">
        <v>1</v>
      </c>
      <c r="G63" s="86"/>
      <c r="H63" s="36" t="s">
        <v>200</v>
      </c>
      <c r="I63" s="36">
        <v>1</v>
      </c>
      <c r="J63" s="39"/>
      <c r="K63" s="39"/>
      <c r="L63" s="39"/>
      <c r="M63" s="18"/>
      <c r="O63" s="1">
        <v>4</v>
      </c>
      <c r="P63" s="1">
        <v>0</v>
      </c>
      <c r="Q63" s="1">
        <v>2</v>
      </c>
      <c r="R63" s="1">
        <v>0</v>
      </c>
      <c r="S63" s="14"/>
      <c r="U63" s="9" t="s">
        <v>179</v>
      </c>
      <c r="V63" s="10" t="s">
        <v>180</v>
      </c>
      <c r="W63" s="9">
        <v>9.0299999999999994</v>
      </c>
      <c r="X63" s="9">
        <v>0.72</v>
      </c>
      <c r="Y63" s="9">
        <v>1.1100000000000001</v>
      </c>
      <c r="Z63" s="9">
        <v>0.62</v>
      </c>
      <c r="AA63" s="9">
        <v>2.5</v>
      </c>
      <c r="AB63" s="9">
        <v>0.8</v>
      </c>
      <c r="AC63" s="9">
        <v>0.97</v>
      </c>
      <c r="AD63" s="9">
        <v>1.0900000000000001</v>
      </c>
      <c r="AE63" s="9">
        <v>1.02</v>
      </c>
      <c r="AF63" s="9">
        <v>2.1</v>
      </c>
      <c r="AH63" s="11" t="s">
        <v>181</v>
      </c>
      <c r="AI63" s="12" t="s">
        <v>182</v>
      </c>
      <c r="AJ63" s="11">
        <v>6.88</v>
      </c>
      <c r="AK63" s="11">
        <v>7.34</v>
      </c>
      <c r="AL63" s="11">
        <v>3</v>
      </c>
      <c r="AM63" s="11">
        <v>7.75</v>
      </c>
      <c r="AN63" s="11">
        <v>2.36</v>
      </c>
      <c r="AO63" s="11">
        <v>8.75</v>
      </c>
      <c r="AP63" s="11">
        <v>5.74</v>
      </c>
      <c r="AR63" s="11" t="s">
        <v>183</v>
      </c>
      <c r="AS63" s="12" t="s">
        <v>184</v>
      </c>
      <c r="AT63" s="11">
        <v>3.32</v>
      </c>
      <c r="AU63" s="11">
        <v>1.01</v>
      </c>
      <c r="AV63" s="11">
        <v>2.2000000000000002</v>
      </c>
      <c r="AW63" s="11">
        <v>2</v>
      </c>
      <c r="AX63" s="14"/>
    </row>
    <row r="64" spans="1:50" ht="23" customHeight="1" thickTop="1" thickBot="1" x14ac:dyDescent="0.35">
      <c r="A64" s="63"/>
      <c r="B64" s="76"/>
      <c r="C64" s="25"/>
      <c r="D64" s="86"/>
      <c r="E64" s="36" t="s">
        <v>153</v>
      </c>
      <c r="F64" s="36">
        <v>1</v>
      </c>
      <c r="G64" s="86"/>
      <c r="H64" s="36" t="s">
        <v>201</v>
      </c>
      <c r="I64" s="36">
        <v>1</v>
      </c>
      <c r="J64" s="25"/>
      <c r="K64" s="25"/>
      <c r="L64" s="25"/>
      <c r="M64" s="18"/>
      <c r="O64" s="1">
        <v>5</v>
      </c>
      <c r="P64" s="1">
        <v>1</v>
      </c>
      <c r="Q64" s="1">
        <v>1</v>
      </c>
      <c r="R64" s="1">
        <v>1</v>
      </c>
      <c r="S64" s="14"/>
      <c r="U64" s="11" t="s">
        <v>187</v>
      </c>
      <c r="V64" s="12" t="s">
        <v>188</v>
      </c>
      <c r="W64" s="11">
        <v>8.36</v>
      </c>
      <c r="X64" s="11">
        <v>0.9</v>
      </c>
      <c r="Y64" s="11">
        <v>1.04</v>
      </c>
      <c r="Z64" s="11">
        <v>0.71</v>
      </c>
      <c r="AA64" s="11">
        <v>2.83</v>
      </c>
      <c r="AB64" s="11">
        <v>0.87</v>
      </c>
      <c r="AC64" s="11">
        <v>1</v>
      </c>
      <c r="AD64" s="11">
        <v>1.1599999999999999</v>
      </c>
      <c r="AE64" s="11">
        <v>1.37</v>
      </c>
      <c r="AF64" s="11">
        <v>1.98</v>
      </c>
      <c r="AX64" s="14"/>
    </row>
    <row r="65" spans="1:50" ht="23" customHeight="1" thickTop="1" thickBot="1" x14ac:dyDescent="0.35">
      <c r="A65" s="63"/>
      <c r="B65" s="76"/>
      <c r="C65" s="25"/>
      <c r="D65" s="86"/>
      <c r="E65" s="1" t="s">
        <v>156</v>
      </c>
      <c r="F65" s="36">
        <v>1</v>
      </c>
      <c r="G65" s="87"/>
      <c r="H65" s="38" t="s">
        <v>164</v>
      </c>
      <c r="I65" s="38">
        <v>1</v>
      </c>
      <c r="J65" s="36"/>
      <c r="K65" s="25"/>
      <c r="L65" s="25"/>
      <c r="M65" s="18"/>
      <c r="O65" s="4">
        <v>6</v>
      </c>
      <c r="P65" s="4">
        <v>1</v>
      </c>
      <c r="Q65" s="4">
        <v>0</v>
      </c>
      <c r="R65" s="4">
        <v>2</v>
      </c>
      <c r="S65" s="14"/>
      <c r="U65" s="9"/>
      <c r="V65" s="10"/>
      <c r="W65" s="9"/>
      <c r="X65" s="9"/>
      <c r="Y65" s="9"/>
      <c r="Z65" s="9"/>
      <c r="AA65" s="9"/>
      <c r="AB65" s="9"/>
      <c r="AC65" s="9"/>
      <c r="AD65" s="9"/>
      <c r="AE65" s="9"/>
      <c r="AF65" s="9"/>
      <c r="AX65" s="14"/>
    </row>
    <row r="66" spans="1:50" ht="23" customHeight="1" thickTop="1" thickBot="1" x14ac:dyDescent="0.35">
      <c r="A66" s="63"/>
      <c r="B66" s="76"/>
      <c r="C66" s="25"/>
      <c r="D66" s="87"/>
      <c r="E66" s="38" t="s">
        <v>197</v>
      </c>
      <c r="F66" s="38">
        <v>1</v>
      </c>
      <c r="G66" s="39"/>
      <c r="H66" s="39"/>
      <c r="I66" s="39"/>
      <c r="J66" s="36"/>
      <c r="K66" s="36"/>
      <c r="L66" s="25"/>
      <c r="M66" s="18"/>
      <c r="S66" s="14"/>
      <c r="U66" s="9"/>
      <c r="V66" s="10"/>
      <c r="W66" s="9"/>
      <c r="X66" s="9"/>
      <c r="Y66" s="9"/>
      <c r="Z66" s="9"/>
      <c r="AA66" s="9"/>
      <c r="AB66" s="9"/>
      <c r="AC66" s="9"/>
      <c r="AD66" s="9"/>
      <c r="AE66" s="9"/>
      <c r="AF66" s="9"/>
      <c r="AX66" s="14"/>
    </row>
    <row r="67" spans="1:50" ht="22.5" customHeight="1" thickTop="1" x14ac:dyDescent="0.3">
      <c r="A67" s="63"/>
      <c r="B67" s="76"/>
      <c r="C67" s="25"/>
      <c r="D67" s="39"/>
      <c r="E67" s="39"/>
      <c r="F67" s="39"/>
      <c r="G67" s="25"/>
      <c r="H67" s="25"/>
      <c r="I67" s="25"/>
      <c r="J67" s="25"/>
      <c r="K67" s="25"/>
      <c r="L67" s="25"/>
      <c r="M67" s="18"/>
      <c r="O67" s="1"/>
      <c r="P67" s="1"/>
      <c r="Q67" s="1"/>
      <c r="R67" s="1"/>
      <c r="S67" s="14"/>
      <c r="AX67" s="14"/>
    </row>
    <row r="68" spans="1:50" ht="23" customHeight="1" thickBot="1" x14ac:dyDescent="0.35">
      <c r="A68" s="63"/>
      <c r="B68" s="81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19"/>
      <c r="N68" s="15"/>
      <c r="O68" s="15"/>
      <c r="P68" s="15"/>
      <c r="Q68" s="15"/>
      <c r="R68" s="15"/>
      <c r="S68" s="16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6"/>
    </row>
    <row r="69" spans="1:50" ht="33" customHeight="1" thickTop="1" thickBot="1" x14ac:dyDescent="0.35">
      <c r="A69" s="63"/>
      <c r="B69" s="89" t="s">
        <v>70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17"/>
      <c r="N69" s="24"/>
      <c r="O69" s="24"/>
      <c r="P69" s="24"/>
      <c r="Q69" s="24"/>
      <c r="R69" s="24"/>
      <c r="S69" s="1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17"/>
    </row>
    <row r="70" spans="1:50" ht="26" customHeight="1" thickTop="1" thickBot="1" x14ac:dyDescent="0.35">
      <c r="A70" s="63"/>
      <c r="B70" s="76"/>
      <c r="C70" s="24"/>
      <c r="D70" s="27" t="s">
        <v>191</v>
      </c>
      <c r="E70" s="27" t="s">
        <v>192</v>
      </c>
      <c r="F70" s="27" t="s">
        <v>193</v>
      </c>
      <c r="G70" s="27" t="s">
        <v>191</v>
      </c>
      <c r="H70" s="27" t="s">
        <v>192</v>
      </c>
      <c r="I70" s="27" t="s">
        <v>193</v>
      </c>
      <c r="J70" s="27" t="s">
        <v>191</v>
      </c>
      <c r="K70" s="27" t="s">
        <v>192</v>
      </c>
      <c r="L70" s="27" t="s">
        <v>193</v>
      </c>
      <c r="M70" s="17"/>
      <c r="N70" s="24"/>
      <c r="O70" s="82" t="s">
        <v>205</v>
      </c>
      <c r="P70" s="82" t="s">
        <v>206</v>
      </c>
      <c r="Q70" s="83"/>
      <c r="R70" s="83"/>
      <c r="S70" s="1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17"/>
    </row>
    <row r="71" spans="1:50" ht="23.5" customHeight="1" thickTop="1" thickBot="1" x14ac:dyDescent="0.35">
      <c r="A71" s="63"/>
      <c r="B71" s="76"/>
      <c r="C71" s="33"/>
      <c r="D71" s="88" t="s">
        <v>194</v>
      </c>
      <c r="E71" s="36" t="s">
        <v>148</v>
      </c>
      <c r="F71" s="36">
        <v>5</v>
      </c>
      <c r="G71" s="85" t="s">
        <v>198</v>
      </c>
      <c r="H71" s="36" t="s">
        <v>158</v>
      </c>
      <c r="I71" s="36">
        <v>2</v>
      </c>
      <c r="J71" s="85" t="s">
        <v>202</v>
      </c>
      <c r="K71" s="36" t="s">
        <v>203</v>
      </c>
      <c r="L71" s="36">
        <v>2</v>
      </c>
      <c r="M71" s="18"/>
      <c r="N71" s="13"/>
      <c r="O71" s="84"/>
      <c r="P71" s="2" t="s">
        <v>178</v>
      </c>
      <c r="Q71" s="2" t="s">
        <v>186</v>
      </c>
      <c r="R71" s="2" t="s">
        <v>190</v>
      </c>
      <c r="S71" s="14"/>
      <c r="T71" s="13"/>
      <c r="AX71" s="14"/>
    </row>
    <row r="72" spans="1:50" ht="16" customHeight="1" thickBot="1" x14ac:dyDescent="0.35">
      <c r="A72" s="63"/>
      <c r="B72" s="76"/>
      <c r="C72" s="25"/>
      <c r="D72" s="86"/>
      <c r="E72" s="36" t="s">
        <v>195</v>
      </c>
      <c r="F72" s="36">
        <v>2</v>
      </c>
      <c r="G72" s="86"/>
      <c r="H72" s="36" t="s">
        <v>159</v>
      </c>
      <c r="I72" s="36">
        <v>2</v>
      </c>
      <c r="J72" s="86"/>
      <c r="K72" s="36" t="s">
        <v>166</v>
      </c>
      <c r="L72" s="36">
        <v>2</v>
      </c>
      <c r="M72" s="18"/>
      <c r="O72" s="1">
        <v>1</v>
      </c>
      <c r="P72" s="1">
        <v>1</v>
      </c>
      <c r="Q72" s="1">
        <v>0</v>
      </c>
      <c r="R72" s="1">
        <v>0</v>
      </c>
      <c r="S72" s="14"/>
      <c r="Z72" s="23" t="s">
        <v>194</v>
      </c>
      <c r="AK72" s="23" t="s">
        <v>198</v>
      </c>
      <c r="AT72" s="23" t="s">
        <v>202</v>
      </c>
      <c r="AX72" s="14"/>
    </row>
    <row r="73" spans="1:50" ht="25" customHeight="1" thickTop="1" thickBot="1" x14ac:dyDescent="0.35">
      <c r="A73" s="63"/>
      <c r="B73" s="76"/>
      <c r="C73" s="25"/>
      <c r="D73" s="86"/>
      <c r="E73" s="36" t="s">
        <v>196</v>
      </c>
      <c r="F73" s="36">
        <v>2</v>
      </c>
      <c r="G73" s="86"/>
      <c r="H73" s="36" t="s">
        <v>160</v>
      </c>
      <c r="I73" s="36">
        <v>1</v>
      </c>
      <c r="J73" s="86"/>
      <c r="K73" s="36" t="s">
        <v>167</v>
      </c>
      <c r="L73" s="36">
        <v>2</v>
      </c>
      <c r="M73" s="18"/>
      <c r="O73" s="1">
        <v>2</v>
      </c>
      <c r="P73" s="1">
        <v>0</v>
      </c>
      <c r="Q73" s="1">
        <v>2</v>
      </c>
      <c r="R73" s="1">
        <v>1</v>
      </c>
      <c r="S73" s="14"/>
      <c r="U73" s="7" t="s">
        <v>146</v>
      </c>
      <c r="V73" s="7" t="s">
        <v>147</v>
      </c>
      <c r="W73" s="7" t="s">
        <v>148</v>
      </c>
      <c r="X73" s="7" t="s">
        <v>149</v>
      </c>
      <c r="Y73" s="7" t="s">
        <v>150</v>
      </c>
      <c r="Z73" s="8" t="s">
        <v>151</v>
      </c>
      <c r="AA73" s="7" t="s">
        <v>152</v>
      </c>
      <c r="AB73" s="7" t="s">
        <v>153</v>
      </c>
      <c r="AC73" s="7" t="s">
        <v>154</v>
      </c>
      <c r="AD73" s="7" t="s">
        <v>155</v>
      </c>
      <c r="AE73" s="8" t="s">
        <v>156</v>
      </c>
      <c r="AF73" s="7" t="s">
        <v>157</v>
      </c>
      <c r="AH73" s="7" t="s">
        <v>146</v>
      </c>
      <c r="AI73" s="7" t="s">
        <v>147</v>
      </c>
      <c r="AJ73" s="7" t="s">
        <v>158</v>
      </c>
      <c r="AK73" s="7" t="s">
        <v>159</v>
      </c>
      <c r="AL73" s="7" t="s">
        <v>160</v>
      </c>
      <c r="AM73" s="7" t="s">
        <v>161</v>
      </c>
      <c r="AN73" s="7" t="s">
        <v>162</v>
      </c>
      <c r="AO73" s="7" t="s">
        <v>163</v>
      </c>
      <c r="AP73" s="7" t="s">
        <v>164</v>
      </c>
      <c r="AR73" s="7" t="s">
        <v>146</v>
      </c>
      <c r="AS73" s="7" t="s">
        <v>147</v>
      </c>
      <c r="AT73" s="7" t="s">
        <v>165</v>
      </c>
      <c r="AU73" s="7" t="s">
        <v>166</v>
      </c>
      <c r="AV73" s="7" t="s">
        <v>167</v>
      </c>
      <c r="AW73" s="7" t="s">
        <v>168</v>
      </c>
      <c r="AX73" s="14"/>
    </row>
    <row r="74" spans="1:50" ht="23" customHeight="1" thickTop="1" thickBot="1" x14ac:dyDescent="0.35">
      <c r="A74" s="63"/>
      <c r="B74" s="76"/>
      <c r="C74" s="25"/>
      <c r="D74" s="86"/>
      <c r="E74" s="1" t="s">
        <v>151</v>
      </c>
      <c r="F74" s="36">
        <v>2</v>
      </c>
      <c r="G74" s="86"/>
      <c r="H74" s="36" t="s">
        <v>199</v>
      </c>
      <c r="I74" s="36">
        <v>2</v>
      </c>
      <c r="J74" s="87"/>
      <c r="K74" s="38" t="s">
        <v>168</v>
      </c>
      <c r="L74" s="38">
        <v>1</v>
      </c>
      <c r="M74" s="18"/>
      <c r="O74" s="1">
        <v>3</v>
      </c>
      <c r="P74" s="1">
        <v>1</v>
      </c>
      <c r="Q74" s="1">
        <v>1</v>
      </c>
      <c r="R74" s="1">
        <v>1</v>
      </c>
      <c r="S74" s="14"/>
      <c r="U74" s="9" t="s">
        <v>171</v>
      </c>
      <c r="V74" s="10" t="s">
        <v>172</v>
      </c>
      <c r="W74" s="9">
        <v>7.77</v>
      </c>
      <c r="X74" s="9">
        <v>0.68</v>
      </c>
      <c r="Y74" s="9">
        <v>1.19</v>
      </c>
      <c r="Z74" s="9">
        <v>0.64</v>
      </c>
      <c r="AA74" s="9">
        <v>2.5</v>
      </c>
      <c r="AB74" s="9">
        <v>0.83</v>
      </c>
      <c r="AC74" s="9">
        <v>0.95</v>
      </c>
      <c r="AD74" s="9">
        <v>1.22</v>
      </c>
      <c r="AE74" s="9">
        <v>1.1299999999999999</v>
      </c>
      <c r="AF74" s="9">
        <v>2.2200000000000002</v>
      </c>
      <c r="AH74" s="9" t="s">
        <v>173</v>
      </c>
      <c r="AI74" s="10" t="s">
        <v>174</v>
      </c>
      <c r="AJ74" s="9">
        <v>6.48</v>
      </c>
      <c r="AK74" s="9">
        <v>6.75</v>
      </c>
      <c r="AL74" s="9">
        <v>3</v>
      </c>
      <c r="AM74" s="9">
        <v>6.39</v>
      </c>
      <c r="AN74" s="9">
        <v>1.91</v>
      </c>
      <c r="AO74" s="9">
        <v>7.55</v>
      </c>
      <c r="AP74" s="9">
        <v>5.37</v>
      </c>
      <c r="AR74" s="9" t="s">
        <v>175</v>
      </c>
      <c r="AS74" s="10" t="s">
        <v>176</v>
      </c>
      <c r="AT74" s="9">
        <v>2.63</v>
      </c>
      <c r="AU74" s="9">
        <v>1.18</v>
      </c>
      <c r="AV74" s="9">
        <v>2.65</v>
      </c>
      <c r="AW74" s="9">
        <v>2</v>
      </c>
      <c r="AX74" s="14"/>
    </row>
    <row r="75" spans="1:50" ht="23.5" customHeight="1" thickTop="1" thickBot="1" x14ac:dyDescent="0.35">
      <c r="A75" s="63"/>
      <c r="B75" s="76"/>
      <c r="C75" s="25"/>
      <c r="D75" s="86"/>
      <c r="E75" s="36" t="s">
        <v>152</v>
      </c>
      <c r="F75" s="36">
        <v>2</v>
      </c>
      <c r="G75" s="86"/>
      <c r="H75" s="36" t="s">
        <v>200</v>
      </c>
      <c r="I75" s="36">
        <v>1</v>
      </c>
      <c r="J75" s="39"/>
      <c r="K75" s="39"/>
      <c r="L75" s="39"/>
      <c r="M75" s="18"/>
      <c r="O75" s="1">
        <v>4</v>
      </c>
      <c r="P75" s="1">
        <v>1</v>
      </c>
      <c r="Q75" s="1">
        <v>0</v>
      </c>
      <c r="R75" s="1">
        <v>0</v>
      </c>
      <c r="S75" s="14"/>
      <c r="U75" s="9" t="s">
        <v>179</v>
      </c>
      <c r="V75" s="10" t="s">
        <v>180</v>
      </c>
      <c r="W75" s="9">
        <v>8.64</v>
      </c>
      <c r="X75" s="9">
        <v>0.76</v>
      </c>
      <c r="Y75" s="9">
        <v>1.06</v>
      </c>
      <c r="Z75" s="9">
        <v>0.56999999999999995</v>
      </c>
      <c r="AA75" s="9">
        <v>2.94</v>
      </c>
      <c r="AB75" s="9">
        <v>0.89</v>
      </c>
      <c r="AC75" s="9">
        <v>0.92</v>
      </c>
      <c r="AD75" s="9">
        <v>1.01</v>
      </c>
      <c r="AE75" s="9">
        <v>1.29</v>
      </c>
      <c r="AF75" s="9">
        <v>1.59</v>
      </c>
      <c r="AH75" s="11" t="s">
        <v>181</v>
      </c>
      <c r="AI75" s="12" t="s">
        <v>182</v>
      </c>
      <c r="AJ75" s="11">
        <v>6.74</v>
      </c>
      <c r="AK75" s="11">
        <v>7.15</v>
      </c>
      <c r="AL75" s="11">
        <v>3</v>
      </c>
      <c r="AM75" s="11">
        <v>7.44</v>
      </c>
      <c r="AN75" s="11">
        <v>2.25</v>
      </c>
      <c r="AO75" s="11">
        <v>8.4600000000000009</v>
      </c>
      <c r="AP75" s="11">
        <v>5.64</v>
      </c>
      <c r="AR75" s="11" t="s">
        <v>183</v>
      </c>
      <c r="AS75" s="12" t="s">
        <v>184</v>
      </c>
      <c r="AT75" s="11">
        <v>3.09</v>
      </c>
      <c r="AU75" s="11">
        <v>1.07</v>
      </c>
      <c r="AV75" s="11">
        <v>2.2999999999999998</v>
      </c>
      <c r="AW75" s="11">
        <v>2</v>
      </c>
      <c r="AX75" s="14"/>
    </row>
    <row r="76" spans="1:50" ht="23" customHeight="1" thickTop="1" thickBot="1" x14ac:dyDescent="0.35">
      <c r="A76" s="63"/>
      <c r="B76" s="76"/>
      <c r="C76" s="25"/>
      <c r="D76" s="86"/>
      <c r="E76" s="36" t="s">
        <v>153</v>
      </c>
      <c r="F76" s="36">
        <v>1</v>
      </c>
      <c r="G76" s="86"/>
      <c r="H76" s="36" t="s">
        <v>201</v>
      </c>
      <c r="I76" s="36">
        <v>1</v>
      </c>
      <c r="J76" s="25"/>
      <c r="K76" s="25"/>
      <c r="L76" s="25"/>
      <c r="M76" s="18"/>
      <c r="O76" s="1">
        <v>5</v>
      </c>
      <c r="P76" s="1">
        <v>1</v>
      </c>
      <c r="Q76" s="1">
        <v>1</v>
      </c>
      <c r="R76" s="1">
        <v>1</v>
      </c>
      <c r="S76" s="14"/>
      <c r="U76" s="11" t="s">
        <v>187</v>
      </c>
      <c r="V76" s="12" t="s">
        <v>188</v>
      </c>
      <c r="W76" s="11">
        <v>7.21</v>
      </c>
      <c r="X76" s="11">
        <v>0.81</v>
      </c>
      <c r="Y76" s="11">
        <v>1.21</v>
      </c>
      <c r="Z76" s="11">
        <v>0.73</v>
      </c>
      <c r="AA76" s="11">
        <v>2.5</v>
      </c>
      <c r="AB76" s="11">
        <v>0.81</v>
      </c>
      <c r="AC76" s="11">
        <v>0.98</v>
      </c>
      <c r="AD76" s="11">
        <v>1.1399999999999999</v>
      </c>
      <c r="AE76" s="11">
        <v>1.0900000000000001</v>
      </c>
      <c r="AF76" s="11">
        <v>2.4500000000000002</v>
      </c>
      <c r="AX76" s="14"/>
    </row>
    <row r="77" spans="1:50" ht="23" customHeight="1" thickTop="1" thickBot="1" x14ac:dyDescent="0.35">
      <c r="A77" s="63"/>
      <c r="B77" s="76"/>
      <c r="C77" s="25"/>
      <c r="D77" s="86"/>
      <c r="E77" s="1" t="s">
        <v>156</v>
      </c>
      <c r="F77" s="36">
        <v>1</v>
      </c>
      <c r="G77" s="87"/>
      <c r="H77" s="38" t="s">
        <v>164</v>
      </c>
      <c r="I77" s="38">
        <v>1</v>
      </c>
      <c r="J77" s="36"/>
      <c r="K77" s="25"/>
      <c r="L77" s="25"/>
      <c r="M77" s="18"/>
      <c r="O77" s="1">
        <v>6</v>
      </c>
      <c r="P77" s="1">
        <v>0</v>
      </c>
      <c r="Q77" s="1">
        <v>1</v>
      </c>
      <c r="R77" s="1">
        <v>1</v>
      </c>
      <c r="S77" s="14"/>
      <c r="U77" s="9"/>
      <c r="V77" s="10"/>
      <c r="W77" s="9"/>
      <c r="X77" s="9"/>
      <c r="Y77" s="9"/>
      <c r="Z77" s="9"/>
      <c r="AA77" s="9"/>
      <c r="AB77" s="9"/>
      <c r="AC77" s="9"/>
      <c r="AD77" s="9"/>
      <c r="AE77" s="9"/>
      <c r="AF77" s="9"/>
      <c r="AX77" s="14"/>
    </row>
    <row r="78" spans="1:50" ht="23" customHeight="1" thickTop="1" thickBot="1" x14ac:dyDescent="0.35">
      <c r="A78" s="63"/>
      <c r="B78" s="76"/>
      <c r="C78" s="25"/>
      <c r="D78" s="87"/>
      <c r="E78" s="38" t="s">
        <v>197</v>
      </c>
      <c r="F78" s="38">
        <v>1</v>
      </c>
      <c r="G78" s="39"/>
      <c r="H78" s="39"/>
      <c r="I78" s="39"/>
      <c r="J78" s="36"/>
      <c r="K78" s="36"/>
      <c r="L78" s="25"/>
      <c r="M78" s="18"/>
      <c r="O78" s="1">
        <v>7</v>
      </c>
      <c r="P78" s="1">
        <v>1</v>
      </c>
      <c r="Q78" s="1">
        <v>3</v>
      </c>
      <c r="R78" s="1">
        <v>1</v>
      </c>
      <c r="S78" s="14"/>
      <c r="U78" s="9"/>
      <c r="V78" s="10"/>
      <c r="W78" s="9"/>
      <c r="X78" s="9"/>
      <c r="Y78" s="9"/>
      <c r="Z78" s="9"/>
      <c r="AA78" s="9"/>
      <c r="AB78" s="9"/>
      <c r="AC78" s="9"/>
      <c r="AD78" s="9"/>
      <c r="AE78" s="9"/>
      <c r="AF78" s="9"/>
      <c r="AX78" s="14"/>
    </row>
    <row r="79" spans="1:50" ht="22.5" customHeight="1" thickTop="1" thickBot="1" x14ac:dyDescent="0.35">
      <c r="A79" s="63"/>
      <c r="B79" s="76"/>
      <c r="C79" s="25"/>
      <c r="D79" s="39"/>
      <c r="E79" s="39"/>
      <c r="F79" s="39"/>
      <c r="G79" s="25"/>
      <c r="H79" s="25"/>
      <c r="I79" s="25"/>
      <c r="J79" s="25"/>
      <c r="K79" s="25"/>
      <c r="L79" s="25"/>
      <c r="M79" s="18"/>
      <c r="O79" s="4">
        <v>8</v>
      </c>
      <c r="P79" s="4">
        <v>2</v>
      </c>
      <c r="Q79" s="4">
        <v>0</v>
      </c>
      <c r="R79" s="4">
        <v>0</v>
      </c>
      <c r="S79" s="14"/>
      <c r="AX79" s="14"/>
    </row>
    <row r="80" spans="1:50" ht="23" customHeight="1" thickTop="1" thickBot="1" x14ac:dyDescent="0.35">
      <c r="A80" s="63"/>
      <c r="B80" s="81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19"/>
      <c r="N80" s="15"/>
      <c r="O80" s="15"/>
      <c r="P80" s="15"/>
      <c r="Q80" s="15"/>
      <c r="R80" s="15"/>
      <c r="S80" s="16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6"/>
    </row>
    <row r="81" spans="1:50" ht="33" customHeight="1" thickTop="1" thickBot="1" x14ac:dyDescent="0.35">
      <c r="A81" s="63"/>
      <c r="B81" s="89" t="s">
        <v>71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17"/>
      <c r="N81" s="24"/>
      <c r="O81" s="24"/>
      <c r="P81" s="24"/>
      <c r="Q81" s="24"/>
      <c r="R81" s="24"/>
      <c r="S81" s="1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17"/>
    </row>
    <row r="82" spans="1:50" ht="26" customHeight="1" thickTop="1" thickBot="1" x14ac:dyDescent="0.35">
      <c r="A82" s="63"/>
      <c r="B82" s="76"/>
      <c r="C82" s="24"/>
      <c r="D82" s="27" t="s">
        <v>191</v>
      </c>
      <c r="E82" s="27" t="s">
        <v>192</v>
      </c>
      <c r="F82" s="27" t="s">
        <v>193</v>
      </c>
      <c r="G82" s="27" t="s">
        <v>191</v>
      </c>
      <c r="H82" s="27" t="s">
        <v>192</v>
      </c>
      <c r="I82" s="27" t="s">
        <v>193</v>
      </c>
      <c r="J82" s="27" t="s">
        <v>191</v>
      </c>
      <c r="K82" s="27" t="s">
        <v>192</v>
      </c>
      <c r="L82" s="27" t="s">
        <v>193</v>
      </c>
      <c r="M82" s="17"/>
      <c r="N82" s="24"/>
      <c r="O82" s="82" t="s">
        <v>205</v>
      </c>
      <c r="P82" s="82" t="s">
        <v>206</v>
      </c>
      <c r="Q82" s="83"/>
      <c r="R82" s="83"/>
      <c r="S82" s="1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17"/>
    </row>
    <row r="83" spans="1:50" ht="23.5" customHeight="1" thickTop="1" thickBot="1" x14ac:dyDescent="0.35">
      <c r="A83" s="63"/>
      <c r="B83" s="76"/>
      <c r="C83" s="33"/>
      <c r="D83" s="88" t="s">
        <v>194</v>
      </c>
      <c r="E83" s="36" t="s">
        <v>148</v>
      </c>
      <c r="F83" s="36">
        <v>5</v>
      </c>
      <c r="G83" s="85" t="s">
        <v>198</v>
      </c>
      <c r="H83" s="36" t="s">
        <v>158</v>
      </c>
      <c r="I83" s="36">
        <v>2</v>
      </c>
      <c r="J83" s="85" t="s">
        <v>202</v>
      </c>
      <c r="K83" s="36" t="s">
        <v>203</v>
      </c>
      <c r="L83" s="36">
        <v>2</v>
      </c>
      <c r="M83" s="18"/>
      <c r="N83" s="13"/>
      <c r="O83" s="84"/>
      <c r="P83" s="2" t="s">
        <v>178</v>
      </c>
      <c r="Q83" s="2" t="s">
        <v>186</v>
      </c>
      <c r="R83" s="2" t="s">
        <v>190</v>
      </c>
      <c r="S83" s="14"/>
      <c r="T83" s="13"/>
      <c r="AX83" s="14"/>
    </row>
    <row r="84" spans="1:50" ht="16" customHeight="1" thickBot="1" x14ac:dyDescent="0.35">
      <c r="A84" s="63"/>
      <c r="B84" s="76"/>
      <c r="C84" s="25"/>
      <c r="D84" s="86"/>
      <c r="E84" s="36" t="s">
        <v>195</v>
      </c>
      <c r="F84" s="36">
        <v>2</v>
      </c>
      <c r="G84" s="86"/>
      <c r="H84" s="36" t="s">
        <v>159</v>
      </c>
      <c r="I84" s="36">
        <v>2</v>
      </c>
      <c r="J84" s="86"/>
      <c r="K84" s="36" t="s">
        <v>166</v>
      </c>
      <c r="L84" s="36">
        <v>2</v>
      </c>
      <c r="M84" s="18"/>
      <c r="O84" s="1">
        <v>1</v>
      </c>
      <c r="P84" s="1">
        <v>1</v>
      </c>
      <c r="Q84" s="1">
        <v>0</v>
      </c>
      <c r="R84" s="1">
        <v>1</v>
      </c>
      <c r="S84" s="14"/>
      <c r="Z84" s="23" t="s">
        <v>194</v>
      </c>
      <c r="AK84" s="23" t="s">
        <v>198</v>
      </c>
      <c r="AT84" s="23" t="s">
        <v>202</v>
      </c>
      <c r="AX84" s="14"/>
    </row>
    <row r="85" spans="1:50" ht="25" customHeight="1" thickTop="1" thickBot="1" x14ac:dyDescent="0.35">
      <c r="A85" s="63"/>
      <c r="B85" s="76"/>
      <c r="C85" s="25"/>
      <c r="D85" s="86"/>
      <c r="E85" s="36" t="s">
        <v>196</v>
      </c>
      <c r="F85" s="36">
        <v>2</v>
      </c>
      <c r="G85" s="86"/>
      <c r="H85" s="36" t="s">
        <v>160</v>
      </c>
      <c r="I85" s="36">
        <v>1</v>
      </c>
      <c r="J85" s="86"/>
      <c r="K85" s="36" t="s">
        <v>167</v>
      </c>
      <c r="L85" s="36">
        <v>2</v>
      </c>
      <c r="M85" s="18"/>
      <c r="O85" s="1">
        <v>2</v>
      </c>
      <c r="P85" s="1">
        <v>1</v>
      </c>
      <c r="Q85" s="1">
        <v>2</v>
      </c>
      <c r="R85" s="1">
        <v>1</v>
      </c>
      <c r="S85" s="14"/>
      <c r="U85" s="7" t="s">
        <v>146</v>
      </c>
      <c r="V85" s="7" t="s">
        <v>147</v>
      </c>
      <c r="W85" s="7" t="s">
        <v>148</v>
      </c>
      <c r="X85" s="7" t="s">
        <v>149</v>
      </c>
      <c r="Y85" s="7" t="s">
        <v>150</v>
      </c>
      <c r="Z85" s="8" t="s">
        <v>151</v>
      </c>
      <c r="AA85" s="7" t="s">
        <v>152</v>
      </c>
      <c r="AB85" s="7" t="s">
        <v>153</v>
      </c>
      <c r="AC85" s="7" t="s">
        <v>154</v>
      </c>
      <c r="AD85" s="7" t="s">
        <v>155</v>
      </c>
      <c r="AE85" s="8" t="s">
        <v>156</v>
      </c>
      <c r="AF85" s="7" t="s">
        <v>157</v>
      </c>
      <c r="AH85" s="7" t="s">
        <v>146</v>
      </c>
      <c r="AI85" s="7" t="s">
        <v>147</v>
      </c>
      <c r="AJ85" s="7" t="s">
        <v>158</v>
      </c>
      <c r="AK85" s="7" t="s">
        <v>159</v>
      </c>
      <c r="AL85" s="7" t="s">
        <v>160</v>
      </c>
      <c r="AM85" s="7" t="s">
        <v>161</v>
      </c>
      <c r="AN85" s="7" t="s">
        <v>162</v>
      </c>
      <c r="AO85" s="7" t="s">
        <v>163</v>
      </c>
      <c r="AP85" s="7" t="s">
        <v>164</v>
      </c>
      <c r="AR85" s="7" t="s">
        <v>146</v>
      </c>
      <c r="AS85" s="7" t="s">
        <v>147</v>
      </c>
      <c r="AT85" s="7" t="s">
        <v>165</v>
      </c>
      <c r="AU85" s="7" t="s">
        <v>166</v>
      </c>
      <c r="AV85" s="7" t="s">
        <v>167</v>
      </c>
      <c r="AW85" s="7" t="s">
        <v>168</v>
      </c>
      <c r="AX85" s="14"/>
    </row>
    <row r="86" spans="1:50" ht="23" customHeight="1" thickTop="1" thickBot="1" x14ac:dyDescent="0.35">
      <c r="A86" s="63"/>
      <c r="B86" s="76"/>
      <c r="C86" s="25"/>
      <c r="D86" s="86"/>
      <c r="E86" s="1" t="s">
        <v>151</v>
      </c>
      <c r="F86" s="36">
        <v>2</v>
      </c>
      <c r="G86" s="86"/>
      <c r="H86" s="36" t="s">
        <v>199</v>
      </c>
      <c r="I86" s="36">
        <v>2</v>
      </c>
      <c r="J86" s="87"/>
      <c r="K86" s="38" t="s">
        <v>168</v>
      </c>
      <c r="L86" s="38">
        <v>1</v>
      </c>
      <c r="M86" s="18"/>
      <c r="O86" s="1">
        <v>3</v>
      </c>
      <c r="P86" s="1">
        <v>0</v>
      </c>
      <c r="Q86" s="1">
        <v>1</v>
      </c>
      <c r="R86" s="1">
        <v>1</v>
      </c>
      <c r="S86" s="14"/>
      <c r="U86" s="9" t="s">
        <v>171</v>
      </c>
      <c r="V86" s="10" t="s">
        <v>172</v>
      </c>
      <c r="W86" s="9">
        <v>9.1999999999999993</v>
      </c>
      <c r="X86" s="9">
        <v>0.74</v>
      </c>
      <c r="Y86" s="9">
        <v>1.03</v>
      </c>
      <c r="Z86" s="9">
        <v>0.67</v>
      </c>
      <c r="AA86" s="9">
        <v>2.65</v>
      </c>
      <c r="AB86" s="9">
        <v>0.86</v>
      </c>
      <c r="AC86" s="9">
        <v>0.93</v>
      </c>
      <c r="AD86" s="9">
        <v>1.27</v>
      </c>
      <c r="AE86" s="9">
        <v>1.33</v>
      </c>
      <c r="AF86" s="9">
        <v>1.76</v>
      </c>
      <c r="AH86" s="9" t="s">
        <v>173</v>
      </c>
      <c r="AI86" s="10" t="s">
        <v>174</v>
      </c>
      <c r="AJ86" s="9">
        <v>6.17</v>
      </c>
      <c r="AK86" s="9">
        <v>6.58</v>
      </c>
      <c r="AL86" s="9">
        <v>3</v>
      </c>
      <c r="AM86" s="9">
        <v>6.19</v>
      </c>
      <c r="AN86" s="9">
        <v>1.58</v>
      </c>
      <c r="AO86" s="9">
        <v>7.16</v>
      </c>
      <c r="AP86" s="9">
        <v>5.17</v>
      </c>
      <c r="AR86" s="9" t="s">
        <v>175</v>
      </c>
      <c r="AS86" s="10" t="s">
        <v>176</v>
      </c>
      <c r="AT86" s="9">
        <v>3.4</v>
      </c>
      <c r="AU86" s="9">
        <v>1.1000000000000001</v>
      </c>
      <c r="AV86" s="9">
        <v>2.7</v>
      </c>
      <c r="AW86" s="9">
        <v>2</v>
      </c>
      <c r="AX86" s="14"/>
    </row>
    <row r="87" spans="1:50" ht="23.5" customHeight="1" thickTop="1" thickBot="1" x14ac:dyDescent="0.35">
      <c r="A87" s="63"/>
      <c r="B87" s="76"/>
      <c r="C87" s="25"/>
      <c r="D87" s="86"/>
      <c r="E87" s="36" t="s">
        <v>152</v>
      </c>
      <c r="F87" s="36">
        <v>2</v>
      </c>
      <c r="G87" s="86"/>
      <c r="H87" s="36" t="s">
        <v>200</v>
      </c>
      <c r="I87" s="36">
        <v>1</v>
      </c>
      <c r="J87" s="39"/>
      <c r="K87" s="39"/>
      <c r="L87" s="39"/>
      <c r="M87" s="18"/>
      <c r="O87" s="1">
        <v>4</v>
      </c>
      <c r="P87" s="1">
        <v>0</v>
      </c>
      <c r="Q87" s="1">
        <v>1</v>
      </c>
      <c r="R87" s="1">
        <v>0</v>
      </c>
      <c r="S87" s="14"/>
      <c r="U87" s="9" t="s">
        <v>179</v>
      </c>
      <c r="V87" s="10" t="s">
        <v>180</v>
      </c>
      <c r="W87" s="9">
        <v>7.59</v>
      </c>
      <c r="X87" s="9">
        <v>0.87</v>
      </c>
      <c r="Y87" s="9">
        <v>1.1399999999999999</v>
      </c>
      <c r="Z87" s="9">
        <v>0.6</v>
      </c>
      <c r="AA87" s="9">
        <v>2.5</v>
      </c>
      <c r="AB87" s="9">
        <v>0.84</v>
      </c>
      <c r="AC87" s="9">
        <v>0.96</v>
      </c>
      <c r="AD87" s="9">
        <v>1.08</v>
      </c>
      <c r="AE87" s="9">
        <v>1.1100000000000001</v>
      </c>
      <c r="AF87" s="9">
        <v>2.2999999999999998</v>
      </c>
      <c r="AH87" s="11" t="s">
        <v>181</v>
      </c>
      <c r="AI87" s="12" t="s">
        <v>182</v>
      </c>
      <c r="AJ87" s="11">
        <v>6.91</v>
      </c>
      <c r="AK87" s="11">
        <v>7.44</v>
      </c>
      <c r="AL87" s="11">
        <v>3</v>
      </c>
      <c r="AM87" s="11">
        <v>7.81</v>
      </c>
      <c r="AN87" s="11">
        <v>2.44</v>
      </c>
      <c r="AO87" s="11">
        <v>8.84</v>
      </c>
      <c r="AP87" s="11">
        <v>5.91</v>
      </c>
      <c r="AR87" s="11" t="s">
        <v>183</v>
      </c>
      <c r="AS87" s="12" t="s">
        <v>184</v>
      </c>
      <c r="AT87" s="11">
        <v>2.59</v>
      </c>
      <c r="AU87" s="11">
        <v>1.22</v>
      </c>
      <c r="AV87" s="11">
        <v>2.15</v>
      </c>
      <c r="AW87" s="11">
        <v>2</v>
      </c>
      <c r="AX87" s="14"/>
    </row>
    <row r="88" spans="1:50" ht="23" customHeight="1" thickTop="1" thickBot="1" x14ac:dyDescent="0.35">
      <c r="A88" s="63"/>
      <c r="B88" s="76"/>
      <c r="C88" s="25"/>
      <c r="D88" s="86"/>
      <c r="E88" s="36" t="s">
        <v>153</v>
      </c>
      <c r="F88" s="36">
        <v>1</v>
      </c>
      <c r="G88" s="86"/>
      <c r="H88" s="36" t="s">
        <v>201</v>
      </c>
      <c r="I88" s="36">
        <v>1</v>
      </c>
      <c r="J88" s="25"/>
      <c r="K88" s="25"/>
      <c r="L88" s="25"/>
      <c r="M88" s="18"/>
      <c r="O88" s="1">
        <v>5</v>
      </c>
      <c r="P88" s="1">
        <v>1</v>
      </c>
      <c r="Q88" s="1">
        <v>1</v>
      </c>
      <c r="R88" s="1">
        <v>1</v>
      </c>
      <c r="S88" s="14"/>
      <c r="U88" s="11" t="s">
        <v>187</v>
      </c>
      <c r="V88" s="12" t="s">
        <v>188</v>
      </c>
      <c r="W88" s="11">
        <v>7.89</v>
      </c>
      <c r="X88" s="11">
        <v>0.68</v>
      </c>
      <c r="Y88" s="11">
        <v>1.1200000000000001</v>
      </c>
      <c r="Z88" s="11">
        <v>0.62</v>
      </c>
      <c r="AA88" s="11">
        <v>2.5</v>
      </c>
      <c r="AB88" s="11">
        <v>0.83</v>
      </c>
      <c r="AC88" s="11">
        <v>0.95</v>
      </c>
      <c r="AD88" s="11">
        <v>1</v>
      </c>
      <c r="AE88" s="11">
        <v>1.25</v>
      </c>
      <c r="AF88" s="11">
        <v>1.5</v>
      </c>
      <c r="AX88" s="14"/>
    </row>
    <row r="89" spans="1:50" ht="23" customHeight="1" thickTop="1" thickBot="1" x14ac:dyDescent="0.35">
      <c r="A89" s="63"/>
      <c r="B89" s="76"/>
      <c r="C89" s="25"/>
      <c r="D89" s="86"/>
      <c r="E89" s="1" t="s">
        <v>156</v>
      </c>
      <c r="F89" s="36">
        <v>1</v>
      </c>
      <c r="G89" s="87"/>
      <c r="H89" s="38" t="s">
        <v>164</v>
      </c>
      <c r="I89" s="38">
        <v>1</v>
      </c>
      <c r="J89" s="36"/>
      <c r="K89" s="25"/>
      <c r="L89" s="25"/>
      <c r="M89" s="18"/>
      <c r="O89" s="1">
        <v>6</v>
      </c>
      <c r="P89" s="1">
        <v>2</v>
      </c>
      <c r="Q89" s="1">
        <v>1</v>
      </c>
      <c r="R89" s="1">
        <v>1</v>
      </c>
      <c r="S89" s="14"/>
      <c r="U89" s="9"/>
      <c r="V89" s="10"/>
      <c r="W89" s="9"/>
      <c r="X89" s="9"/>
      <c r="Y89" s="9"/>
      <c r="Z89" s="9"/>
      <c r="AA89" s="9"/>
      <c r="AB89" s="9"/>
      <c r="AC89" s="9"/>
      <c r="AD89" s="9"/>
      <c r="AE89" s="9"/>
      <c r="AF89" s="9"/>
      <c r="AX89" s="14"/>
    </row>
    <row r="90" spans="1:50" ht="23" customHeight="1" thickTop="1" thickBot="1" x14ac:dyDescent="0.35">
      <c r="A90" s="63"/>
      <c r="B90" s="76"/>
      <c r="C90" s="25"/>
      <c r="D90" s="87"/>
      <c r="E90" s="38" t="s">
        <v>197</v>
      </c>
      <c r="F90" s="38">
        <v>1</v>
      </c>
      <c r="G90" s="39"/>
      <c r="H90" s="39"/>
      <c r="I90" s="39"/>
      <c r="J90" s="36"/>
      <c r="K90" s="36"/>
      <c r="L90" s="25"/>
      <c r="M90" s="18"/>
      <c r="O90" s="1">
        <v>7</v>
      </c>
      <c r="P90" s="1">
        <v>1</v>
      </c>
      <c r="Q90" s="1">
        <v>1</v>
      </c>
      <c r="R90" s="1">
        <v>1</v>
      </c>
      <c r="S90" s="14"/>
      <c r="U90" s="9"/>
      <c r="V90" s="10"/>
      <c r="W90" s="9"/>
      <c r="X90" s="9"/>
      <c r="Y90" s="9"/>
      <c r="Z90" s="9"/>
      <c r="AA90" s="9"/>
      <c r="AB90" s="9"/>
      <c r="AC90" s="9"/>
      <c r="AD90" s="9"/>
      <c r="AE90" s="9"/>
      <c r="AF90" s="9"/>
      <c r="AX90" s="14"/>
    </row>
    <row r="91" spans="1:50" ht="22.5" customHeight="1" thickTop="1" thickBot="1" x14ac:dyDescent="0.35">
      <c r="A91" s="63"/>
      <c r="B91" s="76"/>
      <c r="C91" s="25"/>
      <c r="D91" s="39"/>
      <c r="E91" s="39"/>
      <c r="F91" s="39"/>
      <c r="G91" s="25"/>
      <c r="H91" s="39"/>
      <c r="I91" s="25"/>
      <c r="J91" s="25"/>
      <c r="K91" s="36"/>
      <c r="L91" s="25"/>
      <c r="M91" s="18"/>
      <c r="O91" s="4">
        <v>8</v>
      </c>
      <c r="P91" s="4">
        <v>2</v>
      </c>
      <c r="Q91" s="4">
        <v>0</v>
      </c>
      <c r="R91" s="4">
        <v>0</v>
      </c>
      <c r="S91" s="14"/>
      <c r="AX91" s="14"/>
    </row>
    <row r="92" spans="1:50" ht="23" customHeight="1" thickTop="1" thickBot="1" x14ac:dyDescent="0.35">
      <c r="A92" s="63"/>
      <c r="B92" s="81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19"/>
      <c r="N92" s="15"/>
      <c r="O92" s="15"/>
      <c r="P92" s="15"/>
      <c r="Q92" s="15"/>
      <c r="R92" s="15"/>
      <c r="S92" s="16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6"/>
    </row>
    <row r="93" spans="1:50" ht="30" customHeight="1" thickTop="1" thickBot="1" x14ac:dyDescent="0.35">
      <c r="A93" s="63"/>
      <c r="B93" s="89" t="s">
        <v>72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17"/>
      <c r="N93" s="24"/>
      <c r="O93" s="24"/>
      <c r="P93" s="24"/>
      <c r="Q93" s="24"/>
      <c r="R93" s="24"/>
      <c r="S93" s="1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17"/>
    </row>
    <row r="94" spans="1:50" ht="31" customHeight="1" thickTop="1" thickBot="1" x14ac:dyDescent="0.35">
      <c r="A94" s="63"/>
      <c r="B94" s="76"/>
      <c r="C94" s="24"/>
      <c r="D94" s="27" t="s">
        <v>191</v>
      </c>
      <c r="E94" s="27" t="s">
        <v>192</v>
      </c>
      <c r="F94" s="27" t="s">
        <v>193</v>
      </c>
      <c r="G94" s="27" t="s">
        <v>191</v>
      </c>
      <c r="H94" s="27" t="s">
        <v>192</v>
      </c>
      <c r="I94" s="27" t="s">
        <v>193</v>
      </c>
      <c r="J94" s="27" t="s">
        <v>191</v>
      </c>
      <c r="K94" s="27" t="s">
        <v>192</v>
      </c>
      <c r="L94" s="27" t="s">
        <v>193</v>
      </c>
      <c r="M94" s="17"/>
      <c r="N94" s="24"/>
      <c r="O94" s="82" t="s">
        <v>205</v>
      </c>
      <c r="P94" s="82" t="s">
        <v>206</v>
      </c>
      <c r="Q94" s="83"/>
      <c r="R94" s="83"/>
      <c r="S94" s="1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17"/>
    </row>
    <row r="95" spans="1:50" ht="23.5" customHeight="1" thickTop="1" thickBot="1" x14ac:dyDescent="0.35">
      <c r="A95" s="63"/>
      <c r="B95" s="76"/>
      <c r="C95" s="33"/>
      <c r="D95" s="88" t="s">
        <v>194</v>
      </c>
      <c r="E95" s="36" t="s">
        <v>148</v>
      </c>
      <c r="F95" s="36">
        <v>5</v>
      </c>
      <c r="G95" s="85" t="s">
        <v>198</v>
      </c>
      <c r="H95" s="36" t="s">
        <v>158</v>
      </c>
      <c r="I95" s="36">
        <v>2</v>
      </c>
      <c r="J95" s="85" t="s">
        <v>202</v>
      </c>
      <c r="K95" s="36" t="s">
        <v>203</v>
      </c>
      <c r="L95" s="36">
        <v>3</v>
      </c>
      <c r="M95" s="18"/>
      <c r="N95" s="13"/>
      <c r="O95" s="84"/>
      <c r="P95" s="2" t="s">
        <v>178</v>
      </c>
      <c r="Q95" s="2" t="s">
        <v>186</v>
      </c>
      <c r="R95" s="2" t="s">
        <v>190</v>
      </c>
      <c r="S95" s="14"/>
      <c r="T95" s="13"/>
      <c r="AX95" s="14"/>
    </row>
    <row r="96" spans="1:50" ht="23.5" customHeight="1" thickBot="1" x14ac:dyDescent="0.35">
      <c r="A96" s="63"/>
      <c r="B96" s="76"/>
      <c r="C96" s="25"/>
      <c r="D96" s="86"/>
      <c r="E96" s="36" t="s">
        <v>195</v>
      </c>
      <c r="F96" s="36">
        <v>2</v>
      </c>
      <c r="G96" s="86"/>
      <c r="H96" s="36" t="s">
        <v>159</v>
      </c>
      <c r="I96" s="36">
        <v>2</v>
      </c>
      <c r="J96" s="86"/>
      <c r="K96" s="36" t="s">
        <v>166</v>
      </c>
      <c r="L96" s="36">
        <v>2</v>
      </c>
      <c r="M96" s="18"/>
      <c r="O96" s="1">
        <v>1</v>
      </c>
      <c r="P96" s="1">
        <v>1</v>
      </c>
      <c r="Q96" s="1">
        <v>0</v>
      </c>
      <c r="R96" s="1">
        <v>0</v>
      </c>
      <c r="S96" s="14"/>
      <c r="Z96" s="23" t="s">
        <v>194</v>
      </c>
      <c r="AK96" s="23" t="s">
        <v>198</v>
      </c>
      <c r="AT96" s="23" t="s">
        <v>202</v>
      </c>
      <c r="AX96" s="14"/>
    </row>
    <row r="97" spans="1:50" ht="25" customHeight="1" thickTop="1" thickBot="1" x14ac:dyDescent="0.35">
      <c r="A97" s="63"/>
      <c r="B97" s="76"/>
      <c r="C97" s="25"/>
      <c r="D97" s="86"/>
      <c r="E97" s="36" t="s">
        <v>196</v>
      </c>
      <c r="F97" s="36">
        <v>2</v>
      </c>
      <c r="G97" s="86"/>
      <c r="H97" s="36" t="s">
        <v>160</v>
      </c>
      <c r="I97" s="36">
        <v>1</v>
      </c>
      <c r="J97" s="86"/>
      <c r="K97" s="36" t="s">
        <v>167</v>
      </c>
      <c r="L97" s="36">
        <v>2</v>
      </c>
      <c r="M97" s="18"/>
      <c r="O97" s="1">
        <v>2</v>
      </c>
      <c r="P97" s="1">
        <v>1</v>
      </c>
      <c r="Q97" s="1">
        <v>2</v>
      </c>
      <c r="R97" s="1">
        <v>1</v>
      </c>
      <c r="S97" s="14"/>
      <c r="U97" s="7" t="s">
        <v>146</v>
      </c>
      <c r="V97" s="7" t="s">
        <v>147</v>
      </c>
      <c r="W97" s="7" t="s">
        <v>148</v>
      </c>
      <c r="X97" s="7" t="s">
        <v>149</v>
      </c>
      <c r="Y97" s="7" t="s">
        <v>150</v>
      </c>
      <c r="Z97" s="8" t="s">
        <v>151</v>
      </c>
      <c r="AA97" s="7" t="s">
        <v>152</v>
      </c>
      <c r="AB97" s="7" t="s">
        <v>153</v>
      </c>
      <c r="AC97" s="7" t="s">
        <v>154</v>
      </c>
      <c r="AD97" s="7" t="s">
        <v>155</v>
      </c>
      <c r="AE97" s="8" t="s">
        <v>156</v>
      </c>
      <c r="AF97" s="7" t="s">
        <v>157</v>
      </c>
      <c r="AH97" s="7" t="s">
        <v>146</v>
      </c>
      <c r="AI97" s="7" t="s">
        <v>147</v>
      </c>
      <c r="AJ97" s="7" t="s">
        <v>158</v>
      </c>
      <c r="AK97" s="7" t="s">
        <v>159</v>
      </c>
      <c r="AL97" s="7" t="s">
        <v>160</v>
      </c>
      <c r="AM97" s="7" t="s">
        <v>161</v>
      </c>
      <c r="AN97" s="7" t="s">
        <v>162</v>
      </c>
      <c r="AO97" s="7" t="s">
        <v>163</v>
      </c>
      <c r="AP97" s="7" t="s">
        <v>164</v>
      </c>
      <c r="AR97" s="7" t="s">
        <v>146</v>
      </c>
      <c r="AS97" s="7" t="s">
        <v>147</v>
      </c>
      <c r="AT97" s="7" t="s">
        <v>165</v>
      </c>
      <c r="AU97" s="7" t="s">
        <v>166</v>
      </c>
      <c r="AV97" s="7" t="s">
        <v>167</v>
      </c>
      <c r="AW97" s="7" t="s">
        <v>168</v>
      </c>
      <c r="AX97" s="14"/>
    </row>
    <row r="98" spans="1:50" ht="23.5" customHeight="1" thickTop="1" thickBot="1" x14ac:dyDescent="0.35">
      <c r="A98" s="63"/>
      <c r="B98" s="76"/>
      <c r="C98" s="25"/>
      <c r="D98" s="86"/>
      <c r="E98" s="1" t="s">
        <v>151</v>
      </c>
      <c r="F98" s="36">
        <v>2</v>
      </c>
      <c r="G98" s="86"/>
      <c r="H98" s="36" t="s">
        <v>199</v>
      </c>
      <c r="I98" s="36">
        <v>2</v>
      </c>
      <c r="J98" s="87"/>
      <c r="K98" s="38" t="s">
        <v>168</v>
      </c>
      <c r="L98" s="38">
        <v>1</v>
      </c>
      <c r="M98" s="18"/>
      <c r="O98" s="1">
        <v>3</v>
      </c>
      <c r="P98" s="1">
        <v>2</v>
      </c>
      <c r="Q98" s="1">
        <v>1</v>
      </c>
      <c r="R98" s="1">
        <v>1</v>
      </c>
      <c r="S98" s="14"/>
      <c r="U98" s="9" t="s">
        <v>171</v>
      </c>
      <c r="V98" s="10" t="s">
        <v>172</v>
      </c>
      <c r="W98" s="9">
        <v>8.56</v>
      </c>
      <c r="X98" s="9">
        <v>0.75</v>
      </c>
      <c r="Y98" s="9">
        <v>1.03</v>
      </c>
      <c r="Z98" s="9">
        <v>0.75</v>
      </c>
      <c r="AA98" s="9">
        <v>2.5</v>
      </c>
      <c r="AB98" s="9">
        <v>0.8</v>
      </c>
      <c r="AC98" s="9">
        <v>1</v>
      </c>
      <c r="AD98" s="9">
        <v>1</v>
      </c>
      <c r="AE98" s="9">
        <v>1.3</v>
      </c>
      <c r="AF98" s="9">
        <v>1.5</v>
      </c>
      <c r="AH98" s="9" t="s">
        <v>173</v>
      </c>
      <c r="AI98" s="10" t="s">
        <v>174</v>
      </c>
      <c r="AJ98" s="9">
        <v>6.54</v>
      </c>
      <c r="AK98" s="9">
        <v>6.84</v>
      </c>
      <c r="AL98" s="9">
        <v>3</v>
      </c>
      <c r="AM98" s="9">
        <v>6.54</v>
      </c>
      <c r="AN98" s="9">
        <v>1.84</v>
      </c>
      <c r="AO98" s="9">
        <v>7.54</v>
      </c>
      <c r="AP98" s="9">
        <v>5.44</v>
      </c>
      <c r="AR98" s="9" t="s">
        <v>175</v>
      </c>
      <c r="AS98" s="10" t="s">
        <v>176</v>
      </c>
      <c r="AT98" s="9">
        <v>2.8</v>
      </c>
      <c r="AU98" s="9">
        <v>1.0900000000000001</v>
      </c>
      <c r="AV98" s="9">
        <v>2.4</v>
      </c>
      <c r="AW98" s="9">
        <v>2</v>
      </c>
      <c r="AX98" s="14"/>
    </row>
    <row r="99" spans="1:50" ht="24" customHeight="1" thickTop="1" thickBot="1" x14ac:dyDescent="0.35">
      <c r="A99" s="63"/>
      <c r="B99" s="76"/>
      <c r="C99" s="25"/>
      <c r="D99" s="86"/>
      <c r="E99" s="36" t="s">
        <v>152</v>
      </c>
      <c r="F99" s="36">
        <v>2</v>
      </c>
      <c r="G99" s="86"/>
      <c r="H99" s="36" t="s">
        <v>200</v>
      </c>
      <c r="I99" s="36">
        <v>1</v>
      </c>
      <c r="J99" s="39"/>
      <c r="K99" s="39"/>
      <c r="L99" s="39"/>
      <c r="M99" s="18"/>
      <c r="O99" s="1">
        <v>4</v>
      </c>
      <c r="P99" s="1">
        <v>0</v>
      </c>
      <c r="Q99" s="1">
        <v>2</v>
      </c>
      <c r="R99" s="1">
        <v>0</v>
      </c>
      <c r="S99" s="14"/>
      <c r="U99" s="9" t="s">
        <v>179</v>
      </c>
      <c r="V99" s="10" t="s">
        <v>180</v>
      </c>
      <c r="W99" s="9">
        <v>9.02</v>
      </c>
      <c r="X99" s="9">
        <v>0.9</v>
      </c>
      <c r="Y99" s="9">
        <v>1.25</v>
      </c>
      <c r="Z99" s="9">
        <v>0.56999999999999995</v>
      </c>
      <c r="AA99" s="9">
        <v>2.85</v>
      </c>
      <c r="AB99" s="9">
        <v>0.89</v>
      </c>
      <c r="AC99" s="9">
        <v>1</v>
      </c>
      <c r="AD99" s="9">
        <v>1.1499999999999999</v>
      </c>
      <c r="AE99" s="9">
        <v>1.4</v>
      </c>
      <c r="AF99" s="9">
        <v>2.2999999999999998</v>
      </c>
      <c r="AH99" s="11" t="s">
        <v>181</v>
      </c>
      <c r="AI99" s="12" t="s">
        <v>182</v>
      </c>
      <c r="AJ99" s="11">
        <v>6.84</v>
      </c>
      <c r="AK99" s="11">
        <v>7.29</v>
      </c>
      <c r="AL99" s="11">
        <v>3</v>
      </c>
      <c r="AM99" s="11">
        <v>7.54</v>
      </c>
      <c r="AN99" s="11">
        <v>2.19</v>
      </c>
      <c r="AO99" s="11">
        <v>8.5399999999999991</v>
      </c>
      <c r="AP99" s="11">
        <v>5.74</v>
      </c>
      <c r="AR99" s="11" t="s">
        <v>183</v>
      </c>
      <c r="AS99" s="12" t="s">
        <v>184</v>
      </c>
      <c r="AT99" s="11">
        <v>3.27</v>
      </c>
      <c r="AU99" s="11">
        <v>1.17</v>
      </c>
      <c r="AV99" s="11">
        <v>2.95</v>
      </c>
      <c r="AW99" s="11">
        <v>2</v>
      </c>
      <c r="AX99" s="14"/>
    </row>
    <row r="100" spans="1:50" ht="23.5" customHeight="1" thickTop="1" thickBot="1" x14ac:dyDescent="0.35">
      <c r="A100" s="63"/>
      <c r="B100" s="76"/>
      <c r="C100" s="25"/>
      <c r="D100" s="86"/>
      <c r="E100" s="36" t="s">
        <v>153</v>
      </c>
      <c r="F100" s="36">
        <v>2</v>
      </c>
      <c r="G100" s="86"/>
      <c r="H100" s="36" t="s">
        <v>201</v>
      </c>
      <c r="I100" s="36">
        <v>1</v>
      </c>
      <c r="J100" s="25"/>
      <c r="K100" s="25"/>
      <c r="L100" s="25"/>
      <c r="M100" s="18"/>
      <c r="O100" s="1">
        <v>5</v>
      </c>
      <c r="P100" s="1">
        <v>1</v>
      </c>
      <c r="Q100" s="1">
        <v>1</v>
      </c>
      <c r="R100" s="1">
        <v>1</v>
      </c>
      <c r="S100" s="14"/>
      <c r="U100" s="11" t="s">
        <v>187</v>
      </c>
      <c r="V100" s="12" t="s">
        <v>188</v>
      </c>
      <c r="W100" s="11">
        <v>7.32</v>
      </c>
      <c r="X100" s="11">
        <v>0.71</v>
      </c>
      <c r="Y100" s="11">
        <v>1.1499999999999999</v>
      </c>
      <c r="Z100" s="11">
        <v>0.68</v>
      </c>
      <c r="AA100" s="11">
        <v>2.63</v>
      </c>
      <c r="AB100" s="11">
        <v>0.85</v>
      </c>
      <c r="AC100" s="11">
        <v>0.97</v>
      </c>
      <c r="AD100" s="11">
        <v>1.1200000000000001</v>
      </c>
      <c r="AE100" s="11">
        <v>1.28</v>
      </c>
      <c r="AF100" s="11">
        <v>1.86</v>
      </c>
      <c r="AX100" s="14"/>
    </row>
    <row r="101" spans="1:50" ht="23.5" customHeight="1" thickTop="1" thickBot="1" x14ac:dyDescent="0.35">
      <c r="A101" s="63"/>
      <c r="B101" s="76"/>
      <c r="C101" s="25"/>
      <c r="D101" s="86"/>
      <c r="E101" s="1" t="s">
        <v>156</v>
      </c>
      <c r="F101" s="36">
        <v>1</v>
      </c>
      <c r="G101" s="87"/>
      <c r="H101" s="38" t="s">
        <v>164</v>
      </c>
      <c r="I101" s="38">
        <v>1</v>
      </c>
      <c r="J101" s="36"/>
      <c r="K101" s="25"/>
      <c r="L101" s="25"/>
      <c r="M101" s="18"/>
      <c r="O101" s="1">
        <v>6</v>
      </c>
      <c r="P101" s="1">
        <v>2</v>
      </c>
      <c r="Q101" s="1">
        <v>1</v>
      </c>
      <c r="R101" s="1">
        <v>1</v>
      </c>
      <c r="S101" s="14"/>
      <c r="U101" s="9"/>
      <c r="V101" s="10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X101" s="14"/>
    </row>
    <row r="102" spans="1:50" ht="23.5" customHeight="1" thickTop="1" thickBot="1" x14ac:dyDescent="0.35">
      <c r="A102" s="63"/>
      <c r="B102" s="76"/>
      <c r="C102" s="25"/>
      <c r="D102" s="87"/>
      <c r="E102" s="38" t="s">
        <v>197</v>
      </c>
      <c r="F102" s="38">
        <v>1</v>
      </c>
      <c r="G102" s="39"/>
      <c r="H102" s="39"/>
      <c r="I102" s="39"/>
      <c r="J102" s="36"/>
      <c r="K102" s="36"/>
      <c r="L102" s="25"/>
      <c r="M102" s="18"/>
      <c r="O102" s="1">
        <v>7</v>
      </c>
      <c r="P102" s="1">
        <v>1</v>
      </c>
      <c r="Q102" s="1">
        <v>1</v>
      </c>
      <c r="R102" s="1">
        <v>1</v>
      </c>
      <c r="S102" s="14"/>
      <c r="U102" s="9"/>
      <c r="V102" s="10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X102" s="14"/>
    </row>
    <row r="103" spans="1:50" ht="23" customHeight="1" thickTop="1" thickBot="1" x14ac:dyDescent="0.35">
      <c r="A103" s="63"/>
      <c r="B103" s="76"/>
      <c r="C103" s="25"/>
      <c r="D103" s="39"/>
      <c r="E103" s="39"/>
      <c r="F103" s="39"/>
      <c r="G103" s="25"/>
      <c r="H103" s="25"/>
      <c r="I103" s="25"/>
      <c r="J103" s="25"/>
      <c r="K103" s="25"/>
      <c r="L103" s="25"/>
      <c r="M103" s="18"/>
      <c r="O103" s="4">
        <v>8</v>
      </c>
      <c r="P103" s="4">
        <v>0</v>
      </c>
      <c r="Q103" s="4">
        <v>0</v>
      </c>
      <c r="R103" s="4">
        <v>1</v>
      </c>
      <c r="S103" s="14"/>
      <c r="AX103" s="14"/>
    </row>
    <row r="104" spans="1:50" ht="23" customHeight="1" thickTop="1" thickBot="1" x14ac:dyDescent="0.35">
      <c r="A104" s="63"/>
      <c r="B104" s="81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19"/>
      <c r="N104" s="15"/>
      <c r="O104" s="15"/>
      <c r="P104" s="15"/>
      <c r="Q104" s="15"/>
      <c r="R104" s="15"/>
      <c r="S104" s="16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6"/>
    </row>
    <row r="105" spans="1:50" ht="29" customHeight="1" thickTop="1" thickBot="1" x14ac:dyDescent="0.35">
      <c r="A105" s="63"/>
      <c r="B105" s="89" t="s">
        <v>73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17"/>
      <c r="N105" s="24"/>
      <c r="O105" s="24"/>
      <c r="P105" s="24"/>
      <c r="Q105" s="24"/>
      <c r="R105" s="24"/>
      <c r="S105" s="1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17"/>
    </row>
    <row r="106" spans="1:50" ht="31" customHeight="1" thickTop="1" thickBot="1" x14ac:dyDescent="0.35">
      <c r="A106" s="63"/>
      <c r="B106" s="76"/>
      <c r="C106" s="24"/>
      <c r="D106" s="27" t="s">
        <v>191</v>
      </c>
      <c r="E106" s="27" t="s">
        <v>192</v>
      </c>
      <c r="F106" s="27" t="s">
        <v>193</v>
      </c>
      <c r="G106" s="27" t="s">
        <v>191</v>
      </c>
      <c r="H106" s="27" t="s">
        <v>192</v>
      </c>
      <c r="I106" s="27" t="s">
        <v>193</v>
      </c>
      <c r="J106" s="27" t="s">
        <v>191</v>
      </c>
      <c r="K106" s="27" t="s">
        <v>192</v>
      </c>
      <c r="L106" s="27" t="s">
        <v>193</v>
      </c>
      <c r="M106" s="17"/>
      <c r="N106" s="24"/>
      <c r="O106" s="82" t="s">
        <v>205</v>
      </c>
      <c r="P106" s="82" t="s">
        <v>206</v>
      </c>
      <c r="Q106" s="83"/>
      <c r="R106" s="83"/>
      <c r="S106" s="1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17"/>
    </row>
    <row r="107" spans="1:50" ht="23.5" customHeight="1" thickTop="1" thickBot="1" x14ac:dyDescent="0.35">
      <c r="A107" s="63"/>
      <c r="B107" s="76"/>
      <c r="C107" s="33"/>
      <c r="D107" s="88" t="s">
        <v>194</v>
      </c>
      <c r="E107" s="36" t="s">
        <v>148</v>
      </c>
      <c r="F107" s="36">
        <v>5</v>
      </c>
      <c r="G107" s="85" t="s">
        <v>198</v>
      </c>
      <c r="H107" s="36" t="s">
        <v>158</v>
      </c>
      <c r="I107" s="36">
        <v>2</v>
      </c>
      <c r="J107" s="85" t="s">
        <v>202</v>
      </c>
      <c r="K107" s="36" t="s">
        <v>203</v>
      </c>
      <c r="L107" s="36">
        <v>3</v>
      </c>
      <c r="M107" s="18"/>
      <c r="N107" s="13"/>
      <c r="O107" s="84"/>
      <c r="P107" s="2" t="s">
        <v>178</v>
      </c>
      <c r="Q107" s="2" t="s">
        <v>186</v>
      </c>
      <c r="R107" s="2" t="s">
        <v>190</v>
      </c>
      <c r="S107" s="14"/>
      <c r="T107" s="13"/>
      <c r="AX107" s="14"/>
    </row>
    <row r="108" spans="1:50" ht="23.5" customHeight="1" thickBot="1" x14ac:dyDescent="0.35">
      <c r="A108" s="63"/>
      <c r="B108" s="76"/>
      <c r="C108" s="25"/>
      <c r="D108" s="86"/>
      <c r="E108" s="36" t="s">
        <v>195</v>
      </c>
      <c r="F108" s="36">
        <v>2</v>
      </c>
      <c r="G108" s="86"/>
      <c r="H108" s="36" t="s">
        <v>159</v>
      </c>
      <c r="I108" s="36">
        <v>2</v>
      </c>
      <c r="J108" s="86"/>
      <c r="K108" s="36" t="s">
        <v>166</v>
      </c>
      <c r="L108" s="36">
        <v>2</v>
      </c>
      <c r="M108" s="18"/>
      <c r="O108" s="1">
        <v>1</v>
      </c>
      <c r="P108" s="1">
        <v>1</v>
      </c>
      <c r="Q108" s="1">
        <v>0</v>
      </c>
      <c r="R108" s="1">
        <v>0</v>
      </c>
      <c r="S108" s="14"/>
      <c r="Z108" s="23" t="s">
        <v>194</v>
      </c>
      <c r="AK108" s="23" t="s">
        <v>198</v>
      </c>
      <c r="AT108" s="23" t="s">
        <v>202</v>
      </c>
      <c r="AX108" s="14"/>
    </row>
    <row r="109" spans="1:50" ht="25" customHeight="1" thickTop="1" thickBot="1" x14ac:dyDescent="0.35">
      <c r="A109" s="63"/>
      <c r="B109" s="76"/>
      <c r="C109" s="25"/>
      <c r="D109" s="86"/>
      <c r="E109" s="36" t="s">
        <v>196</v>
      </c>
      <c r="F109" s="36">
        <v>2</v>
      </c>
      <c r="G109" s="86"/>
      <c r="H109" s="36" t="s">
        <v>160</v>
      </c>
      <c r="I109" s="36">
        <v>1</v>
      </c>
      <c r="J109" s="86"/>
      <c r="K109" s="36" t="s">
        <v>167</v>
      </c>
      <c r="L109" s="36">
        <v>2</v>
      </c>
      <c r="M109" s="18"/>
      <c r="O109" s="1">
        <v>2</v>
      </c>
      <c r="P109" s="1">
        <v>2</v>
      </c>
      <c r="Q109" s="1">
        <v>2</v>
      </c>
      <c r="R109" s="1">
        <v>1</v>
      </c>
      <c r="S109" s="14"/>
      <c r="U109" s="7" t="s">
        <v>146</v>
      </c>
      <c r="V109" s="7" t="s">
        <v>147</v>
      </c>
      <c r="W109" s="7" t="s">
        <v>148</v>
      </c>
      <c r="X109" s="7" t="s">
        <v>149</v>
      </c>
      <c r="Y109" s="7" t="s">
        <v>150</v>
      </c>
      <c r="Z109" s="8" t="s">
        <v>151</v>
      </c>
      <c r="AA109" s="7" t="s">
        <v>152</v>
      </c>
      <c r="AB109" s="7" t="s">
        <v>153</v>
      </c>
      <c r="AC109" s="7" t="s">
        <v>154</v>
      </c>
      <c r="AD109" s="7" t="s">
        <v>155</v>
      </c>
      <c r="AE109" s="8" t="s">
        <v>156</v>
      </c>
      <c r="AF109" s="7" t="s">
        <v>157</v>
      </c>
      <c r="AH109" s="7" t="s">
        <v>146</v>
      </c>
      <c r="AI109" s="7" t="s">
        <v>147</v>
      </c>
      <c r="AJ109" s="7" t="s">
        <v>158</v>
      </c>
      <c r="AK109" s="7" t="s">
        <v>159</v>
      </c>
      <c r="AL109" s="7" t="s">
        <v>160</v>
      </c>
      <c r="AM109" s="7" t="s">
        <v>161</v>
      </c>
      <c r="AN109" s="7" t="s">
        <v>162</v>
      </c>
      <c r="AO109" s="7" t="s">
        <v>163</v>
      </c>
      <c r="AP109" s="7" t="s">
        <v>164</v>
      </c>
      <c r="AR109" s="7" t="s">
        <v>146</v>
      </c>
      <c r="AS109" s="7" t="s">
        <v>147</v>
      </c>
      <c r="AT109" s="7" t="s">
        <v>165</v>
      </c>
      <c r="AU109" s="7" t="s">
        <v>166</v>
      </c>
      <c r="AV109" s="7" t="s">
        <v>167</v>
      </c>
      <c r="AW109" s="7" t="s">
        <v>168</v>
      </c>
      <c r="AX109" s="14"/>
    </row>
    <row r="110" spans="1:50" ht="23.5" customHeight="1" thickTop="1" thickBot="1" x14ac:dyDescent="0.35">
      <c r="A110" s="63"/>
      <c r="B110" s="76"/>
      <c r="C110" s="25"/>
      <c r="D110" s="86"/>
      <c r="E110" s="1" t="s">
        <v>151</v>
      </c>
      <c r="F110" s="36">
        <v>2</v>
      </c>
      <c r="G110" s="86"/>
      <c r="H110" s="36" t="s">
        <v>199</v>
      </c>
      <c r="I110" s="36">
        <v>2</v>
      </c>
      <c r="J110" s="87"/>
      <c r="K110" s="38" t="s">
        <v>168</v>
      </c>
      <c r="L110" s="38">
        <v>1</v>
      </c>
      <c r="M110" s="18"/>
      <c r="O110" s="1">
        <v>3</v>
      </c>
      <c r="P110" s="1">
        <v>0</v>
      </c>
      <c r="Q110" s="1">
        <v>1</v>
      </c>
      <c r="R110" s="1">
        <v>1</v>
      </c>
      <c r="S110" s="14"/>
      <c r="U110" s="9" t="s">
        <v>171</v>
      </c>
      <c r="V110" s="10" t="s">
        <v>172</v>
      </c>
      <c r="W110" s="9">
        <v>8.75</v>
      </c>
      <c r="X110" s="9">
        <v>0.69</v>
      </c>
      <c r="Y110" s="9">
        <v>1.02</v>
      </c>
      <c r="Z110" s="9">
        <v>0.57999999999999996</v>
      </c>
      <c r="AA110" s="9">
        <v>2.5</v>
      </c>
      <c r="AB110" s="9">
        <v>0.82</v>
      </c>
      <c r="AC110" s="9">
        <v>0.99</v>
      </c>
      <c r="AD110" s="9">
        <v>1.05</v>
      </c>
      <c r="AE110" s="9">
        <v>1.1000000000000001</v>
      </c>
      <c r="AF110" s="9">
        <v>2.14</v>
      </c>
      <c r="AH110" s="9" t="s">
        <v>173</v>
      </c>
      <c r="AI110" s="10" t="s">
        <v>174</v>
      </c>
      <c r="AJ110" s="9">
        <v>6.29</v>
      </c>
      <c r="AK110" s="9">
        <v>6.64</v>
      </c>
      <c r="AL110" s="9">
        <v>3</v>
      </c>
      <c r="AM110" s="9">
        <v>6.84</v>
      </c>
      <c r="AN110" s="9">
        <v>1.64</v>
      </c>
      <c r="AO110" s="9">
        <v>7.29</v>
      </c>
      <c r="AP110" s="9">
        <v>5.29</v>
      </c>
      <c r="AR110" s="9" t="s">
        <v>175</v>
      </c>
      <c r="AS110" s="10" t="s">
        <v>176</v>
      </c>
      <c r="AT110" s="9">
        <v>3.15</v>
      </c>
      <c r="AU110" s="9">
        <v>1.21</v>
      </c>
      <c r="AV110" s="9">
        <v>2.25</v>
      </c>
      <c r="AW110" s="9">
        <v>2</v>
      </c>
      <c r="AX110" s="14"/>
    </row>
    <row r="111" spans="1:50" ht="24" customHeight="1" thickTop="1" thickBot="1" x14ac:dyDescent="0.35">
      <c r="A111" s="63"/>
      <c r="B111" s="76"/>
      <c r="C111" s="25"/>
      <c r="D111" s="86"/>
      <c r="E111" s="36" t="s">
        <v>152</v>
      </c>
      <c r="F111" s="36">
        <v>2</v>
      </c>
      <c r="G111" s="86"/>
      <c r="H111" s="36" t="s">
        <v>200</v>
      </c>
      <c r="I111" s="36">
        <v>1</v>
      </c>
      <c r="J111" s="39"/>
      <c r="K111" s="39"/>
      <c r="L111" s="39"/>
      <c r="M111" s="18"/>
      <c r="O111" s="1">
        <v>4</v>
      </c>
      <c r="P111" s="1">
        <v>0</v>
      </c>
      <c r="Q111" s="1">
        <v>2</v>
      </c>
      <c r="R111" s="1">
        <v>0</v>
      </c>
      <c r="S111" s="14"/>
      <c r="U111" s="9" t="s">
        <v>179</v>
      </c>
      <c r="V111" s="10" t="s">
        <v>180</v>
      </c>
      <c r="W111" s="9">
        <v>9.1</v>
      </c>
      <c r="X111" s="9">
        <v>0.85</v>
      </c>
      <c r="Y111" s="9">
        <v>1.25</v>
      </c>
      <c r="Z111" s="9">
        <v>0.72</v>
      </c>
      <c r="AA111" s="9">
        <v>2.91</v>
      </c>
      <c r="AB111" s="9">
        <v>0.88</v>
      </c>
      <c r="AC111" s="9">
        <v>1</v>
      </c>
      <c r="AD111" s="9">
        <v>1.2</v>
      </c>
      <c r="AE111" s="9">
        <v>1.35</v>
      </c>
      <c r="AF111" s="9">
        <v>2.5</v>
      </c>
      <c r="AH111" s="11" t="s">
        <v>181</v>
      </c>
      <c r="AI111" s="12" t="s">
        <v>182</v>
      </c>
      <c r="AJ111" s="11">
        <v>6.86</v>
      </c>
      <c r="AK111" s="11">
        <v>7.35</v>
      </c>
      <c r="AL111" s="11">
        <v>3</v>
      </c>
      <c r="AM111" s="11">
        <v>7.74</v>
      </c>
      <c r="AN111" s="11">
        <v>2.34</v>
      </c>
      <c r="AO111" s="11">
        <v>8.74</v>
      </c>
      <c r="AP111" s="11">
        <v>5.79</v>
      </c>
      <c r="AR111" s="11" t="s">
        <v>183</v>
      </c>
      <c r="AS111" s="12" t="s">
        <v>184</v>
      </c>
      <c r="AT111" s="11">
        <v>2.72</v>
      </c>
      <c r="AU111" s="11">
        <v>1.03</v>
      </c>
      <c r="AV111" s="11">
        <v>2.5499999999999998</v>
      </c>
      <c r="AW111" s="11">
        <v>2</v>
      </c>
      <c r="AX111" s="14"/>
    </row>
    <row r="112" spans="1:50" ht="23.5" customHeight="1" thickTop="1" thickBot="1" x14ac:dyDescent="0.35">
      <c r="A112" s="63"/>
      <c r="B112" s="76"/>
      <c r="C112" s="25"/>
      <c r="D112" s="86"/>
      <c r="E112" s="36" t="s">
        <v>153</v>
      </c>
      <c r="F112" s="36">
        <v>2</v>
      </c>
      <c r="G112" s="86"/>
      <c r="H112" s="36" t="s">
        <v>201</v>
      </c>
      <c r="I112" s="36">
        <v>1</v>
      </c>
      <c r="J112" s="25"/>
      <c r="K112" s="25"/>
      <c r="L112" s="25"/>
      <c r="M112" s="18"/>
      <c r="O112" s="1">
        <v>5</v>
      </c>
      <c r="P112" s="1">
        <v>1</v>
      </c>
      <c r="Q112" s="1">
        <v>1</v>
      </c>
      <c r="R112" s="1">
        <v>1</v>
      </c>
      <c r="S112" s="14"/>
      <c r="U112" s="11" t="s">
        <v>187</v>
      </c>
      <c r="V112" s="12" t="s">
        <v>188</v>
      </c>
      <c r="W112" s="11">
        <v>7.64</v>
      </c>
      <c r="X112" s="11">
        <v>0.78</v>
      </c>
      <c r="Y112" s="11">
        <v>1.1000000000000001</v>
      </c>
      <c r="Z112" s="11">
        <v>0.65</v>
      </c>
      <c r="AA112" s="11">
        <v>2.75</v>
      </c>
      <c r="AB112" s="11">
        <v>0.8</v>
      </c>
      <c r="AC112" s="11">
        <v>0.92</v>
      </c>
      <c r="AD112" s="11">
        <v>1</v>
      </c>
      <c r="AE112" s="11">
        <v>1.05</v>
      </c>
      <c r="AF112" s="11">
        <v>1.5</v>
      </c>
      <c r="AX112" s="14"/>
    </row>
    <row r="113" spans="1:50" ht="23.5" customHeight="1" thickTop="1" thickBot="1" x14ac:dyDescent="0.35">
      <c r="A113" s="63"/>
      <c r="B113" s="76"/>
      <c r="C113" s="25"/>
      <c r="D113" s="86"/>
      <c r="E113" s="1" t="s">
        <v>156</v>
      </c>
      <c r="F113" s="36">
        <v>1</v>
      </c>
      <c r="G113" s="87"/>
      <c r="H113" s="38" t="s">
        <v>164</v>
      </c>
      <c r="I113" s="38">
        <v>1</v>
      </c>
      <c r="J113" s="36"/>
      <c r="K113" s="25"/>
      <c r="L113" s="25"/>
      <c r="M113" s="18"/>
      <c r="O113" s="1">
        <v>6</v>
      </c>
      <c r="P113" s="1">
        <v>2</v>
      </c>
      <c r="Q113" s="1">
        <v>1</v>
      </c>
      <c r="R113" s="1">
        <v>1</v>
      </c>
      <c r="S113" s="14"/>
      <c r="U113" s="9"/>
      <c r="V113" s="10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X113" s="14"/>
    </row>
    <row r="114" spans="1:50" ht="23.5" customHeight="1" thickTop="1" thickBot="1" x14ac:dyDescent="0.35">
      <c r="A114" s="63"/>
      <c r="B114" s="76"/>
      <c r="C114" s="25"/>
      <c r="D114" s="87"/>
      <c r="E114" s="38" t="s">
        <v>197</v>
      </c>
      <c r="F114" s="38">
        <v>1</v>
      </c>
      <c r="G114" s="39"/>
      <c r="H114" s="39"/>
      <c r="I114" s="39"/>
      <c r="J114" s="36"/>
      <c r="K114" s="36"/>
      <c r="L114" s="25"/>
      <c r="M114" s="18"/>
      <c r="O114" s="1">
        <v>7</v>
      </c>
      <c r="P114" s="1">
        <v>1</v>
      </c>
      <c r="Q114" s="1">
        <v>1</v>
      </c>
      <c r="R114" s="1">
        <v>1</v>
      </c>
      <c r="S114" s="14"/>
      <c r="U114" s="9"/>
      <c r="V114" s="10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X114" s="14"/>
    </row>
    <row r="115" spans="1:50" ht="23" customHeight="1" thickTop="1" thickBot="1" x14ac:dyDescent="0.35">
      <c r="A115" s="63"/>
      <c r="B115" s="76"/>
      <c r="C115" s="25"/>
      <c r="D115" s="39"/>
      <c r="E115" s="39"/>
      <c r="F115" s="39"/>
      <c r="G115" s="25"/>
      <c r="H115" s="25"/>
      <c r="I115" s="25"/>
      <c r="J115" s="25"/>
      <c r="K115" s="25"/>
      <c r="L115" s="25"/>
      <c r="M115" s="18"/>
      <c r="O115" s="4">
        <v>8</v>
      </c>
      <c r="P115" s="4">
        <v>2</v>
      </c>
      <c r="Q115" s="4">
        <v>0</v>
      </c>
      <c r="R115" s="4">
        <v>2</v>
      </c>
      <c r="S115" s="14"/>
      <c r="AX115" s="14"/>
    </row>
    <row r="116" spans="1:50" ht="23" customHeight="1" thickTop="1" thickBot="1" x14ac:dyDescent="0.35">
      <c r="A116" s="64"/>
      <c r="B116" s="81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19"/>
      <c r="N116" s="15"/>
      <c r="O116" s="15"/>
      <c r="P116" s="15"/>
      <c r="Q116" s="15"/>
      <c r="R116" s="15"/>
      <c r="S116" s="16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6"/>
    </row>
    <row r="117" spans="1:50" ht="15" customHeight="1" thickTop="1" thickBot="1" x14ac:dyDescent="0.35">
      <c r="A117" s="90">
        <v>2</v>
      </c>
      <c r="B117" s="89" t="s">
        <v>74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17"/>
      <c r="N117" s="24"/>
      <c r="O117" s="24"/>
      <c r="P117" s="24"/>
      <c r="Q117" s="24"/>
      <c r="R117" s="24"/>
      <c r="S117" s="1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17"/>
    </row>
    <row r="118" spans="1:50" ht="31" customHeight="1" thickTop="1" thickBot="1" x14ac:dyDescent="0.35">
      <c r="A118" s="63"/>
      <c r="B118" s="76"/>
      <c r="C118" s="24"/>
      <c r="D118" s="27" t="s">
        <v>191</v>
      </c>
      <c r="E118" s="27" t="s">
        <v>192</v>
      </c>
      <c r="F118" s="27" t="s">
        <v>193</v>
      </c>
      <c r="G118" s="27" t="s">
        <v>191</v>
      </c>
      <c r="H118" s="27" t="s">
        <v>192</v>
      </c>
      <c r="I118" s="27" t="s">
        <v>193</v>
      </c>
      <c r="J118" s="27" t="s">
        <v>191</v>
      </c>
      <c r="K118" s="27" t="s">
        <v>192</v>
      </c>
      <c r="L118" s="27" t="s">
        <v>193</v>
      </c>
      <c r="M118" s="17"/>
      <c r="N118" s="24"/>
      <c r="O118" s="82" t="s">
        <v>205</v>
      </c>
      <c r="P118" s="82" t="s">
        <v>206</v>
      </c>
      <c r="Q118" s="83"/>
      <c r="R118" s="83"/>
      <c r="S118" s="1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17"/>
    </row>
    <row r="119" spans="1:50" ht="23.5" customHeight="1" thickTop="1" thickBot="1" x14ac:dyDescent="0.35">
      <c r="A119" s="63"/>
      <c r="B119" s="76"/>
      <c r="C119" s="33"/>
      <c r="D119" s="88" t="s">
        <v>194</v>
      </c>
      <c r="E119" s="36" t="s">
        <v>148</v>
      </c>
      <c r="F119" s="36">
        <v>5</v>
      </c>
      <c r="G119" s="85" t="s">
        <v>198</v>
      </c>
      <c r="H119" s="36" t="s">
        <v>158</v>
      </c>
      <c r="I119" s="36">
        <v>2</v>
      </c>
      <c r="J119" s="85" t="s">
        <v>202</v>
      </c>
      <c r="K119" s="36" t="s">
        <v>203</v>
      </c>
      <c r="L119" s="36">
        <v>2</v>
      </c>
      <c r="M119" s="18"/>
      <c r="N119" s="13"/>
      <c r="O119" s="84"/>
      <c r="P119" s="2" t="s">
        <v>178</v>
      </c>
      <c r="Q119" s="2" t="s">
        <v>186</v>
      </c>
      <c r="R119" s="2" t="s">
        <v>190</v>
      </c>
      <c r="S119" s="14"/>
      <c r="T119" s="13"/>
      <c r="AX119" s="14"/>
    </row>
    <row r="120" spans="1:50" ht="23" customHeight="1" thickBot="1" x14ac:dyDescent="0.35">
      <c r="A120" s="63"/>
      <c r="B120" s="76"/>
      <c r="C120" s="25"/>
      <c r="D120" s="86"/>
      <c r="E120" s="36" t="s">
        <v>195</v>
      </c>
      <c r="F120" s="36">
        <v>2</v>
      </c>
      <c r="G120" s="86"/>
      <c r="H120" s="36" t="s">
        <v>159</v>
      </c>
      <c r="I120" s="36">
        <v>1</v>
      </c>
      <c r="J120" s="86"/>
      <c r="K120" s="36" t="s">
        <v>166</v>
      </c>
      <c r="L120" s="36">
        <v>2</v>
      </c>
      <c r="M120" s="18"/>
      <c r="O120" s="1">
        <v>1</v>
      </c>
      <c r="P120" s="1">
        <v>1</v>
      </c>
      <c r="Q120" s="1">
        <v>0</v>
      </c>
      <c r="R120" s="1">
        <v>2</v>
      </c>
      <c r="S120" s="14"/>
      <c r="Z120" s="23" t="s">
        <v>194</v>
      </c>
      <c r="AK120" s="23" t="s">
        <v>198</v>
      </c>
      <c r="AT120" s="23" t="s">
        <v>202</v>
      </c>
      <c r="AX120" s="14"/>
    </row>
    <row r="121" spans="1:50" ht="25" customHeight="1" thickTop="1" thickBot="1" x14ac:dyDescent="0.35">
      <c r="A121" s="63"/>
      <c r="B121" s="76"/>
      <c r="C121" s="25"/>
      <c r="D121" s="86"/>
      <c r="E121" s="36" t="s">
        <v>196</v>
      </c>
      <c r="F121" s="36">
        <v>2</v>
      </c>
      <c r="G121" s="86"/>
      <c r="H121" s="36" t="s">
        <v>160</v>
      </c>
      <c r="I121" s="36">
        <v>1</v>
      </c>
      <c r="J121" s="86"/>
      <c r="K121" s="36" t="s">
        <v>167</v>
      </c>
      <c r="L121" s="36">
        <v>1</v>
      </c>
      <c r="M121" s="18"/>
      <c r="O121" s="1">
        <v>2</v>
      </c>
      <c r="P121" s="1">
        <v>2</v>
      </c>
      <c r="Q121" s="1">
        <v>1</v>
      </c>
      <c r="R121" s="1">
        <v>1</v>
      </c>
      <c r="S121" s="14"/>
      <c r="U121" s="7" t="s">
        <v>146</v>
      </c>
      <c r="V121" s="7" t="s">
        <v>147</v>
      </c>
      <c r="W121" s="7" t="s">
        <v>148</v>
      </c>
      <c r="X121" s="7" t="s">
        <v>149</v>
      </c>
      <c r="Y121" s="7" t="s">
        <v>150</v>
      </c>
      <c r="Z121" s="8" t="s">
        <v>151</v>
      </c>
      <c r="AA121" s="7" t="s">
        <v>152</v>
      </c>
      <c r="AB121" s="7" t="s">
        <v>153</v>
      </c>
      <c r="AC121" s="7" t="s">
        <v>154</v>
      </c>
      <c r="AD121" s="7" t="s">
        <v>155</v>
      </c>
      <c r="AE121" s="8" t="s">
        <v>156</v>
      </c>
      <c r="AF121" s="7" t="s">
        <v>157</v>
      </c>
      <c r="AH121" s="7" t="s">
        <v>146</v>
      </c>
      <c r="AI121" s="7" t="s">
        <v>147</v>
      </c>
      <c r="AJ121" s="7" t="s">
        <v>158</v>
      </c>
      <c r="AK121" s="7" t="s">
        <v>159</v>
      </c>
      <c r="AL121" s="7" t="s">
        <v>160</v>
      </c>
      <c r="AM121" s="7" t="s">
        <v>161</v>
      </c>
      <c r="AN121" s="7" t="s">
        <v>162</v>
      </c>
      <c r="AO121" s="7" t="s">
        <v>163</v>
      </c>
      <c r="AP121" s="7" t="s">
        <v>164</v>
      </c>
      <c r="AR121" s="7" t="s">
        <v>146</v>
      </c>
      <c r="AS121" s="7" t="s">
        <v>147</v>
      </c>
      <c r="AT121" s="7" t="s">
        <v>165</v>
      </c>
      <c r="AU121" s="7" t="s">
        <v>166</v>
      </c>
      <c r="AV121" s="7" t="s">
        <v>167</v>
      </c>
      <c r="AW121" s="7" t="s">
        <v>168</v>
      </c>
      <c r="AX121" s="14"/>
    </row>
    <row r="122" spans="1:50" ht="24" customHeight="1" thickTop="1" thickBot="1" x14ac:dyDescent="0.35">
      <c r="A122" s="63"/>
      <c r="B122" s="76"/>
      <c r="C122" s="25"/>
      <c r="D122" s="86"/>
      <c r="E122" s="1" t="s">
        <v>151</v>
      </c>
      <c r="F122" s="36">
        <v>1</v>
      </c>
      <c r="G122" s="86"/>
      <c r="H122" s="36" t="s">
        <v>199</v>
      </c>
      <c r="I122" s="36">
        <v>2</v>
      </c>
      <c r="J122" s="87"/>
      <c r="K122" s="38" t="s">
        <v>168</v>
      </c>
      <c r="L122" s="38">
        <v>1</v>
      </c>
      <c r="M122" s="18"/>
      <c r="O122" s="1">
        <v>3</v>
      </c>
      <c r="P122" s="1">
        <v>0</v>
      </c>
      <c r="Q122" s="1">
        <v>1</v>
      </c>
      <c r="R122" s="1">
        <v>1</v>
      </c>
      <c r="S122" s="14"/>
      <c r="U122" s="9" t="s">
        <v>171</v>
      </c>
      <c r="V122" s="10" t="s">
        <v>172</v>
      </c>
      <c r="W122" s="9">
        <v>8.2100000000000009</v>
      </c>
      <c r="X122" s="9">
        <v>0.9</v>
      </c>
      <c r="Y122" s="9">
        <v>1.08</v>
      </c>
      <c r="Z122" s="9">
        <v>0.75</v>
      </c>
      <c r="AA122" s="9">
        <v>2.5</v>
      </c>
      <c r="AB122" s="9">
        <v>0.87</v>
      </c>
      <c r="AC122" s="9">
        <v>0.95</v>
      </c>
      <c r="AD122" s="9">
        <v>1.18</v>
      </c>
      <c r="AE122" s="9">
        <v>1.2</v>
      </c>
      <c r="AF122" s="9">
        <v>1.93</v>
      </c>
      <c r="AH122" s="9" t="s">
        <v>173</v>
      </c>
      <c r="AI122" s="10" t="s">
        <v>174</v>
      </c>
      <c r="AJ122" s="9">
        <v>6.4</v>
      </c>
      <c r="AK122" s="9">
        <v>6.73</v>
      </c>
      <c r="AL122" s="9">
        <v>3</v>
      </c>
      <c r="AM122" s="9">
        <v>6.37</v>
      </c>
      <c r="AN122" s="9">
        <v>1.98</v>
      </c>
      <c r="AO122" s="9">
        <v>7.4</v>
      </c>
      <c r="AP122" s="9">
        <v>5.3</v>
      </c>
      <c r="AR122" s="9" t="s">
        <v>175</v>
      </c>
      <c r="AS122" s="10" t="s">
        <v>176</v>
      </c>
      <c r="AT122" s="9">
        <v>2.98</v>
      </c>
      <c r="AU122" s="9">
        <v>1.1299999999999999</v>
      </c>
      <c r="AV122" s="9">
        <v>2.8</v>
      </c>
      <c r="AW122" s="9">
        <v>2</v>
      </c>
      <c r="AX122" s="14"/>
    </row>
    <row r="123" spans="1:50" ht="24" customHeight="1" thickTop="1" thickBot="1" x14ac:dyDescent="0.35">
      <c r="A123" s="63"/>
      <c r="B123" s="76"/>
      <c r="C123" s="25"/>
      <c r="D123" s="86"/>
      <c r="E123" s="36" t="s">
        <v>152</v>
      </c>
      <c r="F123" s="36">
        <v>1</v>
      </c>
      <c r="G123" s="86"/>
      <c r="H123" s="36" t="s">
        <v>200</v>
      </c>
      <c r="I123" s="36">
        <v>1</v>
      </c>
      <c r="J123" s="39"/>
      <c r="K123" s="39"/>
      <c r="L123" s="39"/>
      <c r="M123" s="18"/>
      <c r="O123" s="1">
        <v>4</v>
      </c>
      <c r="P123" s="1">
        <v>1</v>
      </c>
      <c r="Q123" s="1">
        <v>1</v>
      </c>
      <c r="R123" s="1">
        <v>1</v>
      </c>
      <c r="S123" s="14"/>
      <c r="U123" s="9" t="s">
        <v>179</v>
      </c>
      <c r="V123" s="10" t="s">
        <v>180</v>
      </c>
      <c r="W123" s="9">
        <v>7.98</v>
      </c>
      <c r="X123" s="9">
        <v>0.67</v>
      </c>
      <c r="Y123" s="9">
        <v>1.2</v>
      </c>
      <c r="Z123" s="9">
        <v>0.61</v>
      </c>
      <c r="AA123" s="9">
        <v>2.87</v>
      </c>
      <c r="AB123" s="9">
        <v>0.83</v>
      </c>
      <c r="AC123" s="9">
        <v>0.98</v>
      </c>
      <c r="AD123" s="9">
        <v>1.03</v>
      </c>
      <c r="AE123" s="9">
        <v>1.32</v>
      </c>
      <c r="AF123" s="9">
        <v>2.27</v>
      </c>
      <c r="AH123" s="11" t="s">
        <v>181</v>
      </c>
      <c r="AI123" s="12" t="s">
        <v>182</v>
      </c>
      <c r="AJ123" s="11">
        <v>6.75</v>
      </c>
      <c r="AK123" s="11">
        <v>7.19</v>
      </c>
      <c r="AL123" s="11">
        <v>3</v>
      </c>
      <c r="AM123" s="11">
        <v>7.45</v>
      </c>
      <c r="AN123" s="11">
        <v>2.29</v>
      </c>
      <c r="AO123" s="11">
        <v>8.4</v>
      </c>
      <c r="AP123" s="11">
        <v>5.6</v>
      </c>
      <c r="AR123" s="11" t="s">
        <v>183</v>
      </c>
      <c r="AS123" s="12" t="s">
        <v>184</v>
      </c>
      <c r="AT123" s="11">
        <v>3.38</v>
      </c>
      <c r="AU123" s="11">
        <v>1.06</v>
      </c>
      <c r="AV123" s="11">
        <v>2.35</v>
      </c>
      <c r="AW123" s="11">
        <v>2</v>
      </c>
      <c r="AX123" s="14"/>
    </row>
    <row r="124" spans="1:50" ht="23.5" customHeight="1" thickTop="1" thickBot="1" x14ac:dyDescent="0.35">
      <c r="A124" s="63"/>
      <c r="B124" s="76"/>
      <c r="C124" s="25"/>
      <c r="D124" s="86"/>
      <c r="E124" s="36" t="s">
        <v>153</v>
      </c>
      <c r="F124" s="36">
        <v>1</v>
      </c>
      <c r="G124" s="86"/>
      <c r="H124" s="36" t="s">
        <v>201</v>
      </c>
      <c r="I124" s="36">
        <v>1</v>
      </c>
      <c r="J124" s="25"/>
      <c r="K124" s="25"/>
      <c r="L124" s="25"/>
      <c r="M124" s="18"/>
      <c r="O124" s="1">
        <v>5</v>
      </c>
      <c r="P124" s="1">
        <v>0</v>
      </c>
      <c r="Q124" s="1">
        <v>1</v>
      </c>
      <c r="R124" s="1">
        <v>0</v>
      </c>
      <c r="S124" s="14"/>
      <c r="U124" s="11" t="s">
        <v>187</v>
      </c>
      <c r="V124" s="12" t="s">
        <v>188</v>
      </c>
      <c r="W124" s="11">
        <v>8.9499999999999993</v>
      </c>
      <c r="X124" s="11">
        <v>0.73</v>
      </c>
      <c r="Y124" s="11">
        <v>1.05</v>
      </c>
      <c r="Z124" s="11">
        <v>0.59</v>
      </c>
      <c r="AA124" s="11">
        <v>2.5</v>
      </c>
      <c r="AB124" s="11">
        <v>0.89</v>
      </c>
      <c r="AC124" s="11">
        <v>0.91</v>
      </c>
      <c r="AD124" s="11">
        <v>1.25</v>
      </c>
      <c r="AE124" s="11">
        <v>1.1499999999999999</v>
      </c>
      <c r="AF124" s="11">
        <v>1.64</v>
      </c>
      <c r="AX124" s="14"/>
    </row>
    <row r="125" spans="1:50" ht="23.5" customHeight="1" thickTop="1" thickBot="1" x14ac:dyDescent="0.35">
      <c r="A125" s="63"/>
      <c r="B125" s="76"/>
      <c r="C125" s="25"/>
      <c r="D125" s="86"/>
      <c r="E125" s="1" t="s">
        <v>156</v>
      </c>
      <c r="F125" s="36">
        <v>1</v>
      </c>
      <c r="G125" s="87"/>
      <c r="H125" s="38" t="s">
        <v>164</v>
      </c>
      <c r="I125" s="38">
        <v>1</v>
      </c>
      <c r="J125" s="36"/>
      <c r="K125" s="25"/>
      <c r="L125" s="25"/>
      <c r="M125" s="18"/>
      <c r="O125" s="4">
        <v>6</v>
      </c>
      <c r="P125" s="4">
        <v>0</v>
      </c>
      <c r="Q125" s="4">
        <v>1</v>
      </c>
      <c r="R125" s="4">
        <v>1</v>
      </c>
      <c r="S125" s="14"/>
      <c r="U125" s="9"/>
      <c r="V125" s="10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X125" s="14"/>
    </row>
    <row r="126" spans="1:50" ht="23.5" customHeight="1" thickTop="1" thickBot="1" x14ac:dyDescent="0.35">
      <c r="A126" s="63"/>
      <c r="B126" s="76"/>
      <c r="C126" s="25"/>
      <c r="D126" s="87"/>
      <c r="E126" s="38" t="s">
        <v>197</v>
      </c>
      <c r="F126" s="38">
        <v>1</v>
      </c>
      <c r="G126" s="39"/>
      <c r="H126" s="39"/>
      <c r="I126" s="39"/>
      <c r="J126" s="36"/>
      <c r="K126" s="36"/>
      <c r="L126" s="25"/>
      <c r="M126" s="18"/>
      <c r="O126" s="1"/>
      <c r="P126" s="1"/>
      <c r="Q126" s="1"/>
      <c r="R126" s="1"/>
      <c r="S126" s="14"/>
      <c r="U126" s="9"/>
      <c r="V126" s="10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X126" s="14"/>
    </row>
    <row r="127" spans="1:50" ht="23" customHeight="1" thickTop="1" x14ac:dyDescent="0.3">
      <c r="A127" s="63"/>
      <c r="B127" s="76"/>
      <c r="C127" s="25"/>
      <c r="D127" s="39"/>
      <c r="E127" s="39"/>
      <c r="F127" s="39"/>
      <c r="G127" s="25"/>
      <c r="H127" s="25"/>
      <c r="I127" s="25"/>
      <c r="J127" s="25"/>
      <c r="K127" s="25"/>
      <c r="L127" s="25"/>
      <c r="M127" s="18"/>
      <c r="S127" s="14"/>
      <c r="AX127" s="14"/>
    </row>
    <row r="128" spans="1:50" ht="23" customHeight="1" thickBot="1" x14ac:dyDescent="0.35">
      <c r="A128" s="63"/>
      <c r="B128" s="81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19"/>
      <c r="N128" s="15"/>
      <c r="O128" s="15"/>
      <c r="P128" s="15"/>
      <c r="Q128" s="15"/>
      <c r="R128" s="15"/>
      <c r="S128" s="16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6"/>
    </row>
    <row r="129" spans="1:50" ht="15" customHeight="1" thickTop="1" thickBot="1" x14ac:dyDescent="0.35">
      <c r="A129" s="63"/>
      <c r="B129" s="89" t="s">
        <v>75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17"/>
      <c r="N129" s="24"/>
      <c r="O129" s="24"/>
      <c r="P129" s="24"/>
      <c r="Q129" s="24"/>
      <c r="R129" s="24"/>
      <c r="S129" s="1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17"/>
    </row>
    <row r="130" spans="1:50" ht="31" customHeight="1" thickTop="1" thickBot="1" x14ac:dyDescent="0.35">
      <c r="A130" s="63"/>
      <c r="B130" s="76"/>
      <c r="C130" s="24"/>
      <c r="D130" s="27" t="s">
        <v>191</v>
      </c>
      <c r="E130" s="27" t="s">
        <v>192</v>
      </c>
      <c r="F130" s="27" t="s">
        <v>193</v>
      </c>
      <c r="G130" s="27" t="s">
        <v>191</v>
      </c>
      <c r="H130" s="27" t="s">
        <v>192</v>
      </c>
      <c r="I130" s="27" t="s">
        <v>193</v>
      </c>
      <c r="J130" s="27" t="s">
        <v>191</v>
      </c>
      <c r="K130" s="27" t="s">
        <v>192</v>
      </c>
      <c r="L130" s="27" t="s">
        <v>193</v>
      </c>
      <c r="M130" s="17"/>
      <c r="N130" s="24"/>
      <c r="O130" s="82" t="s">
        <v>205</v>
      </c>
      <c r="P130" s="82" t="s">
        <v>206</v>
      </c>
      <c r="Q130" s="83"/>
      <c r="R130" s="83"/>
      <c r="S130" s="1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17"/>
    </row>
    <row r="131" spans="1:50" ht="23.5" customHeight="1" thickTop="1" thickBot="1" x14ac:dyDescent="0.35">
      <c r="A131" s="63"/>
      <c r="B131" s="76"/>
      <c r="C131" s="33"/>
      <c r="D131" s="88" t="s">
        <v>194</v>
      </c>
      <c r="E131" s="36" t="s">
        <v>148</v>
      </c>
      <c r="F131" s="36">
        <v>5</v>
      </c>
      <c r="G131" s="85" t="s">
        <v>198</v>
      </c>
      <c r="H131" s="36" t="s">
        <v>158</v>
      </c>
      <c r="I131" s="36">
        <v>2</v>
      </c>
      <c r="J131" s="85" t="s">
        <v>202</v>
      </c>
      <c r="K131" s="36" t="s">
        <v>203</v>
      </c>
      <c r="L131" s="36">
        <v>2</v>
      </c>
      <c r="M131" s="18"/>
      <c r="N131" s="13"/>
      <c r="O131" s="84"/>
      <c r="P131" s="2" t="s">
        <v>178</v>
      </c>
      <c r="Q131" s="2" t="s">
        <v>186</v>
      </c>
      <c r="R131" s="2" t="s">
        <v>190</v>
      </c>
      <c r="S131" s="14"/>
      <c r="T131" s="13"/>
      <c r="AX131" s="14"/>
    </row>
    <row r="132" spans="1:50" ht="23" customHeight="1" thickBot="1" x14ac:dyDescent="0.35">
      <c r="A132" s="63"/>
      <c r="B132" s="76"/>
      <c r="C132" s="25"/>
      <c r="D132" s="86"/>
      <c r="E132" s="36" t="s">
        <v>195</v>
      </c>
      <c r="F132" s="36">
        <v>2</v>
      </c>
      <c r="G132" s="86"/>
      <c r="H132" s="36" t="s">
        <v>159</v>
      </c>
      <c r="I132" s="36">
        <v>1</v>
      </c>
      <c r="J132" s="86"/>
      <c r="K132" s="36" t="s">
        <v>166</v>
      </c>
      <c r="L132" s="36">
        <v>2</v>
      </c>
      <c r="M132" s="18"/>
      <c r="O132" s="1">
        <v>1</v>
      </c>
      <c r="P132" s="1">
        <v>0</v>
      </c>
      <c r="Q132" s="1">
        <v>0</v>
      </c>
      <c r="R132" s="1">
        <v>1</v>
      </c>
      <c r="S132" s="14"/>
      <c r="Z132" s="23" t="s">
        <v>194</v>
      </c>
      <c r="AK132" s="23" t="s">
        <v>198</v>
      </c>
      <c r="AT132" s="23" t="s">
        <v>202</v>
      </c>
      <c r="AX132" s="14"/>
    </row>
    <row r="133" spans="1:50" ht="25" customHeight="1" thickTop="1" thickBot="1" x14ac:dyDescent="0.35">
      <c r="A133" s="63"/>
      <c r="B133" s="76"/>
      <c r="C133" s="25"/>
      <c r="D133" s="86"/>
      <c r="E133" s="36" t="s">
        <v>196</v>
      </c>
      <c r="F133" s="36">
        <v>2</v>
      </c>
      <c r="G133" s="86"/>
      <c r="H133" s="36" t="s">
        <v>159</v>
      </c>
      <c r="I133" s="36">
        <v>1</v>
      </c>
      <c r="J133" s="86"/>
      <c r="K133" s="36" t="s">
        <v>167</v>
      </c>
      <c r="L133" s="36">
        <v>1</v>
      </c>
      <c r="M133" s="18"/>
      <c r="O133" s="1">
        <v>2</v>
      </c>
      <c r="P133" s="1">
        <v>2</v>
      </c>
      <c r="Q133" s="1">
        <v>1</v>
      </c>
      <c r="R133" s="1">
        <v>1</v>
      </c>
      <c r="S133" s="14"/>
      <c r="U133" s="7" t="s">
        <v>146</v>
      </c>
      <c r="V133" s="7" t="s">
        <v>147</v>
      </c>
      <c r="W133" s="7" t="s">
        <v>148</v>
      </c>
      <c r="X133" s="7" t="s">
        <v>149</v>
      </c>
      <c r="Y133" s="7" t="s">
        <v>150</v>
      </c>
      <c r="Z133" s="8" t="s">
        <v>151</v>
      </c>
      <c r="AA133" s="7" t="s">
        <v>152</v>
      </c>
      <c r="AB133" s="7" t="s">
        <v>153</v>
      </c>
      <c r="AC133" s="7" t="s">
        <v>154</v>
      </c>
      <c r="AD133" s="7" t="s">
        <v>155</v>
      </c>
      <c r="AE133" s="8" t="s">
        <v>156</v>
      </c>
      <c r="AF133" s="7" t="s">
        <v>157</v>
      </c>
      <c r="AH133" s="7" t="s">
        <v>146</v>
      </c>
      <c r="AI133" s="7" t="s">
        <v>147</v>
      </c>
      <c r="AJ133" s="7" t="s">
        <v>158</v>
      </c>
      <c r="AK133" s="7" t="s">
        <v>159</v>
      </c>
      <c r="AL133" s="7" t="s">
        <v>160</v>
      </c>
      <c r="AM133" s="7" t="s">
        <v>161</v>
      </c>
      <c r="AN133" s="7" t="s">
        <v>162</v>
      </c>
      <c r="AO133" s="7" t="s">
        <v>163</v>
      </c>
      <c r="AP133" s="7" t="s">
        <v>164</v>
      </c>
      <c r="AR133" s="7" t="s">
        <v>146</v>
      </c>
      <c r="AS133" s="7" t="s">
        <v>147</v>
      </c>
      <c r="AT133" s="7" t="s">
        <v>165</v>
      </c>
      <c r="AU133" s="7" t="s">
        <v>166</v>
      </c>
      <c r="AV133" s="7" t="s">
        <v>167</v>
      </c>
      <c r="AW133" s="7" t="s">
        <v>168</v>
      </c>
      <c r="AX133" s="14"/>
    </row>
    <row r="134" spans="1:50" ht="24" customHeight="1" thickTop="1" thickBot="1" x14ac:dyDescent="0.35">
      <c r="A134" s="63"/>
      <c r="B134" s="76"/>
      <c r="C134" s="25"/>
      <c r="D134" s="86"/>
      <c r="E134" s="1" t="s">
        <v>151</v>
      </c>
      <c r="F134" s="36">
        <v>1</v>
      </c>
      <c r="G134" s="86"/>
      <c r="H134" s="36" t="s">
        <v>199</v>
      </c>
      <c r="I134" s="36">
        <v>2</v>
      </c>
      <c r="J134" s="87"/>
      <c r="K134" s="38" t="s">
        <v>168</v>
      </c>
      <c r="L134" s="38">
        <v>1</v>
      </c>
      <c r="M134" s="18"/>
      <c r="O134" s="1">
        <v>3</v>
      </c>
      <c r="P134" s="1">
        <v>0</v>
      </c>
      <c r="Q134" s="1">
        <v>1</v>
      </c>
      <c r="R134" s="1">
        <v>1</v>
      </c>
      <c r="S134" s="14"/>
      <c r="U134" s="9" t="s">
        <v>171</v>
      </c>
      <c r="V134" s="10" t="s">
        <v>172</v>
      </c>
      <c r="W134" s="9">
        <v>7.56</v>
      </c>
      <c r="X134" s="9">
        <v>0.72</v>
      </c>
      <c r="Y134" s="9">
        <v>1.1000000000000001</v>
      </c>
      <c r="Z134" s="9">
        <v>0.63</v>
      </c>
      <c r="AA134" s="9">
        <v>2.67</v>
      </c>
      <c r="AB134" s="9">
        <v>0.84</v>
      </c>
      <c r="AC134" s="9">
        <v>0.93</v>
      </c>
      <c r="AD134" s="9">
        <v>1.1200000000000001</v>
      </c>
      <c r="AE134" s="9">
        <v>1.25</v>
      </c>
      <c r="AF134" s="9">
        <v>1.89</v>
      </c>
      <c r="AH134" s="9" t="s">
        <v>173</v>
      </c>
      <c r="AI134" s="10" t="s">
        <v>174</v>
      </c>
      <c r="AJ134" s="9">
        <v>6.92</v>
      </c>
      <c r="AK134" s="9">
        <v>7.46</v>
      </c>
      <c r="AL134" s="9">
        <v>3</v>
      </c>
      <c r="AM134" s="9">
        <v>7.85</v>
      </c>
      <c r="AN134" s="9">
        <v>2.46</v>
      </c>
      <c r="AO134" s="9">
        <v>8.92</v>
      </c>
      <c r="AP134" s="9">
        <v>5.92</v>
      </c>
      <c r="AR134" s="9" t="s">
        <v>175</v>
      </c>
      <c r="AS134" s="10" t="s">
        <v>176</v>
      </c>
      <c r="AT134" s="9">
        <v>2.67</v>
      </c>
      <c r="AU134" s="9">
        <v>1.1599999999999999</v>
      </c>
      <c r="AV134" s="9">
        <v>2.1800000000000002</v>
      </c>
      <c r="AW134" s="9">
        <v>2</v>
      </c>
      <c r="AX134" s="14"/>
    </row>
    <row r="135" spans="1:50" ht="24" customHeight="1" thickTop="1" thickBot="1" x14ac:dyDescent="0.35">
      <c r="A135" s="63"/>
      <c r="B135" s="76"/>
      <c r="C135" s="25"/>
      <c r="D135" s="86"/>
      <c r="E135" s="36" t="s">
        <v>152</v>
      </c>
      <c r="F135" s="36">
        <v>1</v>
      </c>
      <c r="G135" s="86"/>
      <c r="H135" s="36" t="s">
        <v>200</v>
      </c>
      <c r="I135" s="36">
        <v>1</v>
      </c>
      <c r="J135" s="39"/>
      <c r="K135" s="39"/>
      <c r="L135" s="39"/>
      <c r="M135" s="18"/>
      <c r="O135" s="1">
        <v>4</v>
      </c>
      <c r="P135" s="1">
        <v>2</v>
      </c>
      <c r="Q135" s="1">
        <v>0</v>
      </c>
      <c r="R135" s="1">
        <v>0</v>
      </c>
      <c r="S135" s="14"/>
      <c r="U135" s="9" t="s">
        <v>179</v>
      </c>
      <c r="V135" s="10" t="s">
        <v>180</v>
      </c>
      <c r="W135" s="9">
        <v>8.32</v>
      </c>
      <c r="X135" s="9">
        <v>0.68</v>
      </c>
      <c r="Y135" s="9">
        <v>1.05</v>
      </c>
      <c r="Z135" s="9">
        <v>0.75</v>
      </c>
      <c r="AA135" s="9">
        <v>2.5</v>
      </c>
      <c r="AB135" s="9">
        <v>0.81</v>
      </c>
      <c r="AC135" s="9">
        <v>0.98</v>
      </c>
      <c r="AD135" s="9">
        <v>1</v>
      </c>
      <c r="AE135" s="9">
        <v>1.3</v>
      </c>
      <c r="AF135" s="9">
        <v>2.1</v>
      </c>
      <c r="AH135" s="11" t="s">
        <v>181</v>
      </c>
      <c r="AI135" s="12" t="s">
        <v>182</v>
      </c>
      <c r="AJ135" s="11">
        <v>6.05</v>
      </c>
      <c r="AK135" s="11">
        <v>6.52</v>
      </c>
      <c r="AL135" s="11">
        <v>3</v>
      </c>
      <c r="AM135" s="11">
        <v>6.01</v>
      </c>
      <c r="AN135" s="11">
        <v>1.52</v>
      </c>
      <c r="AO135" s="11">
        <v>7.01</v>
      </c>
      <c r="AP135" s="11">
        <v>5.01</v>
      </c>
      <c r="AR135" s="11" t="s">
        <v>183</v>
      </c>
      <c r="AS135" s="12" t="s">
        <v>184</v>
      </c>
      <c r="AT135" s="11">
        <v>3.42</v>
      </c>
      <c r="AU135" s="11">
        <v>1.04</v>
      </c>
      <c r="AV135" s="11">
        <v>2.75</v>
      </c>
      <c r="AW135" s="11">
        <v>2</v>
      </c>
      <c r="AX135" s="14"/>
    </row>
    <row r="136" spans="1:50" ht="23.5" customHeight="1" thickTop="1" thickBot="1" x14ac:dyDescent="0.35">
      <c r="A136" s="63"/>
      <c r="B136" s="76"/>
      <c r="C136" s="25"/>
      <c r="D136" s="86"/>
      <c r="E136" s="36" t="s">
        <v>153</v>
      </c>
      <c r="F136" s="36">
        <v>1</v>
      </c>
      <c r="G136" s="86"/>
      <c r="H136" s="36" t="s">
        <v>201</v>
      </c>
      <c r="I136" s="36">
        <v>1</v>
      </c>
      <c r="J136" s="25"/>
      <c r="K136" s="25"/>
      <c r="L136" s="25"/>
      <c r="M136" s="18"/>
      <c r="O136" s="1">
        <v>5</v>
      </c>
      <c r="P136" s="1">
        <v>0</v>
      </c>
      <c r="Q136" s="1">
        <v>1</v>
      </c>
      <c r="R136" s="1">
        <v>1</v>
      </c>
      <c r="S136" s="14"/>
      <c r="U136" s="11" t="s">
        <v>187</v>
      </c>
      <c r="V136" s="12" t="s">
        <v>188</v>
      </c>
      <c r="W136" s="11">
        <v>9.15</v>
      </c>
      <c r="X136" s="11">
        <v>0.85</v>
      </c>
      <c r="Y136" s="11">
        <v>1.25</v>
      </c>
      <c r="Z136" s="11">
        <v>0.57999999999999996</v>
      </c>
      <c r="AA136" s="11">
        <v>2.92</v>
      </c>
      <c r="AB136" s="11">
        <v>0.88</v>
      </c>
      <c r="AC136" s="11">
        <v>1</v>
      </c>
      <c r="AD136" s="11">
        <v>1.2</v>
      </c>
      <c r="AE136" s="11">
        <v>1.4</v>
      </c>
      <c r="AF136" s="11">
        <v>2.4500000000000002</v>
      </c>
      <c r="AX136" s="14"/>
    </row>
    <row r="137" spans="1:50" ht="23.5" customHeight="1" thickTop="1" thickBot="1" x14ac:dyDescent="0.35">
      <c r="A137" s="63"/>
      <c r="B137" s="76"/>
      <c r="C137" s="25"/>
      <c r="D137" s="86"/>
      <c r="E137" s="1" t="s">
        <v>156</v>
      </c>
      <c r="F137" s="36">
        <v>1</v>
      </c>
      <c r="G137" s="87"/>
      <c r="H137" s="38" t="s">
        <v>164</v>
      </c>
      <c r="I137" s="38">
        <v>1</v>
      </c>
      <c r="J137" s="36"/>
      <c r="K137" s="25"/>
      <c r="L137" s="25"/>
      <c r="M137" s="18"/>
      <c r="O137" s="4">
        <v>6</v>
      </c>
      <c r="P137" s="4">
        <v>2</v>
      </c>
      <c r="Q137" s="4">
        <v>2</v>
      </c>
      <c r="R137" s="4">
        <v>2</v>
      </c>
      <c r="S137" s="14"/>
      <c r="U137" s="9"/>
      <c r="V137" s="10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X137" s="14"/>
    </row>
    <row r="138" spans="1:50" ht="23.5" customHeight="1" thickTop="1" thickBot="1" x14ac:dyDescent="0.35">
      <c r="A138" s="63"/>
      <c r="B138" s="76"/>
      <c r="C138" s="25"/>
      <c r="D138" s="87"/>
      <c r="E138" s="38" t="s">
        <v>197</v>
      </c>
      <c r="F138" s="38">
        <v>1</v>
      </c>
      <c r="G138" s="39"/>
      <c r="H138" s="39"/>
      <c r="I138" s="39"/>
      <c r="J138" s="36"/>
      <c r="K138" s="36"/>
      <c r="L138" s="25"/>
      <c r="M138" s="18"/>
      <c r="O138" s="1"/>
      <c r="P138" s="1"/>
      <c r="Q138" s="1"/>
      <c r="R138" s="1"/>
      <c r="S138" s="14"/>
      <c r="U138" s="9"/>
      <c r="V138" s="10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X138" s="14"/>
    </row>
    <row r="139" spans="1:50" ht="23" customHeight="1" thickTop="1" x14ac:dyDescent="0.3">
      <c r="A139" s="63"/>
      <c r="B139" s="76"/>
      <c r="C139" s="25"/>
      <c r="D139" s="39"/>
      <c r="E139" s="39"/>
      <c r="F139" s="39"/>
      <c r="G139" s="25"/>
      <c r="H139" s="25"/>
      <c r="I139" s="25"/>
      <c r="J139" s="25"/>
      <c r="K139" s="25"/>
      <c r="L139" s="25"/>
      <c r="M139" s="18"/>
      <c r="O139" s="1"/>
      <c r="P139" s="1"/>
      <c r="Q139" s="1"/>
      <c r="R139" s="1"/>
      <c r="S139" s="14"/>
      <c r="AX139" s="14"/>
    </row>
    <row r="140" spans="1:50" ht="23" customHeight="1" thickBot="1" x14ac:dyDescent="0.35">
      <c r="A140" s="63"/>
      <c r="B140" s="81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19"/>
      <c r="N140" s="15"/>
      <c r="O140" s="15"/>
      <c r="P140" s="15"/>
      <c r="Q140" s="15"/>
      <c r="R140" s="15"/>
      <c r="S140" s="16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6"/>
    </row>
    <row r="141" spans="1:50" ht="15" customHeight="1" thickTop="1" thickBot="1" x14ac:dyDescent="0.35">
      <c r="A141" s="63"/>
      <c r="B141" s="89" t="s">
        <v>76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17"/>
      <c r="N141" s="24"/>
      <c r="O141" s="24"/>
      <c r="P141" s="24"/>
      <c r="Q141" s="24"/>
      <c r="R141" s="24"/>
      <c r="S141" s="1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17"/>
    </row>
    <row r="142" spans="1:50" ht="31" customHeight="1" thickTop="1" thickBot="1" x14ac:dyDescent="0.35">
      <c r="A142" s="63"/>
      <c r="B142" s="76"/>
      <c r="C142" s="24"/>
      <c r="D142" s="27" t="s">
        <v>191</v>
      </c>
      <c r="E142" s="27" t="s">
        <v>192</v>
      </c>
      <c r="F142" s="27" t="s">
        <v>193</v>
      </c>
      <c r="G142" s="27" t="s">
        <v>191</v>
      </c>
      <c r="H142" s="27" t="s">
        <v>192</v>
      </c>
      <c r="I142" s="27" t="s">
        <v>193</v>
      </c>
      <c r="J142" s="27" t="s">
        <v>191</v>
      </c>
      <c r="K142" s="27" t="s">
        <v>192</v>
      </c>
      <c r="L142" s="27" t="s">
        <v>193</v>
      </c>
      <c r="M142" s="17"/>
      <c r="N142" s="24"/>
      <c r="O142" s="82" t="s">
        <v>205</v>
      </c>
      <c r="P142" s="82" t="s">
        <v>206</v>
      </c>
      <c r="Q142" s="83"/>
      <c r="R142" s="83"/>
      <c r="S142" s="1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17"/>
    </row>
    <row r="143" spans="1:50" ht="23.5" customHeight="1" thickTop="1" thickBot="1" x14ac:dyDescent="0.35">
      <c r="A143" s="63"/>
      <c r="B143" s="76"/>
      <c r="C143" s="33"/>
      <c r="D143" s="88" t="s">
        <v>194</v>
      </c>
      <c r="E143" s="36" t="s">
        <v>148</v>
      </c>
      <c r="F143" s="36">
        <v>5</v>
      </c>
      <c r="G143" s="85" t="s">
        <v>198</v>
      </c>
      <c r="H143" s="36" t="s">
        <v>158</v>
      </c>
      <c r="I143" s="36">
        <v>2</v>
      </c>
      <c r="J143" s="85" t="s">
        <v>202</v>
      </c>
      <c r="K143" s="36" t="s">
        <v>203</v>
      </c>
      <c r="L143" s="36">
        <v>2</v>
      </c>
      <c r="M143" s="18"/>
      <c r="N143" s="13"/>
      <c r="O143" s="84"/>
      <c r="P143" s="2" t="s">
        <v>178</v>
      </c>
      <c r="Q143" s="2" t="s">
        <v>186</v>
      </c>
      <c r="R143" s="2" t="s">
        <v>190</v>
      </c>
      <c r="S143" s="14"/>
      <c r="T143" s="13"/>
      <c r="AX143" s="14"/>
    </row>
    <row r="144" spans="1:50" ht="23" customHeight="1" thickBot="1" x14ac:dyDescent="0.35">
      <c r="A144" s="63"/>
      <c r="B144" s="76"/>
      <c r="C144" s="25"/>
      <c r="D144" s="86"/>
      <c r="E144" s="36" t="s">
        <v>195</v>
      </c>
      <c r="F144" s="36">
        <v>2</v>
      </c>
      <c r="G144" s="86"/>
      <c r="H144" s="36" t="s">
        <v>159</v>
      </c>
      <c r="I144" s="36">
        <v>1</v>
      </c>
      <c r="J144" s="86"/>
      <c r="K144" s="36" t="s">
        <v>166</v>
      </c>
      <c r="L144" s="36">
        <v>2</v>
      </c>
      <c r="M144" s="18"/>
      <c r="O144" s="1">
        <v>1</v>
      </c>
      <c r="P144" s="1">
        <v>3</v>
      </c>
      <c r="Q144" s="1">
        <v>1</v>
      </c>
      <c r="R144" s="1">
        <v>0</v>
      </c>
      <c r="S144" s="14"/>
      <c r="Z144" s="23" t="s">
        <v>194</v>
      </c>
      <c r="AK144" s="23" t="s">
        <v>198</v>
      </c>
      <c r="AT144" s="23" t="s">
        <v>202</v>
      </c>
      <c r="AX144" s="14"/>
    </row>
    <row r="145" spans="1:50" ht="25" customHeight="1" thickTop="1" thickBot="1" x14ac:dyDescent="0.35">
      <c r="A145" s="63"/>
      <c r="B145" s="76"/>
      <c r="C145" s="25"/>
      <c r="D145" s="86"/>
      <c r="E145" s="36" t="s">
        <v>196</v>
      </c>
      <c r="F145" s="36">
        <v>2</v>
      </c>
      <c r="G145" s="86"/>
      <c r="H145" s="36" t="s">
        <v>160</v>
      </c>
      <c r="I145" s="36">
        <v>1</v>
      </c>
      <c r="J145" s="86"/>
      <c r="K145" s="36" t="s">
        <v>167</v>
      </c>
      <c r="L145" s="36">
        <v>1</v>
      </c>
      <c r="M145" s="18"/>
      <c r="O145" s="1">
        <v>2</v>
      </c>
      <c r="P145" s="1">
        <v>0</v>
      </c>
      <c r="Q145" s="1">
        <v>2</v>
      </c>
      <c r="R145" s="1">
        <v>1</v>
      </c>
      <c r="S145" s="14"/>
      <c r="U145" s="7" t="s">
        <v>146</v>
      </c>
      <c r="V145" s="7" t="s">
        <v>147</v>
      </c>
      <c r="W145" s="7" t="s">
        <v>148</v>
      </c>
      <c r="X145" s="7" t="s">
        <v>149</v>
      </c>
      <c r="Y145" s="7" t="s">
        <v>150</v>
      </c>
      <c r="Z145" s="8" t="s">
        <v>151</v>
      </c>
      <c r="AA145" s="7" t="s">
        <v>152</v>
      </c>
      <c r="AB145" s="7" t="s">
        <v>153</v>
      </c>
      <c r="AC145" s="7" t="s">
        <v>154</v>
      </c>
      <c r="AD145" s="7" t="s">
        <v>155</v>
      </c>
      <c r="AE145" s="8" t="s">
        <v>156</v>
      </c>
      <c r="AF145" s="7" t="s">
        <v>157</v>
      </c>
      <c r="AH145" s="7" t="s">
        <v>146</v>
      </c>
      <c r="AI145" s="7" t="s">
        <v>147</v>
      </c>
      <c r="AJ145" s="7" t="s">
        <v>158</v>
      </c>
      <c r="AK145" s="7" t="s">
        <v>159</v>
      </c>
      <c r="AL145" s="7" t="s">
        <v>160</v>
      </c>
      <c r="AM145" s="7" t="s">
        <v>161</v>
      </c>
      <c r="AN145" s="7" t="s">
        <v>162</v>
      </c>
      <c r="AO145" s="7" t="s">
        <v>163</v>
      </c>
      <c r="AP145" s="7" t="s">
        <v>164</v>
      </c>
      <c r="AR145" s="7" t="s">
        <v>146</v>
      </c>
      <c r="AS145" s="7" t="s">
        <v>147</v>
      </c>
      <c r="AT145" s="7" t="s">
        <v>165</v>
      </c>
      <c r="AU145" s="7" t="s">
        <v>166</v>
      </c>
      <c r="AV145" s="7" t="s">
        <v>167</v>
      </c>
      <c r="AW145" s="7" t="s">
        <v>168</v>
      </c>
      <c r="AX145" s="14"/>
    </row>
    <row r="146" spans="1:50" ht="24" customHeight="1" thickTop="1" thickBot="1" x14ac:dyDescent="0.35">
      <c r="A146" s="63"/>
      <c r="B146" s="76"/>
      <c r="C146" s="25"/>
      <c r="D146" s="86"/>
      <c r="E146" s="1" t="s">
        <v>151</v>
      </c>
      <c r="F146" s="36">
        <v>2</v>
      </c>
      <c r="G146" s="86"/>
      <c r="H146" s="36" t="s">
        <v>199</v>
      </c>
      <c r="I146" s="36">
        <v>2</v>
      </c>
      <c r="J146" s="87"/>
      <c r="K146" s="38" t="s">
        <v>168</v>
      </c>
      <c r="L146" s="38">
        <v>1</v>
      </c>
      <c r="M146" s="18"/>
      <c r="O146" s="1">
        <v>3</v>
      </c>
      <c r="P146" s="1">
        <v>1</v>
      </c>
      <c r="Q146" s="1">
        <v>1</v>
      </c>
      <c r="R146" s="1">
        <v>1</v>
      </c>
      <c r="S146" s="14"/>
      <c r="U146" s="9" t="s">
        <v>171</v>
      </c>
      <c r="V146" s="10" t="s">
        <v>172</v>
      </c>
      <c r="W146" s="9">
        <v>7.12</v>
      </c>
      <c r="X146" s="9">
        <v>0.82</v>
      </c>
      <c r="Y146" s="9">
        <v>1.18</v>
      </c>
      <c r="Z146" s="9">
        <v>0.7</v>
      </c>
      <c r="AA146" s="9">
        <v>2.69</v>
      </c>
      <c r="AB146" s="9">
        <v>0.81</v>
      </c>
      <c r="AC146" s="9">
        <v>0.96</v>
      </c>
      <c r="AD146" s="9">
        <v>1.1000000000000001</v>
      </c>
      <c r="AE146" s="9">
        <v>1.4</v>
      </c>
      <c r="AF146" s="9">
        <v>2.4</v>
      </c>
      <c r="AH146" s="9" t="s">
        <v>173</v>
      </c>
      <c r="AI146" s="10" t="s">
        <v>174</v>
      </c>
      <c r="AJ146" s="9">
        <v>6.37</v>
      </c>
      <c r="AK146" s="9">
        <v>6.74</v>
      </c>
      <c r="AL146" s="9">
        <v>3</v>
      </c>
      <c r="AM146" s="9">
        <v>6.86</v>
      </c>
      <c r="AN146" s="9">
        <v>1.74</v>
      </c>
      <c r="AO146" s="9">
        <v>7.22</v>
      </c>
      <c r="AP146" s="9">
        <v>5.36</v>
      </c>
      <c r="AR146" s="9" t="s">
        <v>175</v>
      </c>
      <c r="AS146" s="10" t="s">
        <v>176</v>
      </c>
      <c r="AT146" s="9">
        <v>3.05</v>
      </c>
      <c r="AU146" s="9">
        <v>1.23</v>
      </c>
      <c r="AV146" s="9">
        <v>2.6</v>
      </c>
      <c r="AW146" s="9">
        <v>2</v>
      </c>
      <c r="AX146" s="14"/>
    </row>
    <row r="147" spans="1:50" ht="24" customHeight="1" thickTop="1" thickBot="1" x14ac:dyDescent="0.35">
      <c r="A147" s="63"/>
      <c r="B147" s="76"/>
      <c r="C147" s="25"/>
      <c r="D147" s="86"/>
      <c r="E147" s="36" t="s">
        <v>152</v>
      </c>
      <c r="F147" s="36">
        <v>1</v>
      </c>
      <c r="G147" s="86"/>
      <c r="H147" s="36" t="s">
        <v>200</v>
      </c>
      <c r="I147" s="36">
        <v>1</v>
      </c>
      <c r="J147" s="39"/>
      <c r="K147" s="39"/>
      <c r="L147" s="39"/>
      <c r="M147" s="18"/>
      <c r="O147" s="1">
        <v>4</v>
      </c>
      <c r="P147" s="1">
        <v>0</v>
      </c>
      <c r="Q147" s="1">
        <v>0</v>
      </c>
      <c r="R147" s="1">
        <v>1</v>
      </c>
      <c r="S147" s="14"/>
      <c r="U147" s="9" t="s">
        <v>179</v>
      </c>
      <c r="V147" s="10" t="s">
        <v>180</v>
      </c>
      <c r="W147" s="9">
        <v>8.56</v>
      </c>
      <c r="X147" s="9">
        <v>0.7</v>
      </c>
      <c r="Y147" s="9">
        <v>1.23</v>
      </c>
      <c r="Z147" s="9">
        <v>0.63</v>
      </c>
      <c r="AA147" s="9">
        <v>2.5</v>
      </c>
      <c r="AB147" s="9">
        <v>0.86</v>
      </c>
      <c r="AC147" s="9">
        <v>0.93</v>
      </c>
      <c r="AD147" s="9">
        <v>1.07</v>
      </c>
      <c r="AE147" s="9">
        <v>1.08</v>
      </c>
      <c r="AF147" s="9">
        <v>1.72</v>
      </c>
      <c r="AH147" s="11" t="s">
        <v>181</v>
      </c>
      <c r="AI147" s="12" t="s">
        <v>182</v>
      </c>
      <c r="AJ147" s="11">
        <v>6.88</v>
      </c>
      <c r="AK147" s="11">
        <v>7.31</v>
      </c>
      <c r="AL147" s="11">
        <v>3</v>
      </c>
      <c r="AM147" s="11">
        <v>7.52</v>
      </c>
      <c r="AN147" s="11">
        <v>2.2400000000000002</v>
      </c>
      <c r="AO147" s="11">
        <v>8.52</v>
      </c>
      <c r="AP147" s="11">
        <v>5.88</v>
      </c>
      <c r="AR147" s="11" t="s">
        <v>183</v>
      </c>
      <c r="AS147" s="12" t="s">
        <v>184</v>
      </c>
      <c r="AT147" s="11">
        <v>2.81</v>
      </c>
      <c r="AU147" s="11">
        <v>1.05</v>
      </c>
      <c r="AV147" s="11">
        <v>2.4500000000000002</v>
      </c>
      <c r="AW147" s="11">
        <v>2</v>
      </c>
      <c r="AX147" s="14"/>
    </row>
    <row r="148" spans="1:50" ht="23.5" customHeight="1" thickTop="1" thickBot="1" x14ac:dyDescent="0.35">
      <c r="A148" s="63"/>
      <c r="B148" s="76"/>
      <c r="C148" s="25"/>
      <c r="D148" s="86"/>
      <c r="E148" s="36" t="s">
        <v>153</v>
      </c>
      <c r="F148" s="36">
        <v>1</v>
      </c>
      <c r="G148" s="86"/>
      <c r="H148" s="36" t="s">
        <v>201</v>
      </c>
      <c r="I148" s="36">
        <v>1</v>
      </c>
      <c r="J148" s="25"/>
      <c r="K148" s="25"/>
      <c r="L148" s="25"/>
      <c r="M148" s="18"/>
      <c r="O148" s="1">
        <v>5</v>
      </c>
      <c r="P148" s="1">
        <v>0</v>
      </c>
      <c r="Q148" s="1">
        <v>1</v>
      </c>
      <c r="R148" s="1">
        <v>1</v>
      </c>
      <c r="S148" s="14"/>
      <c r="U148" s="11" t="s">
        <v>187</v>
      </c>
      <c r="V148" s="12" t="s">
        <v>188</v>
      </c>
      <c r="W148" s="11">
        <v>9.25</v>
      </c>
      <c r="X148" s="11">
        <v>0.88</v>
      </c>
      <c r="Y148" s="11">
        <v>1.01</v>
      </c>
      <c r="Z148" s="11">
        <v>0.66</v>
      </c>
      <c r="AA148" s="11">
        <v>2.99</v>
      </c>
      <c r="AB148" s="11">
        <v>0.84</v>
      </c>
      <c r="AC148" s="11">
        <v>1</v>
      </c>
      <c r="AD148" s="11">
        <v>1.3</v>
      </c>
      <c r="AE148" s="11">
        <v>1.38</v>
      </c>
      <c r="AF148" s="11">
        <v>2.0499999999999998</v>
      </c>
      <c r="AX148" s="14"/>
    </row>
    <row r="149" spans="1:50" ht="23.5" customHeight="1" thickTop="1" thickBot="1" x14ac:dyDescent="0.35">
      <c r="A149" s="63"/>
      <c r="B149" s="76"/>
      <c r="C149" s="25"/>
      <c r="D149" s="86"/>
      <c r="E149" s="1" t="s">
        <v>156</v>
      </c>
      <c r="F149" s="36">
        <v>1</v>
      </c>
      <c r="G149" s="87"/>
      <c r="H149" s="38" t="s">
        <v>164</v>
      </c>
      <c r="I149" s="38">
        <v>1</v>
      </c>
      <c r="J149" s="36"/>
      <c r="K149" s="25"/>
      <c r="L149" s="25"/>
      <c r="M149" s="18"/>
      <c r="O149" s="4">
        <v>6</v>
      </c>
      <c r="P149" s="4">
        <v>1</v>
      </c>
      <c r="Q149" s="4">
        <v>1</v>
      </c>
      <c r="R149" s="4">
        <v>2</v>
      </c>
      <c r="S149" s="14"/>
      <c r="U149" s="9"/>
      <c r="V149" s="10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X149" s="14"/>
    </row>
    <row r="150" spans="1:50" ht="23.5" customHeight="1" thickTop="1" thickBot="1" x14ac:dyDescent="0.35">
      <c r="A150" s="63"/>
      <c r="B150" s="76"/>
      <c r="C150" s="25"/>
      <c r="D150" s="87"/>
      <c r="E150" s="38" t="s">
        <v>197</v>
      </c>
      <c r="F150" s="38">
        <v>1</v>
      </c>
      <c r="G150" s="39"/>
      <c r="H150" s="39"/>
      <c r="I150" s="39"/>
      <c r="J150" s="36"/>
      <c r="K150" s="36"/>
      <c r="L150" s="25"/>
      <c r="M150" s="18"/>
      <c r="O150" s="1"/>
      <c r="P150" s="1"/>
      <c r="Q150" s="1"/>
      <c r="R150" s="1"/>
      <c r="S150" s="14"/>
      <c r="U150" s="9"/>
      <c r="V150" s="10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X150" s="14"/>
    </row>
    <row r="151" spans="1:50" ht="23" customHeight="1" thickTop="1" x14ac:dyDescent="0.3">
      <c r="A151" s="63"/>
      <c r="B151" s="76"/>
      <c r="C151" s="25"/>
      <c r="D151" s="39"/>
      <c r="E151" s="39"/>
      <c r="F151" s="39"/>
      <c r="G151" s="25"/>
      <c r="H151" s="25"/>
      <c r="I151" s="25"/>
      <c r="J151" s="25"/>
      <c r="K151" s="25"/>
      <c r="L151" s="25"/>
      <c r="M151" s="18"/>
      <c r="O151" s="1"/>
      <c r="P151" s="1"/>
      <c r="Q151" s="1"/>
      <c r="R151" s="1"/>
      <c r="S151" s="14"/>
      <c r="AX151" s="14"/>
    </row>
    <row r="152" spans="1:50" ht="23" customHeight="1" thickBot="1" x14ac:dyDescent="0.35">
      <c r="A152" s="63"/>
      <c r="B152" s="81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19"/>
      <c r="N152" s="15"/>
      <c r="O152" s="15"/>
      <c r="P152" s="15"/>
      <c r="Q152" s="15"/>
      <c r="R152" s="15"/>
      <c r="S152" s="16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6"/>
    </row>
    <row r="153" spans="1:50" ht="15" customHeight="1" thickTop="1" thickBot="1" x14ac:dyDescent="0.35">
      <c r="A153" s="63"/>
      <c r="B153" s="89" t="s">
        <v>77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17"/>
      <c r="N153" s="24"/>
      <c r="O153" s="24"/>
      <c r="P153" s="24"/>
      <c r="Q153" s="24"/>
      <c r="R153" s="24"/>
      <c r="S153" s="1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17"/>
    </row>
    <row r="154" spans="1:50" ht="31" customHeight="1" thickTop="1" thickBot="1" x14ac:dyDescent="0.35">
      <c r="A154" s="63"/>
      <c r="B154" s="76"/>
      <c r="C154" s="24"/>
      <c r="D154" s="27" t="s">
        <v>191</v>
      </c>
      <c r="E154" s="27" t="s">
        <v>192</v>
      </c>
      <c r="F154" s="27" t="s">
        <v>193</v>
      </c>
      <c r="G154" s="27" t="s">
        <v>191</v>
      </c>
      <c r="H154" s="27" t="s">
        <v>192</v>
      </c>
      <c r="I154" s="27" t="s">
        <v>193</v>
      </c>
      <c r="J154" s="27" t="s">
        <v>191</v>
      </c>
      <c r="K154" s="27" t="s">
        <v>192</v>
      </c>
      <c r="L154" s="27" t="s">
        <v>193</v>
      </c>
      <c r="M154" s="17"/>
      <c r="N154" s="24"/>
      <c r="O154" s="82" t="s">
        <v>205</v>
      </c>
      <c r="P154" s="82" t="s">
        <v>206</v>
      </c>
      <c r="Q154" s="83"/>
      <c r="R154" s="83"/>
      <c r="S154" s="1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17"/>
    </row>
    <row r="155" spans="1:50" ht="23.5" customHeight="1" thickTop="1" thickBot="1" x14ac:dyDescent="0.35">
      <c r="A155" s="63"/>
      <c r="B155" s="76"/>
      <c r="C155" s="33"/>
      <c r="D155" s="88" t="s">
        <v>194</v>
      </c>
      <c r="E155" s="36" t="s">
        <v>148</v>
      </c>
      <c r="F155" s="36">
        <v>5</v>
      </c>
      <c r="G155" s="85" t="s">
        <v>198</v>
      </c>
      <c r="H155" s="36" t="s">
        <v>158</v>
      </c>
      <c r="I155" s="36">
        <v>2</v>
      </c>
      <c r="J155" s="85" t="s">
        <v>202</v>
      </c>
      <c r="K155" s="36" t="s">
        <v>203</v>
      </c>
      <c r="L155" s="36">
        <v>2</v>
      </c>
      <c r="M155" s="18"/>
      <c r="N155" s="13"/>
      <c r="O155" s="84"/>
      <c r="P155" s="2" t="s">
        <v>178</v>
      </c>
      <c r="Q155" s="2" t="s">
        <v>186</v>
      </c>
      <c r="R155" s="2" t="s">
        <v>190</v>
      </c>
      <c r="S155" s="14"/>
      <c r="T155" s="13"/>
      <c r="AX155" s="14"/>
    </row>
    <row r="156" spans="1:50" ht="23" customHeight="1" thickBot="1" x14ac:dyDescent="0.35">
      <c r="A156" s="63"/>
      <c r="B156" s="76"/>
      <c r="C156" s="25"/>
      <c r="D156" s="86"/>
      <c r="E156" s="36" t="s">
        <v>195</v>
      </c>
      <c r="F156" s="36">
        <v>2</v>
      </c>
      <c r="G156" s="86"/>
      <c r="H156" s="36" t="s">
        <v>159</v>
      </c>
      <c r="I156" s="36">
        <v>1</v>
      </c>
      <c r="J156" s="86"/>
      <c r="K156" s="36" t="s">
        <v>166</v>
      </c>
      <c r="L156" s="36">
        <v>2</v>
      </c>
      <c r="M156" s="18"/>
      <c r="O156" s="1">
        <v>1</v>
      </c>
      <c r="P156" s="1">
        <v>1</v>
      </c>
      <c r="Q156" s="1">
        <v>2</v>
      </c>
      <c r="R156" s="1">
        <v>2</v>
      </c>
      <c r="S156" s="14"/>
      <c r="Z156" s="23" t="s">
        <v>194</v>
      </c>
      <c r="AK156" s="23" t="s">
        <v>198</v>
      </c>
      <c r="AT156" s="23" t="s">
        <v>202</v>
      </c>
      <c r="AX156" s="14"/>
    </row>
    <row r="157" spans="1:50" ht="25" customHeight="1" thickTop="1" thickBot="1" x14ac:dyDescent="0.35">
      <c r="A157" s="63"/>
      <c r="B157" s="76"/>
      <c r="C157" s="25"/>
      <c r="D157" s="86"/>
      <c r="E157" s="36" t="s">
        <v>196</v>
      </c>
      <c r="F157" s="36">
        <v>2</v>
      </c>
      <c r="G157" s="86"/>
      <c r="H157" s="36" t="s">
        <v>160</v>
      </c>
      <c r="I157" s="36">
        <v>1</v>
      </c>
      <c r="J157" s="86"/>
      <c r="K157" s="36" t="s">
        <v>167</v>
      </c>
      <c r="L157" s="36">
        <v>1</v>
      </c>
      <c r="M157" s="18"/>
      <c r="O157" s="1">
        <v>2</v>
      </c>
      <c r="P157" s="1">
        <v>0</v>
      </c>
      <c r="Q157" s="1">
        <v>1</v>
      </c>
      <c r="R157" s="1">
        <v>1</v>
      </c>
      <c r="S157" s="14"/>
      <c r="U157" s="7" t="s">
        <v>146</v>
      </c>
      <c r="V157" s="7" t="s">
        <v>147</v>
      </c>
      <c r="W157" s="7" t="s">
        <v>148</v>
      </c>
      <c r="X157" s="7" t="s">
        <v>149</v>
      </c>
      <c r="Y157" s="7" t="s">
        <v>150</v>
      </c>
      <c r="Z157" s="8" t="s">
        <v>151</v>
      </c>
      <c r="AA157" s="7" t="s">
        <v>152</v>
      </c>
      <c r="AB157" s="7" t="s">
        <v>153</v>
      </c>
      <c r="AC157" s="7" t="s">
        <v>154</v>
      </c>
      <c r="AD157" s="7" t="s">
        <v>155</v>
      </c>
      <c r="AE157" s="8" t="s">
        <v>156</v>
      </c>
      <c r="AF157" s="7" t="s">
        <v>157</v>
      </c>
      <c r="AH157" s="7" t="s">
        <v>146</v>
      </c>
      <c r="AI157" s="7" t="s">
        <v>147</v>
      </c>
      <c r="AJ157" s="7" t="s">
        <v>158</v>
      </c>
      <c r="AK157" s="7" t="s">
        <v>159</v>
      </c>
      <c r="AL157" s="7" t="s">
        <v>160</v>
      </c>
      <c r="AM157" s="7" t="s">
        <v>161</v>
      </c>
      <c r="AN157" s="7" t="s">
        <v>162</v>
      </c>
      <c r="AO157" s="7" t="s">
        <v>163</v>
      </c>
      <c r="AP157" s="7" t="s">
        <v>164</v>
      </c>
      <c r="AR157" s="7" t="s">
        <v>146</v>
      </c>
      <c r="AS157" s="7" t="s">
        <v>147</v>
      </c>
      <c r="AT157" s="7" t="s">
        <v>165</v>
      </c>
      <c r="AU157" s="7" t="s">
        <v>166</v>
      </c>
      <c r="AV157" s="7" t="s">
        <v>167</v>
      </c>
      <c r="AW157" s="7" t="s">
        <v>168</v>
      </c>
      <c r="AX157" s="14"/>
    </row>
    <row r="158" spans="1:50" ht="24" customHeight="1" thickTop="1" thickBot="1" x14ac:dyDescent="0.35">
      <c r="A158" s="63"/>
      <c r="B158" s="76"/>
      <c r="C158" s="25"/>
      <c r="D158" s="86"/>
      <c r="E158" s="1" t="s">
        <v>151</v>
      </c>
      <c r="F158" s="36">
        <v>2</v>
      </c>
      <c r="G158" s="86"/>
      <c r="H158" s="36" t="s">
        <v>199</v>
      </c>
      <c r="I158" s="36">
        <v>2</v>
      </c>
      <c r="J158" s="87"/>
      <c r="K158" s="38" t="s">
        <v>168</v>
      </c>
      <c r="L158" s="38">
        <v>1</v>
      </c>
      <c r="M158" s="18"/>
      <c r="O158" s="1">
        <v>3</v>
      </c>
      <c r="P158" s="1">
        <v>2</v>
      </c>
      <c r="Q158" s="1">
        <v>1</v>
      </c>
      <c r="R158" s="1">
        <v>1</v>
      </c>
      <c r="S158" s="14"/>
      <c r="U158" s="9" t="s">
        <v>171</v>
      </c>
      <c r="V158" s="10" t="s">
        <v>172</v>
      </c>
      <c r="W158" s="9">
        <v>7.45</v>
      </c>
      <c r="X158" s="9">
        <v>0.65</v>
      </c>
      <c r="Y158" s="9">
        <v>1.1299999999999999</v>
      </c>
      <c r="Z158" s="9">
        <v>0.75</v>
      </c>
      <c r="AA158" s="9">
        <v>2.5</v>
      </c>
      <c r="AB158" s="9">
        <v>0.85</v>
      </c>
      <c r="AC158" s="9">
        <v>0.94</v>
      </c>
      <c r="AD158" s="9">
        <v>1.1499999999999999</v>
      </c>
      <c r="AE158" s="9">
        <v>1.22</v>
      </c>
      <c r="AF158" s="9">
        <v>1.5</v>
      </c>
      <c r="AH158" s="9" t="s">
        <v>173</v>
      </c>
      <c r="AI158" s="10" t="s">
        <v>174</v>
      </c>
      <c r="AJ158" s="9">
        <v>6.11</v>
      </c>
      <c r="AK158" s="9">
        <v>6.51</v>
      </c>
      <c r="AL158" s="9">
        <v>3</v>
      </c>
      <c r="AM158" s="9">
        <v>6.04</v>
      </c>
      <c r="AN158" s="9">
        <v>1.51</v>
      </c>
      <c r="AO158" s="9">
        <v>7.01</v>
      </c>
      <c r="AP158" s="9">
        <v>5.01</v>
      </c>
      <c r="AR158" s="9" t="s">
        <v>175</v>
      </c>
      <c r="AS158" s="10" t="s">
        <v>176</v>
      </c>
      <c r="AT158" s="9">
        <v>3.35</v>
      </c>
      <c r="AU158" s="9">
        <v>1.1100000000000001</v>
      </c>
      <c r="AV158" s="9">
        <v>2.9</v>
      </c>
      <c r="AW158" s="9">
        <v>2</v>
      </c>
      <c r="AX158" s="14"/>
    </row>
    <row r="159" spans="1:50" ht="24" customHeight="1" thickTop="1" thickBot="1" x14ac:dyDescent="0.35">
      <c r="A159" s="63"/>
      <c r="B159" s="76"/>
      <c r="C159" s="25"/>
      <c r="D159" s="86"/>
      <c r="E159" s="36" t="s">
        <v>152</v>
      </c>
      <c r="F159" s="36">
        <v>1</v>
      </c>
      <c r="G159" s="86"/>
      <c r="H159" s="36" t="s">
        <v>200</v>
      </c>
      <c r="I159" s="36">
        <v>1</v>
      </c>
      <c r="J159" s="39"/>
      <c r="K159" s="39"/>
      <c r="L159" s="39"/>
      <c r="M159" s="18"/>
      <c r="O159" s="1">
        <v>4</v>
      </c>
      <c r="P159" s="1">
        <v>0</v>
      </c>
      <c r="Q159" s="1">
        <v>2</v>
      </c>
      <c r="R159" s="1">
        <v>0</v>
      </c>
      <c r="S159" s="14"/>
      <c r="U159" s="9" t="s">
        <v>179</v>
      </c>
      <c r="V159" s="10" t="s">
        <v>180</v>
      </c>
      <c r="W159" s="9">
        <v>8.8699999999999992</v>
      </c>
      <c r="X159" s="9">
        <v>0.79</v>
      </c>
      <c r="Y159" s="9">
        <v>1.07</v>
      </c>
      <c r="Z159" s="9">
        <v>0.57999999999999996</v>
      </c>
      <c r="AA159" s="9">
        <v>2.78</v>
      </c>
      <c r="AB159" s="9">
        <v>0.82</v>
      </c>
      <c r="AC159" s="9">
        <v>0.99</v>
      </c>
      <c r="AD159" s="9">
        <v>1.02</v>
      </c>
      <c r="AE159" s="9">
        <v>1.17</v>
      </c>
      <c r="AF159" s="9">
        <v>2.35</v>
      </c>
      <c r="AH159" s="11" t="s">
        <v>181</v>
      </c>
      <c r="AI159" s="12" t="s">
        <v>182</v>
      </c>
      <c r="AJ159" s="11">
        <v>6.97</v>
      </c>
      <c r="AK159" s="11">
        <v>7.41</v>
      </c>
      <c r="AL159" s="11">
        <v>3</v>
      </c>
      <c r="AM159" s="11">
        <v>7.93</v>
      </c>
      <c r="AN159" s="11">
        <v>2.41</v>
      </c>
      <c r="AO159" s="11">
        <v>8.93</v>
      </c>
      <c r="AP159" s="11">
        <v>5.97</v>
      </c>
      <c r="AR159" s="11" t="s">
        <v>183</v>
      </c>
      <c r="AS159" s="12" t="s">
        <v>184</v>
      </c>
      <c r="AT159" s="11">
        <v>2.5299999999999998</v>
      </c>
      <c r="AU159" s="11">
        <v>1.19</v>
      </c>
      <c r="AV159" s="11">
        <v>2.2000000000000002</v>
      </c>
      <c r="AW159" s="11">
        <v>2</v>
      </c>
      <c r="AX159" s="14"/>
    </row>
    <row r="160" spans="1:50" ht="23.5" customHeight="1" thickTop="1" thickBot="1" x14ac:dyDescent="0.35">
      <c r="A160" s="63"/>
      <c r="B160" s="76"/>
      <c r="C160" s="25"/>
      <c r="D160" s="86"/>
      <c r="E160" s="36" t="s">
        <v>153</v>
      </c>
      <c r="F160" s="36">
        <v>1</v>
      </c>
      <c r="G160" s="86"/>
      <c r="H160" s="36" t="s">
        <v>201</v>
      </c>
      <c r="I160" s="36">
        <v>1</v>
      </c>
      <c r="J160" s="25"/>
      <c r="K160" s="25"/>
      <c r="L160" s="25"/>
      <c r="M160" s="18"/>
      <c r="O160" s="1">
        <v>5</v>
      </c>
      <c r="P160" s="1">
        <v>1</v>
      </c>
      <c r="Q160" s="1">
        <v>1</v>
      </c>
      <c r="R160" s="1">
        <v>1</v>
      </c>
      <c r="S160" s="14"/>
      <c r="U160" s="11" t="s">
        <v>187</v>
      </c>
      <c r="V160" s="12" t="s">
        <v>188</v>
      </c>
      <c r="W160" s="11">
        <v>7</v>
      </c>
      <c r="X160" s="11">
        <v>0.83</v>
      </c>
      <c r="Y160" s="11">
        <v>1.25</v>
      </c>
      <c r="Z160" s="11">
        <v>0.69</v>
      </c>
      <c r="AA160" s="11">
        <v>2.61</v>
      </c>
      <c r="AB160" s="11">
        <v>0.88</v>
      </c>
      <c r="AC160" s="11">
        <v>0.91</v>
      </c>
      <c r="AD160" s="11">
        <v>1.28</v>
      </c>
      <c r="AE160" s="11">
        <v>1.3</v>
      </c>
      <c r="AF160" s="11">
        <v>1.68</v>
      </c>
      <c r="AX160" s="14"/>
    </row>
    <row r="161" spans="1:50" ht="23.5" customHeight="1" thickTop="1" thickBot="1" x14ac:dyDescent="0.35">
      <c r="A161" s="63"/>
      <c r="B161" s="76"/>
      <c r="C161" s="25"/>
      <c r="D161" s="86"/>
      <c r="E161" s="1" t="s">
        <v>156</v>
      </c>
      <c r="F161" s="36">
        <v>1</v>
      </c>
      <c r="G161" s="87"/>
      <c r="H161" s="38" t="s">
        <v>164</v>
      </c>
      <c r="I161" s="38">
        <v>1</v>
      </c>
      <c r="J161" s="36"/>
      <c r="K161" s="25"/>
      <c r="L161" s="25"/>
      <c r="M161" s="18"/>
      <c r="O161" s="4">
        <v>6</v>
      </c>
      <c r="P161" s="4">
        <v>1</v>
      </c>
      <c r="Q161" s="4">
        <v>0</v>
      </c>
      <c r="R161" s="4">
        <v>2</v>
      </c>
      <c r="S161" s="14"/>
      <c r="U161" s="9"/>
      <c r="V161" s="10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X161" s="14"/>
    </row>
    <row r="162" spans="1:50" ht="23.5" customHeight="1" thickTop="1" thickBot="1" x14ac:dyDescent="0.35">
      <c r="A162" s="63"/>
      <c r="B162" s="76"/>
      <c r="C162" s="25"/>
      <c r="D162" s="87"/>
      <c r="E162" s="38" t="s">
        <v>197</v>
      </c>
      <c r="F162" s="38">
        <v>1</v>
      </c>
      <c r="G162" s="39"/>
      <c r="H162" s="39"/>
      <c r="I162" s="39"/>
      <c r="J162" s="36"/>
      <c r="K162" s="36"/>
      <c r="L162" s="25"/>
      <c r="M162" s="18"/>
      <c r="S162" s="14"/>
      <c r="U162" s="9"/>
      <c r="V162" s="10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X162" s="14"/>
    </row>
    <row r="163" spans="1:50" ht="23" customHeight="1" thickTop="1" x14ac:dyDescent="0.3">
      <c r="A163" s="63"/>
      <c r="B163" s="76"/>
      <c r="C163" s="25"/>
      <c r="D163" s="39"/>
      <c r="E163" s="39"/>
      <c r="F163" s="39"/>
      <c r="G163" s="25"/>
      <c r="H163" s="25"/>
      <c r="I163" s="25"/>
      <c r="J163" s="25"/>
      <c r="K163" s="25"/>
      <c r="L163" s="25"/>
      <c r="M163" s="18"/>
      <c r="O163" s="1"/>
      <c r="P163" s="1"/>
      <c r="Q163" s="1"/>
      <c r="R163" s="1"/>
      <c r="S163" s="14"/>
      <c r="AX163" s="14"/>
    </row>
    <row r="164" spans="1:50" ht="23" customHeight="1" thickBot="1" x14ac:dyDescent="0.35">
      <c r="A164" s="63"/>
      <c r="B164" s="81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19"/>
      <c r="N164" s="15"/>
      <c r="O164" s="15"/>
      <c r="P164" s="15"/>
      <c r="Q164" s="15"/>
      <c r="R164" s="15"/>
      <c r="S164" s="16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6"/>
    </row>
    <row r="165" spans="1:50" ht="15" customHeight="1" thickTop="1" thickBot="1" x14ac:dyDescent="0.35">
      <c r="A165" s="63"/>
      <c r="B165" s="89" t="s">
        <v>78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17"/>
      <c r="N165" s="24"/>
      <c r="O165" s="24"/>
      <c r="P165" s="24"/>
      <c r="Q165" s="24"/>
      <c r="R165" s="24"/>
      <c r="S165" s="1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17"/>
    </row>
    <row r="166" spans="1:50" ht="31" customHeight="1" thickTop="1" thickBot="1" x14ac:dyDescent="0.35">
      <c r="A166" s="63"/>
      <c r="B166" s="76"/>
      <c r="C166" s="24"/>
      <c r="D166" s="27" t="s">
        <v>191</v>
      </c>
      <c r="E166" s="27" t="s">
        <v>192</v>
      </c>
      <c r="F166" s="27" t="s">
        <v>193</v>
      </c>
      <c r="G166" s="27" t="s">
        <v>191</v>
      </c>
      <c r="H166" s="27" t="s">
        <v>192</v>
      </c>
      <c r="I166" s="27" t="s">
        <v>193</v>
      </c>
      <c r="J166" s="27" t="s">
        <v>191</v>
      </c>
      <c r="K166" s="27" t="s">
        <v>192</v>
      </c>
      <c r="L166" s="27" t="s">
        <v>193</v>
      </c>
      <c r="M166" s="17"/>
      <c r="N166" s="24"/>
      <c r="O166" s="82" t="s">
        <v>205</v>
      </c>
      <c r="P166" s="82" t="s">
        <v>206</v>
      </c>
      <c r="Q166" s="83"/>
      <c r="R166" s="83"/>
      <c r="S166" s="1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17"/>
    </row>
    <row r="167" spans="1:50" ht="23.5" customHeight="1" thickTop="1" thickBot="1" x14ac:dyDescent="0.35">
      <c r="A167" s="63"/>
      <c r="B167" s="76"/>
      <c r="C167" s="33"/>
      <c r="D167" s="88" t="s">
        <v>194</v>
      </c>
      <c r="E167" s="36" t="s">
        <v>148</v>
      </c>
      <c r="F167" s="36">
        <v>5</v>
      </c>
      <c r="G167" s="85" t="s">
        <v>198</v>
      </c>
      <c r="H167" s="36" t="s">
        <v>158</v>
      </c>
      <c r="I167" s="36">
        <v>2</v>
      </c>
      <c r="J167" s="85" t="s">
        <v>202</v>
      </c>
      <c r="K167" s="36" t="s">
        <v>203</v>
      </c>
      <c r="L167" s="36">
        <v>2</v>
      </c>
      <c r="M167" s="18"/>
      <c r="N167" s="13"/>
      <c r="O167" s="84"/>
      <c r="P167" s="2" t="s">
        <v>178</v>
      </c>
      <c r="Q167" s="2" t="s">
        <v>186</v>
      </c>
      <c r="R167" s="2" t="s">
        <v>190</v>
      </c>
      <c r="S167" s="14"/>
      <c r="T167" s="13"/>
      <c r="AX167" s="14"/>
    </row>
    <row r="168" spans="1:50" ht="23" customHeight="1" thickBot="1" x14ac:dyDescent="0.35">
      <c r="A168" s="63"/>
      <c r="B168" s="76"/>
      <c r="C168" s="25"/>
      <c r="D168" s="86"/>
      <c r="E168" s="36" t="s">
        <v>195</v>
      </c>
      <c r="F168" s="36">
        <v>2</v>
      </c>
      <c r="G168" s="86"/>
      <c r="H168" s="36" t="s">
        <v>159</v>
      </c>
      <c r="I168" s="36">
        <v>2</v>
      </c>
      <c r="J168" s="86"/>
      <c r="K168" s="36" t="s">
        <v>166</v>
      </c>
      <c r="L168" s="36">
        <v>2</v>
      </c>
      <c r="M168" s="18"/>
      <c r="O168" s="1">
        <v>1</v>
      </c>
      <c r="P168" s="1">
        <v>1</v>
      </c>
      <c r="Q168" s="1">
        <v>0</v>
      </c>
      <c r="R168" s="1">
        <v>2</v>
      </c>
      <c r="S168" s="14"/>
      <c r="Z168" s="23" t="s">
        <v>194</v>
      </c>
      <c r="AK168" s="23" t="s">
        <v>198</v>
      </c>
      <c r="AT168" s="23" t="s">
        <v>202</v>
      </c>
      <c r="AX168" s="14"/>
    </row>
    <row r="169" spans="1:50" ht="25" customHeight="1" thickTop="1" thickBot="1" x14ac:dyDescent="0.35">
      <c r="A169" s="63"/>
      <c r="B169" s="76"/>
      <c r="C169" s="25"/>
      <c r="D169" s="86"/>
      <c r="E169" s="36" t="s">
        <v>196</v>
      </c>
      <c r="F169" s="36">
        <v>2</v>
      </c>
      <c r="G169" s="86"/>
      <c r="H169" s="36" t="s">
        <v>160</v>
      </c>
      <c r="I169" s="36">
        <v>1</v>
      </c>
      <c r="J169" s="86"/>
      <c r="K169" s="36" t="s">
        <v>167</v>
      </c>
      <c r="L169" s="36">
        <v>2</v>
      </c>
      <c r="M169" s="18"/>
      <c r="O169" s="1">
        <v>2</v>
      </c>
      <c r="P169" s="1">
        <v>0</v>
      </c>
      <c r="Q169" s="1">
        <v>2</v>
      </c>
      <c r="R169" s="1">
        <v>1</v>
      </c>
      <c r="S169" s="14"/>
      <c r="U169" s="7" t="s">
        <v>146</v>
      </c>
      <c r="V169" s="7" t="s">
        <v>147</v>
      </c>
      <c r="W169" s="7" t="s">
        <v>148</v>
      </c>
      <c r="X169" s="7" t="s">
        <v>149</v>
      </c>
      <c r="Y169" s="7" t="s">
        <v>150</v>
      </c>
      <c r="Z169" s="8" t="s">
        <v>151</v>
      </c>
      <c r="AA169" s="7" t="s">
        <v>152</v>
      </c>
      <c r="AB169" s="7" t="s">
        <v>153</v>
      </c>
      <c r="AC169" s="7" t="s">
        <v>154</v>
      </c>
      <c r="AD169" s="7" t="s">
        <v>155</v>
      </c>
      <c r="AE169" s="8" t="s">
        <v>156</v>
      </c>
      <c r="AF169" s="7" t="s">
        <v>157</v>
      </c>
      <c r="AH169" s="7" t="s">
        <v>146</v>
      </c>
      <c r="AI169" s="7" t="s">
        <v>147</v>
      </c>
      <c r="AJ169" s="7" t="s">
        <v>158</v>
      </c>
      <c r="AK169" s="7" t="s">
        <v>159</v>
      </c>
      <c r="AL169" s="7" t="s">
        <v>160</v>
      </c>
      <c r="AM169" s="7" t="s">
        <v>161</v>
      </c>
      <c r="AN169" s="7" t="s">
        <v>162</v>
      </c>
      <c r="AO169" s="7" t="s">
        <v>163</v>
      </c>
      <c r="AP169" s="7" t="s">
        <v>164</v>
      </c>
      <c r="AR169" s="7" t="s">
        <v>146</v>
      </c>
      <c r="AS169" s="7" t="s">
        <v>147</v>
      </c>
      <c r="AT169" s="7" t="s">
        <v>165</v>
      </c>
      <c r="AU169" s="7" t="s">
        <v>166</v>
      </c>
      <c r="AV169" s="7" t="s">
        <v>167</v>
      </c>
      <c r="AW169" s="7" t="s">
        <v>168</v>
      </c>
      <c r="AX169" s="14"/>
    </row>
    <row r="170" spans="1:50" ht="24" customHeight="1" thickTop="1" thickBot="1" x14ac:dyDescent="0.35">
      <c r="A170" s="63"/>
      <c r="B170" s="76"/>
      <c r="C170" s="25"/>
      <c r="D170" s="86"/>
      <c r="E170" s="1" t="s">
        <v>151</v>
      </c>
      <c r="F170" s="36">
        <v>2</v>
      </c>
      <c r="G170" s="86"/>
      <c r="H170" s="36" t="s">
        <v>199</v>
      </c>
      <c r="I170" s="36">
        <v>2</v>
      </c>
      <c r="J170" s="87"/>
      <c r="K170" s="38" t="s">
        <v>168</v>
      </c>
      <c r="L170" s="38">
        <v>1</v>
      </c>
      <c r="M170" s="18"/>
      <c r="O170" s="1">
        <v>3</v>
      </c>
      <c r="P170" s="1">
        <v>1</v>
      </c>
      <c r="Q170" s="1">
        <v>1</v>
      </c>
      <c r="R170" s="1">
        <v>1</v>
      </c>
      <c r="S170" s="14"/>
      <c r="U170" s="9" t="s">
        <v>171</v>
      </c>
      <c r="V170" s="10" t="s">
        <v>172</v>
      </c>
      <c r="W170" s="9">
        <v>9.0299999999999994</v>
      </c>
      <c r="X170" s="9">
        <v>0.72</v>
      </c>
      <c r="Y170" s="9">
        <v>1.1100000000000001</v>
      </c>
      <c r="Z170" s="9">
        <v>0.62</v>
      </c>
      <c r="AA170" s="9">
        <v>2.5</v>
      </c>
      <c r="AB170" s="9">
        <v>0.8</v>
      </c>
      <c r="AC170" s="9">
        <v>0.97</v>
      </c>
      <c r="AD170" s="9">
        <v>1.0900000000000001</v>
      </c>
      <c r="AE170" s="9">
        <v>1.02</v>
      </c>
      <c r="AF170" s="9">
        <v>2.1</v>
      </c>
      <c r="AH170" s="9" t="s">
        <v>173</v>
      </c>
      <c r="AI170" s="10" t="s">
        <v>174</v>
      </c>
      <c r="AJ170" s="9">
        <v>6.55</v>
      </c>
      <c r="AK170" s="9">
        <v>6.87</v>
      </c>
      <c r="AL170" s="9">
        <v>3</v>
      </c>
      <c r="AM170" s="9">
        <v>6.44</v>
      </c>
      <c r="AN170" s="9">
        <v>1.87</v>
      </c>
      <c r="AO170" s="9">
        <v>7.64</v>
      </c>
      <c r="AP170" s="9">
        <v>5.45</v>
      </c>
      <c r="AR170" s="9" t="s">
        <v>175</v>
      </c>
      <c r="AS170" s="10" t="s">
        <v>176</v>
      </c>
      <c r="AT170" s="9">
        <v>2.78</v>
      </c>
      <c r="AU170" s="9">
        <v>1.08</v>
      </c>
      <c r="AV170" s="9">
        <v>2.5</v>
      </c>
      <c r="AW170" s="9">
        <v>2</v>
      </c>
      <c r="AX170" s="14"/>
    </row>
    <row r="171" spans="1:50" ht="24" customHeight="1" thickTop="1" thickBot="1" x14ac:dyDescent="0.35">
      <c r="A171" s="63"/>
      <c r="B171" s="76"/>
      <c r="C171" s="25"/>
      <c r="D171" s="86"/>
      <c r="E171" s="36" t="s">
        <v>152</v>
      </c>
      <c r="F171" s="36">
        <v>2</v>
      </c>
      <c r="G171" s="86"/>
      <c r="H171" s="36" t="s">
        <v>200</v>
      </c>
      <c r="I171" s="36">
        <v>1</v>
      </c>
      <c r="J171" s="39"/>
      <c r="K171" s="39"/>
      <c r="L171" s="39"/>
      <c r="M171" s="18"/>
      <c r="O171" s="1">
        <v>4</v>
      </c>
      <c r="P171" s="1">
        <v>1</v>
      </c>
      <c r="Q171" s="1">
        <v>0</v>
      </c>
      <c r="R171" s="1">
        <v>0</v>
      </c>
      <c r="S171" s="14"/>
      <c r="U171" s="9" t="s">
        <v>179</v>
      </c>
      <c r="V171" s="10" t="s">
        <v>180</v>
      </c>
      <c r="W171" s="9">
        <v>8.36</v>
      </c>
      <c r="X171" s="9">
        <v>0.9</v>
      </c>
      <c r="Y171" s="9">
        <v>1.04</v>
      </c>
      <c r="Z171" s="9">
        <v>0.71</v>
      </c>
      <c r="AA171" s="9">
        <v>2.83</v>
      </c>
      <c r="AB171" s="9">
        <v>0.87</v>
      </c>
      <c r="AC171" s="9">
        <v>1</v>
      </c>
      <c r="AD171" s="9">
        <v>1.1599999999999999</v>
      </c>
      <c r="AE171" s="9">
        <v>1.37</v>
      </c>
      <c r="AF171" s="9">
        <v>1.98</v>
      </c>
      <c r="AH171" s="11" t="s">
        <v>181</v>
      </c>
      <c r="AI171" s="12" t="s">
        <v>182</v>
      </c>
      <c r="AJ171" s="11">
        <v>6.79</v>
      </c>
      <c r="AK171" s="11">
        <v>7.23</v>
      </c>
      <c r="AL171" s="11">
        <v>3</v>
      </c>
      <c r="AM171" s="11">
        <v>7.24</v>
      </c>
      <c r="AN171" s="11">
        <v>2.17</v>
      </c>
      <c r="AO171" s="11">
        <v>8.24</v>
      </c>
      <c r="AP171" s="11">
        <v>5.69</v>
      </c>
      <c r="AR171" s="11" t="s">
        <v>183</v>
      </c>
      <c r="AS171" s="12" t="s">
        <v>184</v>
      </c>
      <c r="AT171" s="11">
        <v>3.2</v>
      </c>
      <c r="AU171" s="11">
        <v>1.1399999999999999</v>
      </c>
      <c r="AV171" s="11">
        <v>2.8</v>
      </c>
      <c r="AW171" s="11">
        <v>2</v>
      </c>
      <c r="AX171" s="14"/>
    </row>
    <row r="172" spans="1:50" ht="23.5" customHeight="1" thickTop="1" thickBot="1" x14ac:dyDescent="0.35">
      <c r="A172" s="63"/>
      <c r="B172" s="76"/>
      <c r="C172" s="25"/>
      <c r="D172" s="86"/>
      <c r="E172" s="36" t="s">
        <v>153</v>
      </c>
      <c r="F172" s="36">
        <v>1</v>
      </c>
      <c r="G172" s="86"/>
      <c r="H172" s="36" t="s">
        <v>201</v>
      </c>
      <c r="I172" s="36">
        <v>1</v>
      </c>
      <c r="J172" s="25"/>
      <c r="K172" s="25"/>
      <c r="L172" s="25"/>
      <c r="M172" s="18"/>
      <c r="O172" s="1">
        <v>5</v>
      </c>
      <c r="P172" s="1">
        <v>1</v>
      </c>
      <c r="Q172" s="1">
        <v>1</v>
      </c>
      <c r="R172" s="1">
        <v>1</v>
      </c>
      <c r="S172" s="14"/>
      <c r="U172" s="11" t="s">
        <v>187</v>
      </c>
      <c r="V172" s="12" t="s">
        <v>188</v>
      </c>
      <c r="W172" s="11">
        <v>7.77</v>
      </c>
      <c r="X172" s="11">
        <v>0.68</v>
      </c>
      <c r="Y172" s="11">
        <v>1.19</v>
      </c>
      <c r="Z172" s="11">
        <v>0.64</v>
      </c>
      <c r="AA172" s="11">
        <v>2.5</v>
      </c>
      <c r="AB172" s="11">
        <v>0.83</v>
      </c>
      <c r="AC172" s="11">
        <v>0.95</v>
      </c>
      <c r="AD172" s="11">
        <v>1.22</v>
      </c>
      <c r="AE172" s="11">
        <v>1.1299999999999999</v>
      </c>
      <c r="AF172" s="11">
        <v>2.2200000000000002</v>
      </c>
      <c r="AX172" s="14"/>
    </row>
    <row r="173" spans="1:50" ht="23.5" customHeight="1" thickTop="1" thickBot="1" x14ac:dyDescent="0.35">
      <c r="A173" s="63"/>
      <c r="B173" s="76"/>
      <c r="C173" s="25"/>
      <c r="D173" s="86"/>
      <c r="E173" s="1" t="s">
        <v>156</v>
      </c>
      <c r="F173" s="36">
        <v>1</v>
      </c>
      <c r="G173" s="87"/>
      <c r="H173" s="38" t="s">
        <v>164</v>
      </c>
      <c r="I173" s="38">
        <v>1</v>
      </c>
      <c r="J173" s="36"/>
      <c r="K173" s="25"/>
      <c r="L173" s="25"/>
      <c r="M173" s="18"/>
      <c r="O173" s="1">
        <v>6</v>
      </c>
      <c r="P173" s="1">
        <v>0</v>
      </c>
      <c r="Q173" s="1">
        <v>1</v>
      </c>
      <c r="R173" s="1">
        <v>1</v>
      </c>
      <c r="S173" s="14"/>
      <c r="U173" s="9"/>
      <c r="V173" s="10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X173" s="14"/>
    </row>
    <row r="174" spans="1:50" ht="23.5" customHeight="1" thickTop="1" thickBot="1" x14ac:dyDescent="0.35">
      <c r="A174" s="63"/>
      <c r="B174" s="76"/>
      <c r="C174" s="25"/>
      <c r="D174" s="87"/>
      <c r="E174" s="38" t="s">
        <v>197</v>
      </c>
      <c r="F174" s="38">
        <v>1</v>
      </c>
      <c r="G174" s="39"/>
      <c r="H174" s="39"/>
      <c r="I174" s="39"/>
      <c r="J174" s="36"/>
      <c r="K174" s="36"/>
      <c r="L174" s="25"/>
      <c r="M174" s="18"/>
      <c r="O174" s="1">
        <v>7</v>
      </c>
      <c r="P174" s="1">
        <v>1</v>
      </c>
      <c r="Q174" s="1">
        <v>3</v>
      </c>
      <c r="R174" s="1">
        <v>1</v>
      </c>
      <c r="S174" s="14"/>
      <c r="U174" s="9"/>
      <c r="V174" s="10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X174" s="14"/>
    </row>
    <row r="175" spans="1:50" ht="23.5" customHeight="1" thickTop="1" thickBot="1" x14ac:dyDescent="0.35">
      <c r="A175" s="63"/>
      <c r="B175" s="76"/>
      <c r="C175" s="25"/>
      <c r="D175" s="39"/>
      <c r="E175" s="39"/>
      <c r="F175" s="39"/>
      <c r="G175" s="25"/>
      <c r="H175" s="25"/>
      <c r="I175" s="25"/>
      <c r="J175" s="25"/>
      <c r="K175" s="25"/>
      <c r="L175" s="25"/>
      <c r="M175" s="18"/>
      <c r="O175" s="4">
        <v>8</v>
      </c>
      <c r="P175" s="4">
        <v>0</v>
      </c>
      <c r="Q175" s="4">
        <v>0</v>
      </c>
      <c r="R175" s="4">
        <v>0</v>
      </c>
      <c r="S175" s="14"/>
      <c r="AX175" s="14"/>
    </row>
    <row r="176" spans="1:50" ht="23.5" customHeight="1" thickTop="1" thickBot="1" x14ac:dyDescent="0.35">
      <c r="A176" s="63"/>
      <c r="B176" s="81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19"/>
      <c r="N176" s="15"/>
      <c r="O176" s="15"/>
      <c r="P176" s="15"/>
      <c r="Q176" s="15"/>
      <c r="R176" s="15"/>
      <c r="S176" s="16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6"/>
    </row>
    <row r="177" spans="1:50" ht="15" customHeight="1" thickTop="1" thickBot="1" x14ac:dyDescent="0.35">
      <c r="A177" s="63"/>
      <c r="B177" s="89" t="s">
        <v>79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17"/>
      <c r="N177" s="24"/>
      <c r="O177" s="24"/>
      <c r="P177" s="24"/>
      <c r="Q177" s="24"/>
      <c r="R177" s="24"/>
      <c r="S177" s="1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17"/>
    </row>
    <row r="178" spans="1:50" ht="31" customHeight="1" thickTop="1" thickBot="1" x14ac:dyDescent="0.35">
      <c r="A178" s="63"/>
      <c r="B178" s="76"/>
      <c r="C178" s="24"/>
      <c r="D178" s="27" t="s">
        <v>191</v>
      </c>
      <c r="E178" s="27" t="s">
        <v>192</v>
      </c>
      <c r="F178" s="27" t="s">
        <v>193</v>
      </c>
      <c r="G178" s="27" t="s">
        <v>191</v>
      </c>
      <c r="H178" s="27" t="s">
        <v>192</v>
      </c>
      <c r="I178" s="27" t="s">
        <v>193</v>
      </c>
      <c r="J178" s="27" t="s">
        <v>191</v>
      </c>
      <c r="K178" s="27" t="s">
        <v>192</v>
      </c>
      <c r="L178" s="27" t="s">
        <v>193</v>
      </c>
      <c r="M178" s="17"/>
      <c r="N178" s="24"/>
      <c r="O178" s="82" t="s">
        <v>205</v>
      </c>
      <c r="P178" s="82" t="s">
        <v>206</v>
      </c>
      <c r="Q178" s="83"/>
      <c r="R178" s="83"/>
      <c r="S178" s="1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17"/>
    </row>
    <row r="179" spans="1:50" ht="23.5" customHeight="1" thickTop="1" thickBot="1" x14ac:dyDescent="0.35">
      <c r="A179" s="63"/>
      <c r="B179" s="76"/>
      <c r="C179" s="33"/>
      <c r="D179" s="88" t="s">
        <v>194</v>
      </c>
      <c r="E179" s="36" t="s">
        <v>148</v>
      </c>
      <c r="F179" s="36">
        <v>5</v>
      </c>
      <c r="G179" s="85" t="s">
        <v>198</v>
      </c>
      <c r="H179" s="36" t="s">
        <v>158</v>
      </c>
      <c r="I179" s="36">
        <v>2</v>
      </c>
      <c r="J179" s="85" t="s">
        <v>202</v>
      </c>
      <c r="K179" s="36" t="s">
        <v>203</v>
      </c>
      <c r="L179" s="36">
        <v>2</v>
      </c>
      <c r="M179" s="18"/>
      <c r="N179" s="13"/>
      <c r="O179" s="84"/>
      <c r="P179" s="2" t="s">
        <v>178</v>
      </c>
      <c r="Q179" s="2" t="s">
        <v>186</v>
      </c>
      <c r="R179" s="2" t="s">
        <v>190</v>
      </c>
      <c r="S179" s="14"/>
      <c r="T179" s="13"/>
      <c r="AX179" s="14"/>
    </row>
    <row r="180" spans="1:50" ht="23" customHeight="1" thickBot="1" x14ac:dyDescent="0.35">
      <c r="A180" s="63"/>
      <c r="B180" s="76"/>
      <c r="C180" s="25"/>
      <c r="D180" s="86"/>
      <c r="E180" s="36" t="s">
        <v>195</v>
      </c>
      <c r="F180" s="36">
        <v>2</v>
      </c>
      <c r="G180" s="86"/>
      <c r="H180" s="36" t="s">
        <v>159</v>
      </c>
      <c r="I180" s="36">
        <v>2</v>
      </c>
      <c r="J180" s="86"/>
      <c r="K180" s="36" t="s">
        <v>166</v>
      </c>
      <c r="L180" s="36">
        <v>2</v>
      </c>
      <c r="M180" s="18"/>
      <c r="O180" s="1">
        <v>1</v>
      </c>
      <c r="P180" s="1">
        <v>1</v>
      </c>
      <c r="Q180" s="1">
        <v>0</v>
      </c>
      <c r="R180" s="1">
        <v>1</v>
      </c>
      <c r="S180" s="14"/>
      <c r="Z180" s="23" t="s">
        <v>194</v>
      </c>
      <c r="AK180" s="23" t="s">
        <v>198</v>
      </c>
      <c r="AT180" s="23" t="s">
        <v>202</v>
      </c>
      <c r="AX180" s="14"/>
    </row>
    <row r="181" spans="1:50" ht="25" customHeight="1" thickTop="1" thickBot="1" x14ac:dyDescent="0.35">
      <c r="A181" s="63"/>
      <c r="B181" s="76"/>
      <c r="C181" s="25"/>
      <c r="D181" s="86"/>
      <c r="E181" s="36" t="s">
        <v>196</v>
      </c>
      <c r="F181" s="36">
        <v>2</v>
      </c>
      <c r="G181" s="86"/>
      <c r="H181" s="36" t="s">
        <v>160</v>
      </c>
      <c r="I181" s="36">
        <v>1</v>
      </c>
      <c r="J181" s="86"/>
      <c r="K181" s="36" t="s">
        <v>167</v>
      </c>
      <c r="L181" s="36">
        <v>2</v>
      </c>
      <c r="M181" s="18"/>
      <c r="O181" s="1">
        <v>2</v>
      </c>
      <c r="P181" s="1">
        <v>1</v>
      </c>
      <c r="Q181" s="1">
        <v>2</v>
      </c>
      <c r="R181" s="1">
        <v>1</v>
      </c>
      <c r="S181" s="14"/>
      <c r="U181" s="7" t="s">
        <v>146</v>
      </c>
      <c r="V181" s="7" t="s">
        <v>147</v>
      </c>
      <c r="W181" s="7" t="s">
        <v>148</v>
      </c>
      <c r="X181" s="7" t="s">
        <v>149</v>
      </c>
      <c r="Y181" s="7" t="s">
        <v>150</v>
      </c>
      <c r="Z181" s="8" t="s">
        <v>151</v>
      </c>
      <c r="AA181" s="7" t="s">
        <v>152</v>
      </c>
      <c r="AB181" s="7" t="s">
        <v>153</v>
      </c>
      <c r="AC181" s="7" t="s">
        <v>154</v>
      </c>
      <c r="AD181" s="7" t="s">
        <v>155</v>
      </c>
      <c r="AE181" s="8" t="s">
        <v>156</v>
      </c>
      <c r="AF181" s="7" t="s">
        <v>157</v>
      </c>
      <c r="AH181" s="7" t="s">
        <v>146</v>
      </c>
      <c r="AI181" s="7" t="s">
        <v>147</v>
      </c>
      <c r="AJ181" s="7" t="s">
        <v>158</v>
      </c>
      <c r="AK181" s="7" t="s">
        <v>159</v>
      </c>
      <c r="AL181" s="7" t="s">
        <v>160</v>
      </c>
      <c r="AM181" s="7" t="s">
        <v>161</v>
      </c>
      <c r="AN181" s="7" t="s">
        <v>162</v>
      </c>
      <c r="AO181" s="7" t="s">
        <v>163</v>
      </c>
      <c r="AP181" s="7" t="s">
        <v>164</v>
      </c>
      <c r="AR181" s="7" t="s">
        <v>146</v>
      </c>
      <c r="AS181" s="7" t="s">
        <v>147</v>
      </c>
      <c r="AT181" s="7" t="s">
        <v>165</v>
      </c>
      <c r="AU181" s="7" t="s">
        <v>166</v>
      </c>
      <c r="AV181" s="7" t="s">
        <v>167</v>
      </c>
      <c r="AW181" s="7" t="s">
        <v>168</v>
      </c>
      <c r="AX181" s="14"/>
    </row>
    <row r="182" spans="1:50" ht="24" customHeight="1" thickTop="1" thickBot="1" x14ac:dyDescent="0.35">
      <c r="A182" s="63"/>
      <c r="B182" s="76"/>
      <c r="C182" s="25"/>
      <c r="D182" s="86"/>
      <c r="E182" s="1" t="s">
        <v>151</v>
      </c>
      <c r="F182" s="36">
        <v>2</v>
      </c>
      <c r="G182" s="86"/>
      <c r="H182" s="36" t="s">
        <v>199</v>
      </c>
      <c r="I182" s="36">
        <v>2</v>
      </c>
      <c r="J182" s="87"/>
      <c r="K182" s="38" t="s">
        <v>168</v>
      </c>
      <c r="L182" s="38">
        <v>1</v>
      </c>
      <c r="M182" s="18"/>
      <c r="O182" s="1">
        <v>3</v>
      </c>
      <c r="P182" s="1">
        <v>0</v>
      </c>
      <c r="Q182" s="1">
        <v>1</v>
      </c>
      <c r="R182" s="1">
        <v>1</v>
      </c>
      <c r="S182" s="14"/>
      <c r="U182" s="9" t="s">
        <v>171</v>
      </c>
      <c r="V182" s="10" t="s">
        <v>172</v>
      </c>
      <c r="W182" s="9">
        <v>8.64</v>
      </c>
      <c r="X182" s="9">
        <v>0.76</v>
      </c>
      <c r="Y182" s="9">
        <v>1.06</v>
      </c>
      <c r="Z182" s="9">
        <v>0.56999999999999995</v>
      </c>
      <c r="AA182" s="9">
        <v>2.94</v>
      </c>
      <c r="AB182" s="9">
        <v>0.89</v>
      </c>
      <c r="AC182" s="9">
        <v>0.92</v>
      </c>
      <c r="AD182" s="9">
        <v>1.01</v>
      </c>
      <c r="AE182" s="9">
        <v>1.29</v>
      </c>
      <c r="AF182" s="9">
        <v>1.59</v>
      </c>
      <c r="AH182" s="9" t="s">
        <v>173</v>
      </c>
      <c r="AI182" s="10" t="s">
        <v>174</v>
      </c>
      <c r="AJ182" s="9">
        <v>6.23</v>
      </c>
      <c r="AK182" s="9">
        <v>6.68</v>
      </c>
      <c r="AL182" s="9">
        <v>3</v>
      </c>
      <c r="AM182" s="9">
        <v>6.91</v>
      </c>
      <c r="AN182" s="9">
        <v>1.68</v>
      </c>
      <c r="AO182" s="9">
        <v>7.33</v>
      </c>
      <c r="AP182" s="9">
        <v>5.23</v>
      </c>
      <c r="AR182" s="9" t="s">
        <v>175</v>
      </c>
      <c r="AS182" s="10" t="s">
        <v>176</v>
      </c>
      <c r="AT182" s="9">
        <v>2.92</v>
      </c>
      <c r="AU182" s="9">
        <v>1.24</v>
      </c>
      <c r="AV182" s="9">
        <v>2.2999999999999998</v>
      </c>
      <c r="AW182" s="9">
        <v>2</v>
      </c>
      <c r="AX182" s="14"/>
    </row>
    <row r="183" spans="1:50" ht="24" customHeight="1" thickTop="1" thickBot="1" x14ac:dyDescent="0.35">
      <c r="A183" s="63"/>
      <c r="B183" s="76"/>
      <c r="C183" s="25"/>
      <c r="D183" s="86"/>
      <c r="E183" s="36" t="s">
        <v>152</v>
      </c>
      <c r="F183" s="36">
        <v>2</v>
      </c>
      <c r="G183" s="86"/>
      <c r="H183" s="36" t="s">
        <v>200</v>
      </c>
      <c r="I183" s="36">
        <v>1</v>
      </c>
      <c r="J183" s="39"/>
      <c r="K183" s="39"/>
      <c r="L183" s="39"/>
      <c r="M183" s="18"/>
      <c r="O183" s="1">
        <v>4</v>
      </c>
      <c r="P183" s="1">
        <v>0</v>
      </c>
      <c r="Q183" s="1">
        <v>1</v>
      </c>
      <c r="R183" s="1">
        <v>1</v>
      </c>
      <c r="S183" s="14"/>
      <c r="U183" s="9" t="s">
        <v>179</v>
      </c>
      <c r="V183" s="10" t="s">
        <v>180</v>
      </c>
      <c r="W183" s="9">
        <v>7.21</v>
      </c>
      <c r="X183" s="9">
        <v>0.81</v>
      </c>
      <c r="Y183" s="9">
        <v>1.21</v>
      </c>
      <c r="Z183" s="9">
        <v>0.73</v>
      </c>
      <c r="AA183" s="9">
        <v>2.5</v>
      </c>
      <c r="AB183" s="9">
        <v>0.81</v>
      </c>
      <c r="AC183" s="9">
        <v>0.98</v>
      </c>
      <c r="AD183" s="9">
        <v>1.1399999999999999</v>
      </c>
      <c r="AE183" s="9">
        <v>1.0900000000000001</v>
      </c>
      <c r="AF183" s="9">
        <v>2.4500000000000002</v>
      </c>
      <c r="AH183" s="11" t="s">
        <v>181</v>
      </c>
      <c r="AI183" s="12" t="s">
        <v>182</v>
      </c>
      <c r="AJ183" s="11">
        <v>6.89</v>
      </c>
      <c r="AK183" s="11">
        <v>7.39</v>
      </c>
      <c r="AL183" s="11">
        <v>3</v>
      </c>
      <c r="AM183" s="11">
        <v>7.73</v>
      </c>
      <c r="AN183" s="11">
        <v>2.38</v>
      </c>
      <c r="AO183" s="11">
        <v>8.73</v>
      </c>
      <c r="AP183" s="11">
        <v>5.79</v>
      </c>
      <c r="AR183" s="11" t="s">
        <v>183</v>
      </c>
      <c r="AS183" s="12" t="s">
        <v>184</v>
      </c>
      <c r="AT183" s="11">
        <v>3.47</v>
      </c>
      <c r="AU183" s="11">
        <v>1.02</v>
      </c>
      <c r="AV183" s="11">
        <v>2.65</v>
      </c>
      <c r="AW183" s="11">
        <v>2</v>
      </c>
      <c r="AX183" s="14"/>
    </row>
    <row r="184" spans="1:50" ht="23.5" customHeight="1" thickTop="1" thickBot="1" x14ac:dyDescent="0.35">
      <c r="A184" s="63"/>
      <c r="B184" s="76"/>
      <c r="C184" s="25"/>
      <c r="D184" s="86"/>
      <c r="E184" s="36" t="s">
        <v>153</v>
      </c>
      <c r="F184" s="36">
        <v>1</v>
      </c>
      <c r="G184" s="86"/>
      <c r="H184" s="36" t="s">
        <v>201</v>
      </c>
      <c r="I184" s="36">
        <v>1</v>
      </c>
      <c r="J184" s="25"/>
      <c r="K184" s="25"/>
      <c r="L184" s="25"/>
      <c r="M184" s="18"/>
      <c r="O184" s="1">
        <v>5</v>
      </c>
      <c r="P184" s="1">
        <v>1</v>
      </c>
      <c r="Q184" s="1">
        <v>1</v>
      </c>
      <c r="R184" s="1">
        <v>1</v>
      </c>
      <c r="S184" s="14"/>
      <c r="U184" s="11" t="s">
        <v>187</v>
      </c>
      <c r="V184" s="12" t="s">
        <v>188</v>
      </c>
      <c r="W184" s="11">
        <v>9.1999999999999993</v>
      </c>
      <c r="X184" s="11">
        <v>0.74</v>
      </c>
      <c r="Y184" s="11">
        <v>1.03</v>
      </c>
      <c r="Z184" s="11">
        <v>0.67</v>
      </c>
      <c r="AA184" s="11">
        <v>2.65</v>
      </c>
      <c r="AB184" s="11">
        <v>0.86</v>
      </c>
      <c r="AC184" s="11">
        <v>0.93</v>
      </c>
      <c r="AD184" s="11">
        <v>1.27</v>
      </c>
      <c r="AE184" s="11">
        <v>1.33</v>
      </c>
      <c r="AF184" s="11">
        <v>1.76</v>
      </c>
      <c r="AX184" s="14"/>
    </row>
    <row r="185" spans="1:50" ht="23.5" customHeight="1" thickTop="1" thickBot="1" x14ac:dyDescent="0.35">
      <c r="A185" s="63"/>
      <c r="B185" s="76"/>
      <c r="C185" s="25"/>
      <c r="D185" s="86"/>
      <c r="E185" s="1" t="s">
        <v>156</v>
      </c>
      <c r="F185" s="36">
        <v>1</v>
      </c>
      <c r="G185" s="87"/>
      <c r="H185" s="38" t="s">
        <v>164</v>
      </c>
      <c r="I185" s="38">
        <v>1</v>
      </c>
      <c r="J185" s="36"/>
      <c r="K185" s="25"/>
      <c r="L185" s="25"/>
      <c r="M185" s="18"/>
      <c r="O185" s="1">
        <v>6</v>
      </c>
      <c r="P185" s="1">
        <v>2</v>
      </c>
      <c r="Q185" s="1">
        <v>0</v>
      </c>
      <c r="R185" s="1">
        <v>1</v>
      </c>
      <c r="S185" s="14"/>
      <c r="U185" s="9"/>
      <c r="V185" s="10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X185" s="14"/>
    </row>
    <row r="186" spans="1:50" ht="23.5" customHeight="1" thickTop="1" thickBot="1" x14ac:dyDescent="0.35">
      <c r="A186" s="63"/>
      <c r="B186" s="76"/>
      <c r="C186" s="25"/>
      <c r="D186" s="87"/>
      <c r="E186" s="38" t="s">
        <v>197</v>
      </c>
      <c r="F186" s="38">
        <v>1</v>
      </c>
      <c r="G186" s="39"/>
      <c r="H186" s="39"/>
      <c r="I186" s="39"/>
      <c r="J186" s="36"/>
      <c r="K186" s="36"/>
      <c r="L186" s="25"/>
      <c r="M186" s="18"/>
      <c r="O186" s="1">
        <v>7</v>
      </c>
      <c r="P186" s="1">
        <v>1</v>
      </c>
      <c r="Q186" s="1">
        <v>1</v>
      </c>
      <c r="R186" s="1">
        <v>1</v>
      </c>
      <c r="S186" s="14"/>
      <c r="U186" s="9"/>
      <c r="V186" s="10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X186" s="14"/>
    </row>
    <row r="187" spans="1:50" ht="23.5" customHeight="1" thickTop="1" thickBot="1" x14ac:dyDescent="0.35">
      <c r="A187" s="63"/>
      <c r="B187" s="76"/>
      <c r="C187" s="25"/>
      <c r="D187" s="39"/>
      <c r="E187" s="39"/>
      <c r="F187" s="39"/>
      <c r="G187" s="25"/>
      <c r="H187" s="39"/>
      <c r="I187" s="25"/>
      <c r="J187" s="25"/>
      <c r="K187" s="36"/>
      <c r="L187" s="25"/>
      <c r="M187" s="18"/>
      <c r="O187" s="4">
        <v>8</v>
      </c>
      <c r="P187" s="4">
        <v>2</v>
      </c>
      <c r="Q187" s="4">
        <v>0</v>
      </c>
      <c r="R187" s="4">
        <v>0</v>
      </c>
      <c r="S187" s="14"/>
      <c r="AX187" s="14"/>
    </row>
    <row r="188" spans="1:50" ht="23.5" customHeight="1" thickTop="1" thickBot="1" x14ac:dyDescent="0.35">
      <c r="A188" s="63"/>
      <c r="B188" s="81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19"/>
      <c r="N188" s="15"/>
      <c r="O188" s="15"/>
      <c r="P188" s="15"/>
      <c r="Q188" s="15"/>
      <c r="R188" s="15"/>
      <c r="S188" s="16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6"/>
    </row>
    <row r="189" spans="1:50" ht="15" customHeight="1" thickTop="1" thickBot="1" x14ac:dyDescent="0.35">
      <c r="A189" s="63"/>
      <c r="B189" s="89" t="s">
        <v>80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17"/>
      <c r="N189" s="24"/>
      <c r="O189" s="24"/>
      <c r="P189" s="24"/>
      <c r="Q189" s="24"/>
      <c r="R189" s="24"/>
      <c r="S189" s="1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17"/>
    </row>
    <row r="190" spans="1:50" ht="31" customHeight="1" thickTop="1" thickBot="1" x14ac:dyDescent="0.35">
      <c r="A190" s="63"/>
      <c r="B190" s="76"/>
      <c r="C190" s="24"/>
      <c r="D190" s="27" t="s">
        <v>191</v>
      </c>
      <c r="E190" s="27" t="s">
        <v>192</v>
      </c>
      <c r="F190" s="27" t="s">
        <v>193</v>
      </c>
      <c r="G190" s="27" t="s">
        <v>191</v>
      </c>
      <c r="H190" s="27" t="s">
        <v>192</v>
      </c>
      <c r="I190" s="27" t="s">
        <v>193</v>
      </c>
      <c r="J190" s="27" t="s">
        <v>191</v>
      </c>
      <c r="K190" s="27" t="s">
        <v>192</v>
      </c>
      <c r="L190" s="27" t="s">
        <v>193</v>
      </c>
      <c r="M190" s="17"/>
      <c r="N190" s="24"/>
      <c r="O190" s="82" t="s">
        <v>205</v>
      </c>
      <c r="P190" s="82" t="s">
        <v>206</v>
      </c>
      <c r="Q190" s="83"/>
      <c r="R190" s="83"/>
      <c r="S190" s="1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17"/>
    </row>
    <row r="191" spans="1:50" ht="23.5" customHeight="1" thickTop="1" thickBot="1" x14ac:dyDescent="0.35">
      <c r="A191" s="63"/>
      <c r="B191" s="76"/>
      <c r="C191" s="33"/>
      <c r="D191" s="88" t="s">
        <v>194</v>
      </c>
      <c r="E191" s="36" t="s">
        <v>148</v>
      </c>
      <c r="F191" s="36">
        <v>5</v>
      </c>
      <c r="G191" s="85" t="s">
        <v>198</v>
      </c>
      <c r="H191" s="36" t="s">
        <v>158</v>
      </c>
      <c r="I191" s="36">
        <v>2</v>
      </c>
      <c r="J191" s="85" t="s">
        <v>202</v>
      </c>
      <c r="K191" s="36" t="s">
        <v>203</v>
      </c>
      <c r="L191" s="36">
        <v>2</v>
      </c>
      <c r="M191" s="18"/>
      <c r="N191" s="13"/>
      <c r="O191" s="84"/>
      <c r="P191" s="2" t="s">
        <v>178</v>
      </c>
      <c r="Q191" s="2" t="s">
        <v>186</v>
      </c>
      <c r="R191" s="2" t="s">
        <v>190</v>
      </c>
      <c r="S191" s="14"/>
      <c r="T191" s="13"/>
      <c r="AX191" s="14"/>
    </row>
    <row r="192" spans="1:50" ht="23" customHeight="1" thickBot="1" x14ac:dyDescent="0.35">
      <c r="A192" s="63"/>
      <c r="B192" s="76"/>
      <c r="C192" s="25"/>
      <c r="D192" s="86"/>
      <c r="E192" s="36" t="s">
        <v>195</v>
      </c>
      <c r="F192" s="36">
        <v>2</v>
      </c>
      <c r="G192" s="86"/>
      <c r="H192" s="36" t="s">
        <v>159</v>
      </c>
      <c r="I192" s="36">
        <v>2</v>
      </c>
      <c r="J192" s="86"/>
      <c r="K192" s="36" t="s">
        <v>166</v>
      </c>
      <c r="L192" s="36">
        <v>2</v>
      </c>
      <c r="M192" s="18"/>
      <c r="O192" s="1">
        <v>1</v>
      </c>
      <c r="P192" s="1">
        <v>1</v>
      </c>
      <c r="Q192" s="1">
        <v>0</v>
      </c>
      <c r="R192" s="1">
        <v>0</v>
      </c>
      <c r="S192" s="14"/>
      <c r="Z192" s="23" t="s">
        <v>194</v>
      </c>
      <c r="AK192" s="23" t="s">
        <v>198</v>
      </c>
      <c r="AT192" s="23" t="s">
        <v>202</v>
      </c>
      <c r="AX192" s="14"/>
    </row>
    <row r="193" spans="1:50" ht="25" customHeight="1" thickTop="1" thickBot="1" x14ac:dyDescent="0.35">
      <c r="A193" s="63"/>
      <c r="B193" s="76"/>
      <c r="C193" s="25"/>
      <c r="D193" s="86"/>
      <c r="E193" s="36" t="s">
        <v>196</v>
      </c>
      <c r="F193" s="36">
        <v>2</v>
      </c>
      <c r="G193" s="86"/>
      <c r="H193" s="36" t="s">
        <v>160</v>
      </c>
      <c r="I193" s="36">
        <v>1</v>
      </c>
      <c r="J193" s="86"/>
      <c r="K193" s="36" t="s">
        <v>167</v>
      </c>
      <c r="L193" s="36">
        <v>2</v>
      </c>
      <c r="M193" s="18"/>
      <c r="O193" s="1">
        <v>2</v>
      </c>
      <c r="P193" s="1">
        <v>1</v>
      </c>
      <c r="Q193" s="1">
        <v>2</v>
      </c>
      <c r="R193" s="1">
        <v>1</v>
      </c>
      <c r="S193" s="14"/>
      <c r="U193" s="7" t="s">
        <v>146</v>
      </c>
      <c r="V193" s="7" t="s">
        <v>147</v>
      </c>
      <c r="W193" s="7" t="s">
        <v>148</v>
      </c>
      <c r="X193" s="7" t="s">
        <v>149</v>
      </c>
      <c r="Y193" s="7" t="s">
        <v>150</v>
      </c>
      <c r="Z193" s="8" t="s">
        <v>151</v>
      </c>
      <c r="AA193" s="7" t="s">
        <v>152</v>
      </c>
      <c r="AB193" s="7" t="s">
        <v>153</v>
      </c>
      <c r="AC193" s="7" t="s">
        <v>154</v>
      </c>
      <c r="AD193" s="7" t="s">
        <v>155</v>
      </c>
      <c r="AE193" s="8" t="s">
        <v>156</v>
      </c>
      <c r="AF193" s="7" t="s">
        <v>157</v>
      </c>
      <c r="AH193" s="7" t="s">
        <v>146</v>
      </c>
      <c r="AI193" s="7" t="s">
        <v>147</v>
      </c>
      <c r="AJ193" s="7" t="s">
        <v>158</v>
      </c>
      <c r="AK193" s="7" t="s">
        <v>159</v>
      </c>
      <c r="AL193" s="7" t="s">
        <v>160</v>
      </c>
      <c r="AM193" s="7" t="s">
        <v>161</v>
      </c>
      <c r="AN193" s="7" t="s">
        <v>162</v>
      </c>
      <c r="AO193" s="7" t="s">
        <v>163</v>
      </c>
      <c r="AP193" s="7" t="s">
        <v>164</v>
      </c>
      <c r="AR193" s="7" t="s">
        <v>146</v>
      </c>
      <c r="AS193" s="7" t="s">
        <v>147</v>
      </c>
      <c r="AT193" s="7" t="s">
        <v>165</v>
      </c>
      <c r="AU193" s="7" t="s">
        <v>166</v>
      </c>
      <c r="AV193" s="7" t="s">
        <v>167</v>
      </c>
      <c r="AW193" s="7" t="s">
        <v>168</v>
      </c>
      <c r="AX193" s="14"/>
    </row>
    <row r="194" spans="1:50" ht="24" customHeight="1" thickTop="1" thickBot="1" x14ac:dyDescent="0.35">
      <c r="A194" s="63"/>
      <c r="B194" s="76"/>
      <c r="C194" s="25"/>
      <c r="D194" s="86"/>
      <c r="E194" s="1" t="s">
        <v>151</v>
      </c>
      <c r="F194" s="36">
        <v>2</v>
      </c>
      <c r="G194" s="86"/>
      <c r="H194" s="36" t="s">
        <v>199</v>
      </c>
      <c r="I194" s="36">
        <v>2</v>
      </c>
      <c r="J194" s="87"/>
      <c r="K194" s="38" t="s">
        <v>168</v>
      </c>
      <c r="L194" s="38">
        <v>2</v>
      </c>
      <c r="M194" s="18"/>
      <c r="O194" s="1">
        <v>3</v>
      </c>
      <c r="P194" s="1">
        <v>0</v>
      </c>
      <c r="Q194" s="1">
        <v>1</v>
      </c>
      <c r="R194" s="1">
        <v>1</v>
      </c>
      <c r="S194" s="14"/>
      <c r="U194" s="9" t="s">
        <v>171</v>
      </c>
      <c r="V194" s="10" t="s">
        <v>172</v>
      </c>
      <c r="W194" s="9">
        <v>7.59</v>
      </c>
      <c r="X194" s="9">
        <v>0.87</v>
      </c>
      <c r="Y194" s="9">
        <v>1.1399999999999999</v>
      </c>
      <c r="Z194" s="9">
        <v>0.6</v>
      </c>
      <c r="AA194" s="9">
        <v>2.5</v>
      </c>
      <c r="AB194" s="9">
        <v>0.84</v>
      </c>
      <c r="AC194" s="9">
        <v>0.96</v>
      </c>
      <c r="AD194" s="9">
        <v>1.08</v>
      </c>
      <c r="AE194" s="9">
        <v>1.1100000000000001</v>
      </c>
      <c r="AF194" s="9">
        <v>2.2999999999999998</v>
      </c>
      <c r="AH194" s="9" t="s">
        <v>173</v>
      </c>
      <c r="AI194" s="10" t="s">
        <v>174</v>
      </c>
      <c r="AJ194" s="9">
        <v>6.43</v>
      </c>
      <c r="AK194" s="9">
        <v>6.76</v>
      </c>
      <c r="AL194" s="9">
        <v>3</v>
      </c>
      <c r="AM194" s="9">
        <v>6.34</v>
      </c>
      <c r="AN194" s="9">
        <v>1.93</v>
      </c>
      <c r="AO194" s="9">
        <v>7.53</v>
      </c>
      <c r="AP194" s="9">
        <v>5.33</v>
      </c>
      <c r="AR194" s="9" t="s">
        <v>175</v>
      </c>
      <c r="AS194" s="10" t="s">
        <v>176</v>
      </c>
      <c r="AT194" s="9">
        <v>2.61</v>
      </c>
      <c r="AU194" s="9">
        <v>1.17</v>
      </c>
      <c r="AV194" s="9">
        <v>2.12</v>
      </c>
      <c r="AW194" s="9">
        <v>2</v>
      </c>
      <c r="AX194" s="14"/>
    </row>
    <row r="195" spans="1:50" ht="24" customHeight="1" thickTop="1" thickBot="1" x14ac:dyDescent="0.35">
      <c r="A195" s="63"/>
      <c r="B195" s="76"/>
      <c r="C195" s="25"/>
      <c r="D195" s="86"/>
      <c r="E195" s="36" t="s">
        <v>152</v>
      </c>
      <c r="F195" s="36">
        <v>2</v>
      </c>
      <c r="G195" s="86"/>
      <c r="H195" s="36" t="s">
        <v>200</v>
      </c>
      <c r="I195" s="36">
        <v>1</v>
      </c>
      <c r="J195" s="39"/>
      <c r="K195" s="39"/>
      <c r="L195" s="39"/>
      <c r="M195" s="18"/>
      <c r="O195" s="1">
        <v>4</v>
      </c>
      <c r="P195" s="1">
        <v>0</v>
      </c>
      <c r="Q195" s="1">
        <v>2</v>
      </c>
      <c r="R195" s="1">
        <v>2</v>
      </c>
      <c r="S195" s="14"/>
      <c r="U195" s="9" t="s">
        <v>179</v>
      </c>
      <c r="V195" s="10" t="s">
        <v>180</v>
      </c>
      <c r="W195" s="9">
        <v>7.89</v>
      </c>
      <c r="X195" s="9">
        <v>0.68</v>
      </c>
      <c r="Y195" s="9">
        <v>1.1200000000000001</v>
      </c>
      <c r="Z195" s="9">
        <v>0.62</v>
      </c>
      <c r="AA195" s="9">
        <v>2.5</v>
      </c>
      <c r="AB195" s="9">
        <v>0.83</v>
      </c>
      <c r="AC195" s="9">
        <v>0.95</v>
      </c>
      <c r="AD195" s="9">
        <v>1</v>
      </c>
      <c r="AE195" s="9">
        <v>1.25</v>
      </c>
      <c r="AF195" s="9">
        <v>1.5</v>
      </c>
      <c r="AH195" s="11" t="s">
        <v>181</v>
      </c>
      <c r="AI195" s="12" t="s">
        <v>182</v>
      </c>
      <c r="AJ195" s="11">
        <v>6.77</v>
      </c>
      <c r="AK195" s="11">
        <v>7.13</v>
      </c>
      <c r="AL195" s="11">
        <v>3</v>
      </c>
      <c r="AM195" s="11">
        <v>7.43</v>
      </c>
      <c r="AN195" s="11">
        <v>2.23</v>
      </c>
      <c r="AO195" s="11">
        <v>8.43</v>
      </c>
      <c r="AP195" s="11">
        <v>5.67</v>
      </c>
      <c r="AR195" s="11" t="s">
        <v>183</v>
      </c>
      <c r="AS195" s="12" t="s">
        <v>184</v>
      </c>
      <c r="AT195" s="11">
        <v>3.12</v>
      </c>
      <c r="AU195" s="11">
        <v>1.07</v>
      </c>
      <c r="AV195" s="11">
        <v>2.7</v>
      </c>
      <c r="AW195" s="11">
        <v>2</v>
      </c>
      <c r="AX195" s="14"/>
    </row>
    <row r="196" spans="1:50" ht="23.5" customHeight="1" thickTop="1" thickBot="1" x14ac:dyDescent="0.35">
      <c r="A196" s="63"/>
      <c r="B196" s="76"/>
      <c r="C196" s="25"/>
      <c r="D196" s="86"/>
      <c r="E196" s="36" t="s">
        <v>153</v>
      </c>
      <c r="F196" s="36">
        <v>2</v>
      </c>
      <c r="G196" s="86"/>
      <c r="H196" s="36" t="s">
        <v>201</v>
      </c>
      <c r="I196" s="36">
        <v>1</v>
      </c>
      <c r="J196" s="25"/>
      <c r="K196" s="25"/>
      <c r="L196" s="25"/>
      <c r="M196" s="18"/>
      <c r="O196" s="1">
        <v>5</v>
      </c>
      <c r="P196" s="1">
        <v>1</v>
      </c>
      <c r="Q196" s="1">
        <v>1</v>
      </c>
      <c r="R196" s="1">
        <v>1</v>
      </c>
      <c r="S196" s="14"/>
      <c r="U196" s="11" t="s">
        <v>187</v>
      </c>
      <c r="V196" s="12" t="s">
        <v>188</v>
      </c>
      <c r="W196" s="11">
        <v>8.56</v>
      </c>
      <c r="X196" s="11">
        <v>0.75</v>
      </c>
      <c r="Y196" s="11">
        <v>1.03</v>
      </c>
      <c r="Z196" s="11">
        <v>0.75</v>
      </c>
      <c r="AA196" s="11">
        <v>2.5</v>
      </c>
      <c r="AB196" s="11">
        <v>0.8</v>
      </c>
      <c r="AC196" s="11">
        <v>1</v>
      </c>
      <c r="AD196" s="11">
        <v>1</v>
      </c>
      <c r="AE196" s="11">
        <v>1.3</v>
      </c>
      <c r="AF196" s="11">
        <v>1.5</v>
      </c>
      <c r="AX196" s="14"/>
    </row>
    <row r="197" spans="1:50" ht="23.5" customHeight="1" thickTop="1" thickBot="1" x14ac:dyDescent="0.35">
      <c r="A197" s="63"/>
      <c r="B197" s="76"/>
      <c r="C197" s="25"/>
      <c r="D197" s="86"/>
      <c r="E197" s="1" t="s">
        <v>156</v>
      </c>
      <c r="F197" s="36">
        <v>1</v>
      </c>
      <c r="G197" s="87"/>
      <c r="H197" s="38" t="s">
        <v>164</v>
      </c>
      <c r="I197" s="38">
        <v>1</v>
      </c>
      <c r="J197" s="36"/>
      <c r="K197" s="25"/>
      <c r="L197" s="25"/>
      <c r="M197" s="18"/>
      <c r="O197" s="1">
        <v>6</v>
      </c>
      <c r="P197" s="1">
        <v>2</v>
      </c>
      <c r="Q197" s="1">
        <v>1</v>
      </c>
      <c r="R197" s="1">
        <v>1</v>
      </c>
      <c r="S197" s="14"/>
      <c r="U197" s="9"/>
      <c r="V197" s="10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X197" s="14"/>
    </row>
    <row r="198" spans="1:50" ht="23.5" customHeight="1" thickTop="1" thickBot="1" x14ac:dyDescent="0.35">
      <c r="A198" s="63"/>
      <c r="B198" s="76"/>
      <c r="C198" s="25"/>
      <c r="D198" s="87"/>
      <c r="E198" s="38" t="s">
        <v>197</v>
      </c>
      <c r="F198" s="38">
        <v>1</v>
      </c>
      <c r="G198" s="39"/>
      <c r="H198" s="39"/>
      <c r="I198" s="39"/>
      <c r="J198" s="36"/>
      <c r="K198" s="36"/>
      <c r="L198" s="25"/>
      <c r="M198" s="18"/>
      <c r="O198" s="1">
        <v>7</v>
      </c>
      <c r="P198" s="1">
        <v>1</v>
      </c>
      <c r="Q198" s="1">
        <v>1</v>
      </c>
      <c r="R198" s="1">
        <v>1</v>
      </c>
      <c r="S198" s="14"/>
      <c r="U198" s="9"/>
      <c r="V198" s="10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X198" s="14"/>
    </row>
    <row r="199" spans="1:50" ht="23.5" customHeight="1" thickTop="1" thickBot="1" x14ac:dyDescent="0.35">
      <c r="A199" s="63"/>
      <c r="B199" s="76"/>
      <c r="C199" s="25"/>
      <c r="D199" s="39"/>
      <c r="E199" s="39"/>
      <c r="F199" s="39"/>
      <c r="G199" s="25"/>
      <c r="H199" s="25"/>
      <c r="I199" s="25"/>
      <c r="J199" s="25"/>
      <c r="K199" s="25"/>
      <c r="L199" s="25"/>
      <c r="M199" s="18"/>
      <c r="O199" s="4">
        <v>8</v>
      </c>
      <c r="P199" s="4">
        <v>0</v>
      </c>
      <c r="Q199" s="4">
        <v>0</v>
      </c>
      <c r="R199" s="4">
        <v>1</v>
      </c>
      <c r="S199" s="14"/>
      <c r="AX199" s="14"/>
    </row>
    <row r="200" spans="1:50" ht="23.5" customHeight="1" thickTop="1" thickBot="1" x14ac:dyDescent="0.35">
      <c r="A200" s="63"/>
      <c r="B200" s="81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19"/>
      <c r="N200" s="15"/>
      <c r="O200" s="15"/>
      <c r="P200" s="15"/>
      <c r="Q200" s="15"/>
      <c r="R200" s="15"/>
      <c r="S200" s="16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6"/>
    </row>
    <row r="201" spans="1:50" ht="15" customHeight="1" thickTop="1" thickBot="1" x14ac:dyDescent="0.35">
      <c r="A201" s="63"/>
      <c r="B201" s="89" t="s">
        <v>81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17"/>
      <c r="N201" s="24"/>
      <c r="O201" s="24"/>
      <c r="P201" s="24"/>
      <c r="Q201" s="24"/>
      <c r="R201" s="24"/>
      <c r="S201" s="1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17"/>
    </row>
    <row r="202" spans="1:50" ht="31" customHeight="1" thickTop="1" thickBot="1" x14ac:dyDescent="0.35">
      <c r="A202" s="63"/>
      <c r="B202" s="76"/>
      <c r="C202" s="24"/>
      <c r="D202" s="27" t="s">
        <v>191</v>
      </c>
      <c r="E202" s="27" t="s">
        <v>192</v>
      </c>
      <c r="F202" s="27" t="s">
        <v>193</v>
      </c>
      <c r="G202" s="27" t="s">
        <v>191</v>
      </c>
      <c r="H202" s="27" t="s">
        <v>192</v>
      </c>
      <c r="I202" s="27" t="s">
        <v>193</v>
      </c>
      <c r="J202" s="27" t="s">
        <v>191</v>
      </c>
      <c r="K202" s="27" t="s">
        <v>192</v>
      </c>
      <c r="L202" s="27" t="s">
        <v>193</v>
      </c>
      <c r="M202" s="17"/>
      <c r="N202" s="24"/>
      <c r="O202" s="82" t="s">
        <v>205</v>
      </c>
      <c r="P202" s="82" t="s">
        <v>206</v>
      </c>
      <c r="Q202" s="83"/>
      <c r="R202" s="83"/>
      <c r="S202" s="1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17"/>
    </row>
    <row r="203" spans="1:50" ht="23.5" customHeight="1" thickTop="1" thickBot="1" x14ac:dyDescent="0.35">
      <c r="A203" s="63"/>
      <c r="B203" s="76"/>
      <c r="C203" s="33"/>
      <c r="D203" s="88" t="s">
        <v>194</v>
      </c>
      <c r="E203" s="36" t="s">
        <v>148</v>
      </c>
      <c r="F203" s="36">
        <v>5</v>
      </c>
      <c r="G203" s="85" t="s">
        <v>198</v>
      </c>
      <c r="H203" s="36" t="s">
        <v>158</v>
      </c>
      <c r="I203" s="36">
        <v>2</v>
      </c>
      <c r="J203" s="85" t="s">
        <v>202</v>
      </c>
      <c r="K203" s="36" t="s">
        <v>203</v>
      </c>
      <c r="L203" s="36">
        <v>2</v>
      </c>
      <c r="M203" s="18"/>
      <c r="N203" s="13"/>
      <c r="O203" s="84"/>
      <c r="P203" s="2" t="s">
        <v>178</v>
      </c>
      <c r="Q203" s="2" t="s">
        <v>186</v>
      </c>
      <c r="R203" s="2" t="s">
        <v>190</v>
      </c>
      <c r="S203" s="14"/>
      <c r="T203" s="13"/>
      <c r="AX203" s="14"/>
    </row>
    <row r="204" spans="1:50" ht="23" customHeight="1" thickBot="1" x14ac:dyDescent="0.35">
      <c r="A204" s="63"/>
      <c r="B204" s="76"/>
      <c r="C204" s="25"/>
      <c r="D204" s="86"/>
      <c r="E204" s="36" t="s">
        <v>195</v>
      </c>
      <c r="F204" s="36">
        <v>2</v>
      </c>
      <c r="G204" s="86"/>
      <c r="H204" s="36" t="s">
        <v>159</v>
      </c>
      <c r="I204" s="36">
        <v>2</v>
      </c>
      <c r="J204" s="86"/>
      <c r="K204" s="36" t="s">
        <v>166</v>
      </c>
      <c r="L204" s="36">
        <v>2</v>
      </c>
      <c r="M204" s="18"/>
      <c r="O204" s="1">
        <v>1</v>
      </c>
      <c r="P204" s="1">
        <v>1</v>
      </c>
      <c r="Q204" s="1">
        <v>0</v>
      </c>
      <c r="R204" s="1">
        <v>1</v>
      </c>
      <c r="S204" s="14"/>
      <c r="Z204" s="23" t="s">
        <v>194</v>
      </c>
      <c r="AK204" s="23" t="s">
        <v>198</v>
      </c>
      <c r="AT204" s="23" t="s">
        <v>202</v>
      </c>
      <c r="AX204" s="14"/>
    </row>
    <row r="205" spans="1:50" ht="25" customHeight="1" thickTop="1" thickBot="1" x14ac:dyDescent="0.35">
      <c r="A205" s="63"/>
      <c r="B205" s="76"/>
      <c r="C205" s="25"/>
      <c r="D205" s="86"/>
      <c r="E205" s="36" t="s">
        <v>196</v>
      </c>
      <c r="F205" s="36">
        <v>2</v>
      </c>
      <c r="G205" s="86"/>
      <c r="H205" s="36" t="s">
        <v>160</v>
      </c>
      <c r="I205" s="36">
        <v>1</v>
      </c>
      <c r="J205" s="86"/>
      <c r="K205" s="36" t="s">
        <v>167</v>
      </c>
      <c r="L205" s="36">
        <v>2</v>
      </c>
      <c r="M205" s="18"/>
      <c r="O205" s="1">
        <v>2</v>
      </c>
      <c r="P205" s="1">
        <v>2</v>
      </c>
      <c r="Q205" s="1">
        <v>2</v>
      </c>
      <c r="R205" s="1">
        <v>1</v>
      </c>
      <c r="S205" s="14"/>
      <c r="U205" s="7" t="s">
        <v>146</v>
      </c>
      <c r="V205" s="7" t="s">
        <v>147</v>
      </c>
      <c r="W205" s="7" t="s">
        <v>148</v>
      </c>
      <c r="X205" s="7" t="s">
        <v>149</v>
      </c>
      <c r="Y205" s="7" t="s">
        <v>150</v>
      </c>
      <c r="Z205" s="8" t="s">
        <v>151</v>
      </c>
      <c r="AA205" s="7" t="s">
        <v>152</v>
      </c>
      <c r="AB205" s="7" t="s">
        <v>153</v>
      </c>
      <c r="AC205" s="7" t="s">
        <v>154</v>
      </c>
      <c r="AD205" s="7" t="s">
        <v>155</v>
      </c>
      <c r="AE205" s="8" t="s">
        <v>156</v>
      </c>
      <c r="AF205" s="7" t="s">
        <v>157</v>
      </c>
      <c r="AH205" s="7" t="s">
        <v>146</v>
      </c>
      <c r="AI205" s="7" t="s">
        <v>147</v>
      </c>
      <c r="AJ205" s="7" t="s">
        <v>158</v>
      </c>
      <c r="AK205" s="7" t="s">
        <v>159</v>
      </c>
      <c r="AL205" s="7" t="s">
        <v>160</v>
      </c>
      <c r="AM205" s="7" t="s">
        <v>161</v>
      </c>
      <c r="AN205" s="7" t="s">
        <v>162</v>
      </c>
      <c r="AO205" s="7" t="s">
        <v>163</v>
      </c>
      <c r="AP205" s="7" t="s">
        <v>164</v>
      </c>
      <c r="AR205" s="7" t="s">
        <v>146</v>
      </c>
      <c r="AS205" s="7" t="s">
        <v>147</v>
      </c>
      <c r="AT205" s="7" t="s">
        <v>165</v>
      </c>
      <c r="AU205" s="7" t="s">
        <v>166</v>
      </c>
      <c r="AV205" s="7" t="s">
        <v>167</v>
      </c>
      <c r="AW205" s="7" t="s">
        <v>168</v>
      </c>
      <c r="AX205" s="14"/>
    </row>
    <row r="206" spans="1:50" ht="24" customHeight="1" thickTop="1" thickBot="1" x14ac:dyDescent="0.35">
      <c r="A206" s="63"/>
      <c r="B206" s="76"/>
      <c r="C206" s="25"/>
      <c r="D206" s="86"/>
      <c r="E206" s="1" t="s">
        <v>151</v>
      </c>
      <c r="F206" s="36">
        <v>2</v>
      </c>
      <c r="G206" s="86"/>
      <c r="H206" s="36" t="s">
        <v>199</v>
      </c>
      <c r="I206" s="36">
        <v>2</v>
      </c>
      <c r="J206" s="87"/>
      <c r="K206" s="38" t="s">
        <v>168</v>
      </c>
      <c r="L206" s="38">
        <v>2</v>
      </c>
      <c r="M206" s="18"/>
      <c r="O206" s="1">
        <v>3</v>
      </c>
      <c r="P206" s="1">
        <v>0</v>
      </c>
      <c r="Q206" s="1">
        <v>1</v>
      </c>
      <c r="R206" s="1">
        <v>1</v>
      </c>
      <c r="S206" s="14"/>
      <c r="U206" s="9" t="s">
        <v>171</v>
      </c>
      <c r="V206" s="10" t="s">
        <v>172</v>
      </c>
      <c r="W206" s="9">
        <v>9.02</v>
      </c>
      <c r="X206" s="9">
        <v>0.9</v>
      </c>
      <c r="Y206" s="9">
        <v>1.25</v>
      </c>
      <c r="Z206" s="9">
        <v>0.56999999999999995</v>
      </c>
      <c r="AA206" s="9">
        <v>2.85</v>
      </c>
      <c r="AB206" s="9">
        <v>0.89</v>
      </c>
      <c r="AC206" s="9">
        <v>1</v>
      </c>
      <c r="AD206" s="9">
        <v>1.1499999999999999</v>
      </c>
      <c r="AE206" s="9">
        <v>1.4</v>
      </c>
      <c r="AF206" s="9">
        <v>2.2999999999999998</v>
      </c>
      <c r="AH206" s="9" t="s">
        <v>173</v>
      </c>
      <c r="AI206" s="10" t="s">
        <v>174</v>
      </c>
      <c r="AJ206" s="9">
        <v>6</v>
      </c>
      <c r="AK206" s="9">
        <v>6.5</v>
      </c>
      <c r="AL206" s="9">
        <v>3</v>
      </c>
      <c r="AM206" s="9">
        <v>6</v>
      </c>
      <c r="AN206" s="9">
        <v>1.5</v>
      </c>
      <c r="AO206" s="9">
        <v>7</v>
      </c>
      <c r="AP206" s="9">
        <v>5</v>
      </c>
      <c r="AR206" s="9" t="s">
        <v>175</v>
      </c>
      <c r="AS206" s="10" t="s">
        <v>176</v>
      </c>
      <c r="AT206" s="9">
        <v>3.3</v>
      </c>
      <c r="AU206" s="9">
        <v>1.1000000000000001</v>
      </c>
      <c r="AV206" s="9">
        <v>2.5499999999999998</v>
      </c>
      <c r="AW206" s="9">
        <v>2</v>
      </c>
      <c r="AX206" s="14"/>
    </row>
    <row r="207" spans="1:50" ht="24" customHeight="1" thickTop="1" thickBot="1" x14ac:dyDescent="0.35">
      <c r="A207" s="63"/>
      <c r="B207" s="76"/>
      <c r="C207" s="25"/>
      <c r="D207" s="86"/>
      <c r="E207" s="36" t="s">
        <v>152</v>
      </c>
      <c r="F207" s="36">
        <v>2</v>
      </c>
      <c r="G207" s="86"/>
      <c r="H207" s="36" t="s">
        <v>200</v>
      </c>
      <c r="I207" s="36">
        <v>1</v>
      </c>
      <c r="J207" s="39"/>
      <c r="K207" s="39"/>
      <c r="L207" s="39"/>
      <c r="M207" s="18"/>
      <c r="O207" s="1">
        <v>4</v>
      </c>
      <c r="P207" s="1">
        <v>0</v>
      </c>
      <c r="Q207" s="1">
        <v>1</v>
      </c>
      <c r="R207" s="1">
        <v>0</v>
      </c>
      <c r="S207" s="14"/>
      <c r="U207" s="9" t="s">
        <v>179</v>
      </c>
      <c r="V207" s="10" t="s">
        <v>180</v>
      </c>
      <c r="W207" s="9">
        <v>7.32</v>
      </c>
      <c r="X207" s="9">
        <v>0.71</v>
      </c>
      <c r="Y207" s="9">
        <v>1.1499999999999999</v>
      </c>
      <c r="Z207" s="9">
        <v>0.68</v>
      </c>
      <c r="AA207" s="9">
        <v>2.63</v>
      </c>
      <c r="AB207" s="9">
        <v>0.85</v>
      </c>
      <c r="AC207" s="9">
        <v>0.97</v>
      </c>
      <c r="AD207" s="9">
        <v>1.1200000000000001</v>
      </c>
      <c r="AE207" s="9">
        <v>1.28</v>
      </c>
      <c r="AF207" s="9">
        <v>1.86</v>
      </c>
      <c r="AH207" s="11" t="s">
        <v>181</v>
      </c>
      <c r="AI207" s="12" t="s">
        <v>182</v>
      </c>
      <c r="AJ207" s="11">
        <v>7</v>
      </c>
      <c r="AK207" s="11">
        <v>7.5</v>
      </c>
      <c r="AL207" s="11">
        <v>3</v>
      </c>
      <c r="AM207" s="11">
        <v>8</v>
      </c>
      <c r="AN207" s="11">
        <v>2.5</v>
      </c>
      <c r="AO207" s="11">
        <v>9</v>
      </c>
      <c r="AP207" s="11">
        <v>6</v>
      </c>
      <c r="AR207" s="11" t="s">
        <v>183</v>
      </c>
      <c r="AS207" s="12" t="s">
        <v>184</v>
      </c>
      <c r="AT207" s="11">
        <v>2.57</v>
      </c>
      <c r="AU207" s="11">
        <v>1.22</v>
      </c>
      <c r="AV207" s="11">
        <v>2.95</v>
      </c>
      <c r="AW207" s="11">
        <v>2</v>
      </c>
      <c r="AX207" s="14"/>
    </row>
    <row r="208" spans="1:50" ht="23.5" customHeight="1" thickTop="1" thickBot="1" x14ac:dyDescent="0.35">
      <c r="A208" s="63"/>
      <c r="B208" s="76"/>
      <c r="C208" s="25"/>
      <c r="D208" s="86"/>
      <c r="E208" s="36" t="s">
        <v>153</v>
      </c>
      <c r="F208" s="36">
        <v>2</v>
      </c>
      <c r="G208" s="86"/>
      <c r="H208" s="36" t="s">
        <v>201</v>
      </c>
      <c r="I208" s="36">
        <v>1</v>
      </c>
      <c r="J208" s="25"/>
      <c r="K208" s="25"/>
      <c r="L208" s="25"/>
      <c r="M208" s="18"/>
      <c r="O208" s="1">
        <v>5</v>
      </c>
      <c r="P208" s="1">
        <v>1</v>
      </c>
      <c r="Q208" s="1">
        <v>1</v>
      </c>
      <c r="R208" s="1">
        <v>1</v>
      </c>
      <c r="S208" s="14"/>
      <c r="U208" s="11" t="s">
        <v>187</v>
      </c>
      <c r="V208" s="12" t="s">
        <v>188</v>
      </c>
      <c r="W208" s="11">
        <v>8.75</v>
      </c>
      <c r="X208" s="11">
        <v>0.69</v>
      </c>
      <c r="Y208" s="11">
        <v>1.02</v>
      </c>
      <c r="Z208" s="11">
        <v>0.57999999999999996</v>
      </c>
      <c r="AA208" s="11">
        <v>2.5</v>
      </c>
      <c r="AB208" s="11">
        <v>0.82</v>
      </c>
      <c r="AC208" s="11">
        <v>0.99</v>
      </c>
      <c r="AD208" s="11">
        <v>1.05</v>
      </c>
      <c r="AE208" s="11">
        <v>1.1000000000000001</v>
      </c>
      <c r="AF208" s="11">
        <v>2.14</v>
      </c>
      <c r="AX208" s="14"/>
    </row>
    <row r="209" spans="1:50" ht="23.5" customHeight="1" thickTop="1" thickBot="1" x14ac:dyDescent="0.35">
      <c r="A209" s="63"/>
      <c r="B209" s="76"/>
      <c r="C209" s="25"/>
      <c r="D209" s="86"/>
      <c r="E209" s="1" t="s">
        <v>156</v>
      </c>
      <c r="F209" s="36">
        <v>1</v>
      </c>
      <c r="G209" s="87"/>
      <c r="H209" s="38" t="s">
        <v>164</v>
      </c>
      <c r="I209" s="38">
        <v>1</v>
      </c>
      <c r="J209" s="36"/>
      <c r="K209" s="25"/>
      <c r="L209" s="25"/>
      <c r="M209" s="18"/>
      <c r="O209" s="1">
        <v>6</v>
      </c>
      <c r="P209" s="1">
        <v>2</v>
      </c>
      <c r="Q209" s="1">
        <v>1</v>
      </c>
      <c r="R209" s="1">
        <v>1</v>
      </c>
      <c r="S209" s="14"/>
      <c r="U209" s="9"/>
      <c r="V209" s="10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X209" s="14"/>
    </row>
    <row r="210" spans="1:50" ht="23.5" customHeight="1" thickTop="1" thickBot="1" x14ac:dyDescent="0.35">
      <c r="A210" s="63"/>
      <c r="B210" s="76"/>
      <c r="C210" s="25"/>
      <c r="D210" s="87"/>
      <c r="E210" s="38" t="s">
        <v>197</v>
      </c>
      <c r="F210" s="38">
        <v>1</v>
      </c>
      <c r="G210" s="39"/>
      <c r="H210" s="39"/>
      <c r="I210" s="39"/>
      <c r="J210" s="36"/>
      <c r="K210" s="36"/>
      <c r="L210" s="25"/>
      <c r="M210" s="18"/>
      <c r="O210" s="1">
        <v>7</v>
      </c>
      <c r="P210" s="1">
        <v>1</v>
      </c>
      <c r="Q210" s="1">
        <v>1</v>
      </c>
      <c r="R210" s="1">
        <v>1</v>
      </c>
      <c r="S210" s="14"/>
      <c r="U210" s="9"/>
      <c r="V210" s="10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X210" s="14"/>
    </row>
    <row r="211" spans="1:50" ht="23.5" customHeight="1" thickTop="1" thickBot="1" x14ac:dyDescent="0.35">
      <c r="A211" s="63"/>
      <c r="B211" s="76"/>
      <c r="C211" s="25"/>
      <c r="D211" s="39"/>
      <c r="E211" s="39"/>
      <c r="F211" s="39"/>
      <c r="G211" s="25"/>
      <c r="H211" s="25"/>
      <c r="I211" s="25"/>
      <c r="J211" s="25"/>
      <c r="K211" s="25"/>
      <c r="L211" s="25"/>
      <c r="M211" s="18"/>
      <c r="O211" s="4">
        <v>8</v>
      </c>
      <c r="P211" s="4">
        <v>2</v>
      </c>
      <c r="Q211" s="4">
        <v>0</v>
      </c>
      <c r="R211" s="4">
        <v>2</v>
      </c>
      <c r="S211" s="14"/>
      <c r="AX211" s="14"/>
    </row>
    <row r="212" spans="1:50" ht="23.5" customHeight="1" thickTop="1" thickBot="1" x14ac:dyDescent="0.35">
      <c r="A212" s="64"/>
      <c r="B212" s="81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19"/>
      <c r="N212" s="15"/>
      <c r="O212" s="15"/>
      <c r="P212" s="15"/>
      <c r="Q212" s="15"/>
      <c r="R212" s="15"/>
      <c r="S212" s="16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6"/>
    </row>
    <row r="213" spans="1:50" ht="15" customHeight="1" thickTop="1" thickBot="1" x14ac:dyDescent="0.35">
      <c r="A213" s="90">
        <v>3</v>
      </c>
      <c r="B213" s="89" t="s">
        <v>82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17"/>
      <c r="N213" s="24"/>
      <c r="O213" s="24"/>
      <c r="P213" s="24"/>
      <c r="Q213" s="24"/>
      <c r="R213" s="24"/>
      <c r="S213" s="1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17"/>
    </row>
    <row r="214" spans="1:50" ht="31" customHeight="1" thickTop="1" thickBot="1" x14ac:dyDescent="0.35">
      <c r="A214" s="63"/>
      <c r="B214" s="76"/>
      <c r="C214" s="24"/>
      <c r="D214" s="27" t="s">
        <v>191</v>
      </c>
      <c r="E214" s="27" t="s">
        <v>192</v>
      </c>
      <c r="F214" s="27" t="s">
        <v>193</v>
      </c>
      <c r="G214" s="27" t="s">
        <v>191</v>
      </c>
      <c r="H214" s="27" t="s">
        <v>192</v>
      </c>
      <c r="I214" s="27" t="s">
        <v>193</v>
      </c>
      <c r="J214" s="27" t="s">
        <v>191</v>
      </c>
      <c r="K214" s="27" t="s">
        <v>192</v>
      </c>
      <c r="L214" s="27" t="s">
        <v>193</v>
      </c>
      <c r="M214" s="17"/>
      <c r="N214" s="24"/>
      <c r="O214" s="82" t="s">
        <v>205</v>
      </c>
      <c r="P214" s="82" t="s">
        <v>206</v>
      </c>
      <c r="Q214" s="83"/>
      <c r="R214" s="83"/>
      <c r="S214" s="1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17"/>
    </row>
    <row r="215" spans="1:50" ht="23.5" customHeight="1" thickTop="1" thickBot="1" x14ac:dyDescent="0.35">
      <c r="A215" s="63"/>
      <c r="B215" s="76"/>
      <c r="C215" s="33"/>
      <c r="D215" s="88" t="s">
        <v>194</v>
      </c>
      <c r="E215" s="36" t="s">
        <v>148</v>
      </c>
      <c r="F215" s="36">
        <v>5</v>
      </c>
      <c r="G215" s="85" t="s">
        <v>198</v>
      </c>
      <c r="H215" s="36" t="s">
        <v>158</v>
      </c>
      <c r="I215" s="36">
        <v>2</v>
      </c>
      <c r="J215" s="85" t="s">
        <v>202</v>
      </c>
      <c r="K215" s="36" t="s">
        <v>203</v>
      </c>
      <c r="L215" s="36">
        <v>2</v>
      </c>
      <c r="M215" s="18"/>
      <c r="N215" s="13"/>
      <c r="O215" s="84"/>
      <c r="P215" s="2" t="s">
        <v>178</v>
      </c>
      <c r="Q215" s="2" t="s">
        <v>186</v>
      </c>
      <c r="R215" s="2" t="s">
        <v>190</v>
      </c>
      <c r="S215" s="14"/>
      <c r="T215" s="13"/>
      <c r="AX215" s="14"/>
    </row>
    <row r="216" spans="1:50" ht="23" customHeight="1" thickBot="1" x14ac:dyDescent="0.35">
      <c r="A216" s="63"/>
      <c r="B216" s="76"/>
      <c r="C216" s="25"/>
      <c r="D216" s="86"/>
      <c r="E216" s="36" t="s">
        <v>195</v>
      </c>
      <c r="F216" s="36">
        <v>2</v>
      </c>
      <c r="G216" s="86"/>
      <c r="H216" s="36" t="s">
        <v>159</v>
      </c>
      <c r="I216" s="36">
        <v>1</v>
      </c>
      <c r="J216" s="86"/>
      <c r="K216" s="36" t="s">
        <v>166</v>
      </c>
      <c r="L216" s="36">
        <v>2</v>
      </c>
      <c r="M216" s="18"/>
      <c r="O216" s="1">
        <v>1</v>
      </c>
      <c r="P216" s="1">
        <v>1</v>
      </c>
      <c r="Q216" s="1">
        <v>0</v>
      </c>
      <c r="R216" s="1">
        <v>2</v>
      </c>
      <c r="S216" s="14"/>
      <c r="Z216" s="23" t="s">
        <v>194</v>
      </c>
      <c r="AK216" s="23" t="s">
        <v>198</v>
      </c>
      <c r="AT216" s="23" t="s">
        <v>202</v>
      </c>
      <c r="AX216" s="14"/>
    </row>
    <row r="217" spans="1:50" ht="25" customHeight="1" thickTop="1" thickBot="1" x14ac:dyDescent="0.35">
      <c r="A217" s="63"/>
      <c r="B217" s="76"/>
      <c r="C217" s="25"/>
      <c r="D217" s="86"/>
      <c r="E217" s="36" t="s">
        <v>196</v>
      </c>
      <c r="F217" s="36">
        <v>2</v>
      </c>
      <c r="G217" s="86"/>
      <c r="H217" s="36" t="s">
        <v>160</v>
      </c>
      <c r="I217" s="36">
        <v>1</v>
      </c>
      <c r="J217" s="86"/>
      <c r="K217" s="36" t="s">
        <v>167</v>
      </c>
      <c r="L217" s="36">
        <v>1</v>
      </c>
      <c r="M217" s="18"/>
      <c r="O217" s="1">
        <v>2</v>
      </c>
      <c r="P217" s="1">
        <v>2</v>
      </c>
      <c r="Q217" s="1">
        <v>1</v>
      </c>
      <c r="R217" s="1">
        <v>0</v>
      </c>
      <c r="S217" s="14"/>
      <c r="U217" s="7" t="s">
        <v>146</v>
      </c>
      <c r="V217" s="7" t="s">
        <v>147</v>
      </c>
      <c r="W217" s="7" t="s">
        <v>148</v>
      </c>
      <c r="X217" s="7" t="s">
        <v>149</v>
      </c>
      <c r="Y217" s="7" t="s">
        <v>150</v>
      </c>
      <c r="Z217" s="8" t="s">
        <v>151</v>
      </c>
      <c r="AA217" s="7" t="s">
        <v>152</v>
      </c>
      <c r="AB217" s="7" t="s">
        <v>153</v>
      </c>
      <c r="AC217" s="7" t="s">
        <v>154</v>
      </c>
      <c r="AD217" s="7" t="s">
        <v>155</v>
      </c>
      <c r="AE217" s="8" t="s">
        <v>156</v>
      </c>
      <c r="AF217" s="7" t="s">
        <v>157</v>
      </c>
      <c r="AH217" s="7" t="s">
        <v>146</v>
      </c>
      <c r="AI217" s="7" t="s">
        <v>147</v>
      </c>
      <c r="AJ217" s="7" t="s">
        <v>158</v>
      </c>
      <c r="AK217" s="7" t="s">
        <v>159</v>
      </c>
      <c r="AL217" s="7" t="s">
        <v>160</v>
      </c>
      <c r="AM217" s="7" t="s">
        <v>161</v>
      </c>
      <c r="AN217" s="7" t="s">
        <v>162</v>
      </c>
      <c r="AO217" s="7" t="s">
        <v>163</v>
      </c>
      <c r="AP217" s="7" t="s">
        <v>164</v>
      </c>
      <c r="AR217" s="7" t="s">
        <v>146</v>
      </c>
      <c r="AS217" s="7" t="s">
        <v>147</v>
      </c>
      <c r="AT217" s="7" t="s">
        <v>165</v>
      </c>
      <c r="AU217" s="7" t="s">
        <v>166</v>
      </c>
      <c r="AV217" s="7" t="s">
        <v>167</v>
      </c>
      <c r="AW217" s="7" t="s">
        <v>168</v>
      </c>
      <c r="AX217" s="14"/>
    </row>
    <row r="218" spans="1:50" ht="24" customHeight="1" thickTop="1" thickBot="1" x14ac:dyDescent="0.35">
      <c r="A218" s="63"/>
      <c r="B218" s="76"/>
      <c r="C218" s="25"/>
      <c r="D218" s="86"/>
      <c r="E218" s="1" t="s">
        <v>151</v>
      </c>
      <c r="F218" s="36">
        <v>1</v>
      </c>
      <c r="G218" s="86"/>
      <c r="H218" s="36" t="s">
        <v>199</v>
      </c>
      <c r="I218" s="36">
        <v>2</v>
      </c>
      <c r="J218" s="87"/>
      <c r="K218" s="38" t="s">
        <v>168</v>
      </c>
      <c r="L218" s="38">
        <v>1</v>
      </c>
      <c r="M218" s="18"/>
      <c r="O218" s="1">
        <v>3</v>
      </c>
      <c r="P218" s="1">
        <v>1</v>
      </c>
      <c r="Q218" s="1">
        <v>1</v>
      </c>
      <c r="R218" s="1">
        <v>0</v>
      </c>
      <c r="S218" s="14"/>
      <c r="U218" s="9" t="s">
        <v>171</v>
      </c>
      <c r="V218" s="10" t="s">
        <v>172</v>
      </c>
      <c r="W218" s="9">
        <v>9.1</v>
      </c>
      <c r="X218" s="9">
        <v>0.85</v>
      </c>
      <c r="Y218" s="9">
        <v>1.25</v>
      </c>
      <c r="Z218" s="9">
        <v>0.72</v>
      </c>
      <c r="AA218" s="9">
        <v>2.91</v>
      </c>
      <c r="AB218" s="9">
        <v>0.88</v>
      </c>
      <c r="AC218" s="9">
        <v>1</v>
      </c>
      <c r="AD218" s="9">
        <v>1.2</v>
      </c>
      <c r="AE218" s="9">
        <v>1.35</v>
      </c>
      <c r="AF218" s="9">
        <v>2.5</v>
      </c>
      <c r="AH218" s="9" t="s">
        <v>173</v>
      </c>
      <c r="AI218" s="10" t="s">
        <v>174</v>
      </c>
      <c r="AJ218" s="9">
        <v>6.15</v>
      </c>
      <c r="AK218" s="9">
        <v>6.57</v>
      </c>
      <c r="AL218" s="9">
        <v>3</v>
      </c>
      <c r="AM218" s="9">
        <v>6.13</v>
      </c>
      <c r="AN218" s="9">
        <v>1.57</v>
      </c>
      <c r="AO218" s="9">
        <v>7.13</v>
      </c>
      <c r="AP218" s="9">
        <v>5.15</v>
      </c>
      <c r="AR218" s="9" t="s">
        <v>175</v>
      </c>
      <c r="AS218" s="10" t="s">
        <v>176</v>
      </c>
      <c r="AT218" s="9">
        <v>2.85</v>
      </c>
      <c r="AU218" s="9">
        <v>1.0900000000000001</v>
      </c>
      <c r="AV218" s="9">
        <v>2.4</v>
      </c>
      <c r="AW218" s="9">
        <v>2</v>
      </c>
      <c r="AX218" s="14"/>
    </row>
    <row r="219" spans="1:50" ht="24" customHeight="1" thickTop="1" thickBot="1" x14ac:dyDescent="0.35">
      <c r="A219" s="63"/>
      <c r="B219" s="76"/>
      <c r="C219" s="25"/>
      <c r="D219" s="86"/>
      <c r="E219" s="36" t="s">
        <v>152</v>
      </c>
      <c r="F219" s="36">
        <v>1</v>
      </c>
      <c r="G219" s="86"/>
      <c r="H219" s="36" t="s">
        <v>200</v>
      </c>
      <c r="I219" s="36">
        <v>1</v>
      </c>
      <c r="J219" s="39"/>
      <c r="K219" s="39"/>
      <c r="L219" s="39"/>
      <c r="M219" s="18"/>
      <c r="O219" s="1">
        <v>4</v>
      </c>
      <c r="P219" s="1">
        <v>1</v>
      </c>
      <c r="Q219" s="1">
        <v>1</v>
      </c>
      <c r="R219" s="1">
        <v>1</v>
      </c>
      <c r="S219" s="14"/>
      <c r="U219" s="9" t="s">
        <v>179</v>
      </c>
      <c r="V219" s="10" t="s">
        <v>180</v>
      </c>
      <c r="W219" s="9">
        <v>7.64</v>
      </c>
      <c r="X219" s="9">
        <v>0.78</v>
      </c>
      <c r="Y219" s="9">
        <v>1.1000000000000001</v>
      </c>
      <c r="Z219" s="9">
        <v>0.65</v>
      </c>
      <c r="AA219" s="9">
        <v>2.75</v>
      </c>
      <c r="AB219" s="9">
        <v>0.8</v>
      </c>
      <c r="AC219" s="9">
        <v>0.92</v>
      </c>
      <c r="AD219" s="9">
        <v>1</v>
      </c>
      <c r="AE219" s="9">
        <v>1.05</v>
      </c>
      <c r="AF219" s="9">
        <v>1.5</v>
      </c>
      <c r="AH219" s="11" t="s">
        <v>181</v>
      </c>
      <c r="AI219" s="12" t="s">
        <v>182</v>
      </c>
      <c r="AJ219" s="11">
        <v>6.93</v>
      </c>
      <c r="AK219" s="11">
        <v>7.45</v>
      </c>
      <c r="AL219" s="11">
        <v>3</v>
      </c>
      <c r="AM219" s="11">
        <v>7.87</v>
      </c>
      <c r="AN219" s="11">
        <v>2.4500000000000002</v>
      </c>
      <c r="AO219" s="11">
        <v>8.8699999999999992</v>
      </c>
      <c r="AP219" s="11">
        <v>5.93</v>
      </c>
      <c r="AR219" s="11" t="s">
        <v>183</v>
      </c>
      <c r="AS219" s="12" t="s">
        <v>184</v>
      </c>
      <c r="AT219" s="11">
        <v>3.25</v>
      </c>
      <c r="AU219" s="11">
        <v>1.1499999999999999</v>
      </c>
      <c r="AV219" s="11">
        <v>2.25</v>
      </c>
      <c r="AW219" s="11">
        <v>2</v>
      </c>
      <c r="AX219" s="14"/>
    </row>
    <row r="220" spans="1:50" ht="23.5" customHeight="1" thickTop="1" thickBot="1" x14ac:dyDescent="0.35">
      <c r="A220" s="63"/>
      <c r="B220" s="76"/>
      <c r="C220" s="25"/>
      <c r="D220" s="86"/>
      <c r="E220" s="36" t="s">
        <v>153</v>
      </c>
      <c r="F220" s="36">
        <v>1</v>
      </c>
      <c r="G220" s="86"/>
      <c r="H220" s="36" t="s">
        <v>201</v>
      </c>
      <c r="I220" s="36">
        <v>1</v>
      </c>
      <c r="J220" s="25"/>
      <c r="K220" s="25"/>
      <c r="L220" s="25"/>
      <c r="M220" s="18"/>
      <c r="O220" s="1">
        <v>5</v>
      </c>
      <c r="P220" s="1">
        <v>1</v>
      </c>
      <c r="Q220" s="1">
        <v>1</v>
      </c>
      <c r="R220" s="1">
        <v>0</v>
      </c>
      <c r="S220" s="14"/>
      <c r="U220" s="11" t="s">
        <v>187</v>
      </c>
      <c r="V220" s="12" t="s">
        <v>188</v>
      </c>
      <c r="W220" s="11">
        <v>8.2100000000000009</v>
      </c>
      <c r="X220" s="11">
        <v>0.9</v>
      </c>
      <c r="Y220" s="11">
        <v>1.08</v>
      </c>
      <c r="Z220" s="11">
        <v>0.75</v>
      </c>
      <c r="AA220" s="11">
        <v>2.5</v>
      </c>
      <c r="AB220" s="11">
        <v>0.87</v>
      </c>
      <c r="AC220" s="11">
        <v>0.95</v>
      </c>
      <c r="AD220" s="11">
        <v>1.18</v>
      </c>
      <c r="AE220" s="11">
        <v>1.2</v>
      </c>
      <c r="AF220" s="11">
        <v>1.93</v>
      </c>
      <c r="AX220" s="14"/>
    </row>
    <row r="221" spans="1:50" ht="23.5" customHeight="1" thickTop="1" thickBot="1" x14ac:dyDescent="0.35">
      <c r="A221" s="63"/>
      <c r="B221" s="76"/>
      <c r="C221" s="25"/>
      <c r="D221" s="86"/>
      <c r="E221" s="1" t="s">
        <v>156</v>
      </c>
      <c r="F221" s="36">
        <v>1</v>
      </c>
      <c r="G221" s="87"/>
      <c r="H221" s="38" t="s">
        <v>164</v>
      </c>
      <c r="I221" s="38">
        <v>1</v>
      </c>
      <c r="J221" s="36"/>
      <c r="K221" s="25"/>
      <c r="L221" s="25"/>
      <c r="M221" s="18"/>
      <c r="O221" s="4">
        <v>6</v>
      </c>
      <c r="P221" s="4">
        <v>0</v>
      </c>
      <c r="Q221" s="4">
        <v>1</v>
      </c>
      <c r="R221" s="4">
        <v>1</v>
      </c>
      <c r="S221" s="14"/>
      <c r="U221" s="9"/>
      <c r="V221" s="10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X221" s="14"/>
    </row>
    <row r="222" spans="1:50" ht="23.5" customHeight="1" thickTop="1" thickBot="1" x14ac:dyDescent="0.35">
      <c r="A222" s="63"/>
      <c r="B222" s="76"/>
      <c r="C222" s="25"/>
      <c r="D222" s="87"/>
      <c r="E222" s="38" t="s">
        <v>197</v>
      </c>
      <c r="F222" s="38">
        <v>1</v>
      </c>
      <c r="G222" s="39"/>
      <c r="H222" s="39"/>
      <c r="I222" s="39"/>
      <c r="J222" s="36"/>
      <c r="K222" s="36"/>
      <c r="L222" s="25"/>
      <c r="M222" s="18"/>
      <c r="O222" s="1"/>
      <c r="P222" s="1"/>
      <c r="Q222" s="1"/>
      <c r="R222" s="1"/>
      <c r="S222" s="14"/>
      <c r="U222" s="9"/>
      <c r="V222" s="10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X222" s="14"/>
    </row>
    <row r="223" spans="1:50" ht="23" customHeight="1" thickTop="1" x14ac:dyDescent="0.3">
      <c r="A223" s="63"/>
      <c r="B223" s="76"/>
      <c r="C223" s="25"/>
      <c r="D223" s="39"/>
      <c r="E223" s="39"/>
      <c r="F223" s="39"/>
      <c r="G223" s="25"/>
      <c r="H223" s="25"/>
      <c r="I223" s="25"/>
      <c r="J223" s="25"/>
      <c r="K223" s="25"/>
      <c r="L223" s="25"/>
      <c r="M223" s="18"/>
      <c r="S223" s="14"/>
      <c r="AX223" s="14"/>
    </row>
    <row r="224" spans="1:50" ht="23" customHeight="1" thickBot="1" x14ac:dyDescent="0.35">
      <c r="A224" s="63"/>
      <c r="B224" s="81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19"/>
      <c r="N224" s="15"/>
      <c r="O224" s="15"/>
      <c r="P224" s="15"/>
      <c r="Q224" s="15"/>
      <c r="R224" s="15"/>
      <c r="S224" s="16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6"/>
    </row>
    <row r="225" spans="1:50" ht="15" customHeight="1" thickTop="1" thickBot="1" x14ac:dyDescent="0.35">
      <c r="A225" s="63"/>
      <c r="B225" s="89" t="s">
        <v>83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17"/>
      <c r="N225" s="24"/>
      <c r="O225" s="24"/>
      <c r="P225" s="24"/>
      <c r="Q225" s="24"/>
      <c r="R225" s="24"/>
      <c r="S225" s="1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17"/>
    </row>
    <row r="226" spans="1:50" ht="31" customHeight="1" thickTop="1" thickBot="1" x14ac:dyDescent="0.35">
      <c r="A226" s="63"/>
      <c r="B226" s="76"/>
      <c r="C226" s="24"/>
      <c r="D226" s="27" t="s">
        <v>191</v>
      </c>
      <c r="E226" s="27" t="s">
        <v>192</v>
      </c>
      <c r="F226" s="27" t="s">
        <v>193</v>
      </c>
      <c r="G226" s="27" t="s">
        <v>191</v>
      </c>
      <c r="H226" s="27" t="s">
        <v>192</v>
      </c>
      <c r="I226" s="27" t="s">
        <v>193</v>
      </c>
      <c r="J226" s="27" t="s">
        <v>191</v>
      </c>
      <c r="K226" s="27" t="s">
        <v>192</v>
      </c>
      <c r="L226" s="27" t="s">
        <v>193</v>
      </c>
      <c r="M226" s="17"/>
      <c r="N226" s="24"/>
      <c r="O226" s="82" t="s">
        <v>205</v>
      </c>
      <c r="P226" s="82" t="s">
        <v>206</v>
      </c>
      <c r="Q226" s="83"/>
      <c r="R226" s="83"/>
      <c r="S226" s="1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17"/>
    </row>
    <row r="227" spans="1:50" ht="23.5" customHeight="1" thickTop="1" thickBot="1" x14ac:dyDescent="0.35">
      <c r="A227" s="63"/>
      <c r="B227" s="76"/>
      <c r="C227" s="33"/>
      <c r="D227" s="88" t="s">
        <v>194</v>
      </c>
      <c r="E227" s="36" t="s">
        <v>148</v>
      </c>
      <c r="F227" s="36">
        <v>5</v>
      </c>
      <c r="G227" s="85" t="s">
        <v>198</v>
      </c>
      <c r="H227" s="36" t="s">
        <v>158</v>
      </c>
      <c r="I227" s="36">
        <v>2</v>
      </c>
      <c r="J227" s="85" t="s">
        <v>202</v>
      </c>
      <c r="K227" s="36" t="s">
        <v>203</v>
      </c>
      <c r="L227" s="36">
        <v>2</v>
      </c>
      <c r="M227" s="18"/>
      <c r="N227" s="13"/>
      <c r="O227" s="84"/>
      <c r="P227" s="2" t="s">
        <v>178</v>
      </c>
      <c r="Q227" s="2" t="s">
        <v>186</v>
      </c>
      <c r="R227" s="2" t="s">
        <v>190</v>
      </c>
      <c r="S227" s="14"/>
      <c r="T227" s="13"/>
      <c r="AX227" s="14"/>
    </row>
    <row r="228" spans="1:50" ht="23" customHeight="1" thickBot="1" x14ac:dyDescent="0.35">
      <c r="A228" s="63"/>
      <c r="B228" s="76"/>
      <c r="C228" s="25"/>
      <c r="D228" s="86"/>
      <c r="E228" s="36" t="s">
        <v>195</v>
      </c>
      <c r="F228" s="36">
        <v>2</v>
      </c>
      <c r="G228" s="86"/>
      <c r="H228" s="36" t="s">
        <v>159</v>
      </c>
      <c r="I228" s="36">
        <v>1</v>
      </c>
      <c r="J228" s="86"/>
      <c r="K228" s="36" t="s">
        <v>166</v>
      </c>
      <c r="L228" s="36">
        <v>2</v>
      </c>
      <c r="M228" s="18"/>
      <c r="O228" s="1">
        <v>1</v>
      </c>
      <c r="P228" s="1">
        <v>0</v>
      </c>
      <c r="Q228" s="1">
        <v>0</v>
      </c>
      <c r="R228" s="1">
        <v>1</v>
      </c>
      <c r="S228" s="14"/>
      <c r="Z228" s="23" t="s">
        <v>194</v>
      </c>
      <c r="AK228" s="23" t="s">
        <v>198</v>
      </c>
      <c r="AT228" s="23" t="s">
        <v>202</v>
      </c>
      <c r="AX228" s="14"/>
    </row>
    <row r="229" spans="1:50" ht="25" customHeight="1" thickTop="1" thickBot="1" x14ac:dyDescent="0.35">
      <c r="A229" s="63"/>
      <c r="B229" s="76"/>
      <c r="C229" s="25"/>
      <c r="D229" s="86"/>
      <c r="E229" s="36" t="s">
        <v>196</v>
      </c>
      <c r="F229" s="36">
        <v>2</v>
      </c>
      <c r="G229" s="86"/>
      <c r="H229" s="36" t="s">
        <v>159</v>
      </c>
      <c r="I229" s="36">
        <v>1</v>
      </c>
      <c r="J229" s="86"/>
      <c r="K229" s="36" t="s">
        <v>167</v>
      </c>
      <c r="L229" s="36">
        <v>1</v>
      </c>
      <c r="M229" s="18"/>
      <c r="O229" s="1">
        <v>2</v>
      </c>
      <c r="P229" s="1">
        <v>1</v>
      </c>
      <c r="Q229" s="1">
        <v>2</v>
      </c>
      <c r="R229" s="1">
        <v>1</v>
      </c>
      <c r="S229" s="14"/>
      <c r="U229" s="7" t="s">
        <v>146</v>
      </c>
      <c r="V229" s="7" t="s">
        <v>147</v>
      </c>
      <c r="W229" s="7" t="s">
        <v>148</v>
      </c>
      <c r="X229" s="7" t="s">
        <v>149</v>
      </c>
      <c r="Y229" s="7" t="s">
        <v>150</v>
      </c>
      <c r="Z229" s="8" t="s">
        <v>151</v>
      </c>
      <c r="AA229" s="7" t="s">
        <v>152</v>
      </c>
      <c r="AB229" s="7" t="s">
        <v>153</v>
      </c>
      <c r="AC229" s="7" t="s">
        <v>154</v>
      </c>
      <c r="AD229" s="7" t="s">
        <v>155</v>
      </c>
      <c r="AE229" s="8" t="s">
        <v>156</v>
      </c>
      <c r="AF229" s="7" t="s">
        <v>157</v>
      </c>
      <c r="AH229" s="7" t="s">
        <v>146</v>
      </c>
      <c r="AI229" s="7" t="s">
        <v>147</v>
      </c>
      <c r="AJ229" s="7" t="s">
        <v>158</v>
      </c>
      <c r="AK229" s="7" t="s">
        <v>159</v>
      </c>
      <c r="AL229" s="7" t="s">
        <v>160</v>
      </c>
      <c r="AM229" s="7" t="s">
        <v>161</v>
      </c>
      <c r="AN229" s="7" t="s">
        <v>162</v>
      </c>
      <c r="AO229" s="7" t="s">
        <v>163</v>
      </c>
      <c r="AP229" s="7" t="s">
        <v>164</v>
      </c>
      <c r="AR229" s="7" t="s">
        <v>146</v>
      </c>
      <c r="AS229" s="7" t="s">
        <v>147</v>
      </c>
      <c r="AT229" s="7" t="s">
        <v>165</v>
      </c>
      <c r="AU229" s="7" t="s">
        <v>166</v>
      </c>
      <c r="AV229" s="7" t="s">
        <v>167</v>
      </c>
      <c r="AW229" s="7" t="s">
        <v>168</v>
      </c>
      <c r="AX229" s="14"/>
    </row>
    <row r="230" spans="1:50" ht="24" customHeight="1" thickTop="1" thickBot="1" x14ac:dyDescent="0.35">
      <c r="A230" s="63"/>
      <c r="B230" s="76"/>
      <c r="C230" s="25"/>
      <c r="D230" s="86"/>
      <c r="E230" s="1" t="s">
        <v>151</v>
      </c>
      <c r="F230" s="36">
        <v>1</v>
      </c>
      <c r="G230" s="86"/>
      <c r="H230" s="36" t="s">
        <v>199</v>
      </c>
      <c r="I230" s="36">
        <v>2</v>
      </c>
      <c r="J230" s="87"/>
      <c r="K230" s="38" t="s">
        <v>168</v>
      </c>
      <c r="L230" s="38">
        <v>1</v>
      </c>
      <c r="M230" s="18"/>
      <c r="O230" s="1">
        <v>3</v>
      </c>
      <c r="P230" s="1">
        <v>0</v>
      </c>
      <c r="Q230" s="1">
        <v>1</v>
      </c>
      <c r="R230" s="1">
        <v>1</v>
      </c>
      <c r="S230" s="14"/>
      <c r="U230" s="9" t="s">
        <v>171</v>
      </c>
      <c r="V230" s="10" t="s">
        <v>172</v>
      </c>
      <c r="W230" s="9">
        <v>7.56</v>
      </c>
      <c r="X230" s="9">
        <v>0.72</v>
      </c>
      <c r="Y230" s="9">
        <v>1.1000000000000001</v>
      </c>
      <c r="Z230" s="9">
        <v>0.63</v>
      </c>
      <c r="AA230" s="9">
        <v>2.67</v>
      </c>
      <c r="AB230" s="9">
        <v>0.84</v>
      </c>
      <c r="AC230" s="9">
        <v>0.93</v>
      </c>
      <c r="AD230" s="9">
        <v>1.1200000000000001</v>
      </c>
      <c r="AE230" s="9">
        <v>1.25</v>
      </c>
      <c r="AF230" s="9">
        <v>1.89</v>
      </c>
      <c r="AH230" s="9" t="s">
        <v>173</v>
      </c>
      <c r="AI230" s="10" t="s">
        <v>174</v>
      </c>
      <c r="AJ230" s="9">
        <v>6.5</v>
      </c>
      <c r="AK230" s="9">
        <v>6.83</v>
      </c>
      <c r="AL230" s="9">
        <v>3</v>
      </c>
      <c r="AM230" s="9">
        <v>6.5</v>
      </c>
      <c r="AN230" s="9">
        <v>1.83</v>
      </c>
      <c r="AO230" s="9">
        <v>7.5</v>
      </c>
      <c r="AP230" s="9">
        <v>5.4</v>
      </c>
      <c r="AR230" s="9" t="s">
        <v>175</v>
      </c>
      <c r="AS230" s="10" t="s">
        <v>176</v>
      </c>
      <c r="AT230" s="9">
        <v>3.18</v>
      </c>
      <c r="AU230" s="9">
        <v>1.2</v>
      </c>
      <c r="AV230" s="9">
        <v>2.85</v>
      </c>
      <c r="AW230" s="9">
        <v>2</v>
      </c>
      <c r="AX230" s="14"/>
    </row>
    <row r="231" spans="1:50" ht="24" customHeight="1" thickTop="1" thickBot="1" x14ac:dyDescent="0.35">
      <c r="A231" s="63"/>
      <c r="B231" s="76"/>
      <c r="C231" s="25"/>
      <c r="D231" s="86"/>
      <c r="E231" s="36" t="s">
        <v>152</v>
      </c>
      <c r="F231" s="36">
        <v>1</v>
      </c>
      <c r="G231" s="86"/>
      <c r="H231" s="36" t="s">
        <v>200</v>
      </c>
      <c r="I231" s="36">
        <v>1</v>
      </c>
      <c r="J231" s="39"/>
      <c r="K231" s="39"/>
      <c r="L231" s="39"/>
      <c r="M231" s="18"/>
      <c r="O231" s="1">
        <v>4</v>
      </c>
      <c r="P231" s="1">
        <v>2</v>
      </c>
      <c r="Q231" s="1">
        <v>0</v>
      </c>
      <c r="R231" s="1">
        <v>0</v>
      </c>
      <c r="S231" s="14"/>
      <c r="U231" s="9" t="s">
        <v>179</v>
      </c>
      <c r="V231" s="10" t="s">
        <v>180</v>
      </c>
      <c r="W231" s="9">
        <v>8.32</v>
      </c>
      <c r="X231" s="9">
        <v>0.68</v>
      </c>
      <c r="Y231" s="9">
        <v>1.05</v>
      </c>
      <c r="Z231" s="9">
        <v>0.75</v>
      </c>
      <c r="AA231" s="9">
        <v>2.5</v>
      </c>
      <c r="AB231" s="9">
        <v>0.81</v>
      </c>
      <c r="AC231" s="9">
        <v>0.98</v>
      </c>
      <c r="AD231" s="9">
        <v>1</v>
      </c>
      <c r="AE231" s="9">
        <v>1.3</v>
      </c>
      <c r="AF231" s="9">
        <v>2.1</v>
      </c>
      <c r="AH231" s="11" t="s">
        <v>181</v>
      </c>
      <c r="AI231" s="12" t="s">
        <v>182</v>
      </c>
      <c r="AJ231" s="11">
        <v>6.81</v>
      </c>
      <c r="AK231" s="11">
        <v>7.28</v>
      </c>
      <c r="AL231" s="11">
        <v>3</v>
      </c>
      <c r="AM231" s="11">
        <v>7.5</v>
      </c>
      <c r="AN231" s="11">
        <v>2.1800000000000002</v>
      </c>
      <c r="AO231" s="11">
        <v>8.5</v>
      </c>
      <c r="AP231" s="11">
        <v>5.71</v>
      </c>
      <c r="AR231" s="11" t="s">
        <v>183</v>
      </c>
      <c r="AS231" s="12" t="s">
        <v>184</v>
      </c>
      <c r="AT231" s="11">
        <v>2.76</v>
      </c>
      <c r="AU231" s="11">
        <v>1.03</v>
      </c>
      <c r="AV231" s="11">
        <v>2.35</v>
      </c>
      <c r="AW231" s="11">
        <v>2</v>
      </c>
      <c r="AX231" s="14"/>
    </row>
    <row r="232" spans="1:50" ht="23.5" customHeight="1" thickTop="1" thickBot="1" x14ac:dyDescent="0.35">
      <c r="A232" s="63"/>
      <c r="B232" s="76"/>
      <c r="C232" s="25"/>
      <c r="D232" s="86"/>
      <c r="E232" s="36" t="s">
        <v>153</v>
      </c>
      <c r="F232" s="36">
        <v>1</v>
      </c>
      <c r="G232" s="86"/>
      <c r="H232" s="36" t="s">
        <v>201</v>
      </c>
      <c r="I232" s="36">
        <v>1</v>
      </c>
      <c r="J232" s="25"/>
      <c r="K232" s="25"/>
      <c r="L232" s="25"/>
      <c r="M232" s="18"/>
      <c r="O232" s="1">
        <v>5</v>
      </c>
      <c r="P232" s="1">
        <v>0</v>
      </c>
      <c r="Q232" s="1">
        <v>1</v>
      </c>
      <c r="R232" s="1">
        <v>1</v>
      </c>
      <c r="S232" s="14"/>
      <c r="U232" s="11" t="s">
        <v>187</v>
      </c>
      <c r="V232" s="12" t="s">
        <v>188</v>
      </c>
      <c r="W232" s="11">
        <v>9.15</v>
      </c>
      <c r="X232" s="11">
        <v>0.85</v>
      </c>
      <c r="Y232" s="11">
        <v>1.25</v>
      </c>
      <c r="Z232" s="11">
        <v>0.57999999999999996</v>
      </c>
      <c r="AA232" s="11">
        <v>2.92</v>
      </c>
      <c r="AB232" s="11">
        <v>0.88</v>
      </c>
      <c r="AC232" s="11">
        <v>1</v>
      </c>
      <c r="AD232" s="11">
        <v>1.2</v>
      </c>
      <c r="AE232" s="11">
        <v>1.4</v>
      </c>
      <c r="AF232" s="11">
        <v>2.4500000000000002</v>
      </c>
      <c r="AX232" s="14"/>
    </row>
    <row r="233" spans="1:50" ht="23.5" customHeight="1" thickTop="1" thickBot="1" x14ac:dyDescent="0.35">
      <c r="A233" s="63"/>
      <c r="B233" s="76"/>
      <c r="C233" s="25"/>
      <c r="D233" s="86"/>
      <c r="E233" s="1" t="s">
        <v>156</v>
      </c>
      <c r="F233" s="36">
        <v>1</v>
      </c>
      <c r="G233" s="87"/>
      <c r="H233" s="38" t="s">
        <v>164</v>
      </c>
      <c r="I233" s="38">
        <v>1</v>
      </c>
      <c r="J233" s="36"/>
      <c r="K233" s="25"/>
      <c r="L233" s="25"/>
      <c r="M233" s="18"/>
      <c r="O233" s="4">
        <v>6</v>
      </c>
      <c r="P233" s="4">
        <v>2</v>
      </c>
      <c r="Q233" s="4">
        <v>2</v>
      </c>
      <c r="R233" s="4">
        <v>2</v>
      </c>
      <c r="S233" s="14"/>
      <c r="U233" s="9"/>
      <c r="V233" s="10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X233" s="14"/>
    </row>
    <row r="234" spans="1:50" ht="23.5" customHeight="1" thickTop="1" thickBot="1" x14ac:dyDescent="0.35">
      <c r="A234" s="63"/>
      <c r="B234" s="76"/>
      <c r="C234" s="25"/>
      <c r="D234" s="87"/>
      <c r="E234" s="38" t="s">
        <v>197</v>
      </c>
      <c r="F234" s="38">
        <v>1</v>
      </c>
      <c r="G234" s="39"/>
      <c r="H234" s="39"/>
      <c r="I234" s="39"/>
      <c r="J234" s="36"/>
      <c r="K234" s="36"/>
      <c r="L234" s="25"/>
      <c r="M234" s="18"/>
      <c r="O234" s="1"/>
      <c r="P234" s="1"/>
      <c r="Q234" s="1"/>
      <c r="R234" s="1"/>
      <c r="S234" s="14"/>
      <c r="U234" s="9"/>
      <c r="V234" s="10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X234" s="14"/>
    </row>
    <row r="235" spans="1:50" ht="23" customHeight="1" thickTop="1" x14ac:dyDescent="0.3">
      <c r="A235" s="63"/>
      <c r="B235" s="76"/>
      <c r="C235" s="25"/>
      <c r="D235" s="39"/>
      <c r="E235" s="39"/>
      <c r="F235" s="39"/>
      <c r="G235" s="25"/>
      <c r="H235" s="25"/>
      <c r="I235" s="25"/>
      <c r="J235" s="25"/>
      <c r="K235" s="25"/>
      <c r="L235" s="25"/>
      <c r="M235" s="18"/>
      <c r="O235" s="1"/>
      <c r="P235" s="1"/>
      <c r="Q235" s="1"/>
      <c r="R235" s="1"/>
      <c r="S235" s="14"/>
      <c r="AX235" s="14"/>
    </row>
    <row r="236" spans="1:50" ht="23" customHeight="1" thickBot="1" x14ac:dyDescent="0.35">
      <c r="A236" s="63"/>
      <c r="B236" s="81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19"/>
      <c r="N236" s="15"/>
      <c r="O236" s="15"/>
      <c r="P236" s="15"/>
      <c r="Q236" s="15"/>
      <c r="R236" s="15"/>
      <c r="S236" s="16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6"/>
    </row>
    <row r="237" spans="1:50" ht="15" customHeight="1" thickTop="1" thickBot="1" x14ac:dyDescent="0.35">
      <c r="A237" s="63"/>
      <c r="B237" s="89" t="s">
        <v>84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17"/>
      <c r="N237" s="24"/>
      <c r="O237" s="24"/>
      <c r="P237" s="24"/>
      <c r="Q237" s="24"/>
      <c r="R237" s="24"/>
      <c r="S237" s="1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17"/>
    </row>
    <row r="238" spans="1:50" ht="31" customHeight="1" thickTop="1" thickBot="1" x14ac:dyDescent="0.35">
      <c r="A238" s="63"/>
      <c r="B238" s="76"/>
      <c r="C238" s="24"/>
      <c r="D238" s="27" t="s">
        <v>191</v>
      </c>
      <c r="E238" s="27" t="s">
        <v>192</v>
      </c>
      <c r="F238" s="27" t="s">
        <v>193</v>
      </c>
      <c r="G238" s="27" t="s">
        <v>191</v>
      </c>
      <c r="H238" s="27" t="s">
        <v>192</v>
      </c>
      <c r="I238" s="27" t="s">
        <v>193</v>
      </c>
      <c r="J238" s="27" t="s">
        <v>191</v>
      </c>
      <c r="K238" s="27" t="s">
        <v>192</v>
      </c>
      <c r="L238" s="27" t="s">
        <v>193</v>
      </c>
      <c r="M238" s="17"/>
      <c r="N238" s="24"/>
      <c r="O238" s="82" t="s">
        <v>205</v>
      </c>
      <c r="P238" s="82" t="s">
        <v>206</v>
      </c>
      <c r="Q238" s="83"/>
      <c r="R238" s="83"/>
      <c r="S238" s="1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17"/>
    </row>
    <row r="239" spans="1:50" ht="23.5" customHeight="1" thickTop="1" thickBot="1" x14ac:dyDescent="0.35">
      <c r="A239" s="63"/>
      <c r="B239" s="76"/>
      <c r="C239" s="33"/>
      <c r="D239" s="88" t="s">
        <v>194</v>
      </c>
      <c r="E239" s="36" t="s">
        <v>148</v>
      </c>
      <c r="F239" s="36">
        <v>5</v>
      </c>
      <c r="G239" s="85" t="s">
        <v>198</v>
      </c>
      <c r="H239" s="36" t="s">
        <v>158</v>
      </c>
      <c r="I239" s="36">
        <v>2</v>
      </c>
      <c r="J239" s="85" t="s">
        <v>202</v>
      </c>
      <c r="K239" s="36" t="s">
        <v>203</v>
      </c>
      <c r="L239" s="36">
        <v>2</v>
      </c>
      <c r="M239" s="18"/>
      <c r="N239" s="13"/>
      <c r="O239" s="84"/>
      <c r="P239" s="2" t="s">
        <v>178</v>
      </c>
      <c r="Q239" s="2" t="s">
        <v>186</v>
      </c>
      <c r="R239" s="2" t="s">
        <v>190</v>
      </c>
      <c r="S239" s="14"/>
      <c r="T239" s="13"/>
      <c r="AX239" s="14"/>
    </row>
    <row r="240" spans="1:50" ht="23" customHeight="1" thickBot="1" x14ac:dyDescent="0.35">
      <c r="A240" s="63"/>
      <c r="B240" s="76"/>
      <c r="C240" s="25"/>
      <c r="D240" s="86"/>
      <c r="E240" s="36" t="s">
        <v>195</v>
      </c>
      <c r="F240" s="36">
        <v>2</v>
      </c>
      <c r="G240" s="86"/>
      <c r="H240" s="36" t="s">
        <v>159</v>
      </c>
      <c r="I240" s="36">
        <v>1</v>
      </c>
      <c r="J240" s="86"/>
      <c r="K240" s="36" t="s">
        <v>166</v>
      </c>
      <c r="L240" s="36">
        <v>2</v>
      </c>
      <c r="M240" s="18"/>
      <c r="O240" s="1">
        <v>1</v>
      </c>
      <c r="P240" s="1">
        <v>3</v>
      </c>
      <c r="Q240" s="1">
        <v>1</v>
      </c>
      <c r="R240" s="1">
        <v>0</v>
      </c>
      <c r="S240" s="14"/>
      <c r="Z240" s="23" t="s">
        <v>194</v>
      </c>
      <c r="AK240" s="23" t="s">
        <v>198</v>
      </c>
      <c r="AT240" s="23" t="s">
        <v>202</v>
      </c>
      <c r="AX240" s="14"/>
    </row>
    <row r="241" spans="1:50" ht="25" customHeight="1" thickTop="1" thickBot="1" x14ac:dyDescent="0.35">
      <c r="A241" s="63"/>
      <c r="B241" s="76"/>
      <c r="C241" s="25"/>
      <c r="D241" s="86"/>
      <c r="E241" s="36" t="s">
        <v>196</v>
      </c>
      <c r="F241" s="36">
        <v>2</v>
      </c>
      <c r="G241" s="86"/>
      <c r="H241" s="36" t="s">
        <v>160</v>
      </c>
      <c r="I241" s="36">
        <v>1</v>
      </c>
      <c r="J241" s="86"/>
      <c r="K241" s="36" t="s">
        <v>167</v>
      </c>
      <c r="L241" s="36">
        <v>1</v>
      </c>
      <c r="M241" s="18"/>
      <c r="O241" s="1">
        <v>2</v>
      </c>
      <c r="P241" s="1">
        <v>0</v>
      </c>
      <c r="Q241" s="1">
        <v>2</v>
      </c>
      <c r="R241" s="1">
        <v>1</v>
      </c>
      <c r="S241" s="14"/>
      <c r="U241" s="7" t="s">
        <v>146</v>
      </c>
      <c r="V241" s="7" t="s">
        <v>147</v>
      </c>
      <c r="W241" s="7" t="s">
        <v>148</v>
      </c>
      <c r="X241" s="7" t="s">
        <v>149</v>
      </c>
      <c r="Y241" s="7" t="s">
        <v>150</v>
      </c>
      <c r="Z241" s="8" t="s">
        <v>151</v>
      </c>
      <c r="AA241" s="7" t="s">
        <v>152</v>
      </c>
      <c r="AB241" s="7" t="s">
        <v>153</v>
      </c>
      <c r="AC241" s="7" t="s">
        <v>154</v>
      </c>
      <c r="AD241" s="7" t="s">
        <v>155</v>
      </c>
      <c r="AE241" s="8" t="s">
        <v>156</v>
      </c>
      <c r="AF241" s="7" t="s">
        <v>157</v>
      </c>
      <c r="AH241" s="7" t="s">
        <v>146</v>
      </c>
      <c r="AI241" s="7" t="s">
        <v>147</v>
      </c>
      <c r="AJ241" s="7" t="s">
        <v>158</v>
      </c>
      <c r="AK241" s="7" t="s">
        <v>159</v>
      </c>
      <c r="AL241" s="7" t="s">
        <v>160</v>
      </c>
      <c r="AM241" s="7" t="s">
        <v>161</v>
      </c>
      <c r="AN241" s="7" t="s">
        <v>162</v>
      </c>
      <c r="AO241" s="7" t="s">
        <v>163</v>
      </c>
      <c r="AP241" s="7" t="s">
        <v>164</v>
      </c>
      <c r="AR241" s="7" t="s">
        <v>146</v>
      </c>
      <c r="AS241" s="7" t="s">
        <v>147</v>
      </c>
      <c r="AT241" s="7" t="s">
        <v>165</v>
      </c>
      <c r="AU241" s="7" t="s">
        <v>166</v>
      </c>
      <c r="AV241" s="7" t="s">
        <v>167</v>
      </c>
      <c r="AW241" s="7" t="s">
        <v>168</v>
      </c>
      <c r="AX241" s="14"/>
    </row>
    <row r="242" spans="1:50" ht="24" customHeight="1" thickTop="1" thickBot="1" x14ac:dyDescent="0.35">
      <c r="A242" s="63"/>
      <c r="B242" s="76"/>
      <c r="C242" s="25"/>
      <c r="D242" s="86"/>
      <c r="E242" s="1" t="s">
        <v>151</v>
      </c>
      <c r="F242" s="36">
        <v>2</v>
      </c>
      <c r="G242" s="86"/>
      <c r="H242" s="36" t="s">
        <v>199</v>
      </c>
      <c r="I242" s="36">
        <v>2</v>
      </c>
      <c r="J242" s="87"/>
      <c r="K242" s="38" t="s">
        <v>168</v>
      </c>
      <c r="L242" s="38">
        <v>1</v>
      </c>
      <c r="M242" s="18"/>
      <c r="O242" s="1">
        <v>3</v>
      </c>
      <c r="P242" s="1">
        <v>1</v>
      </c>
      <c r="Q242" s="1">
        <v>1</v>
      </c>
      <c r="R242" s="1">
        <v>1</v>
      </c>
      <c r="S242" s="14"/>
      <c r="U242" s="9" t="s">
        <v>171</v>
      </c>
      <c r="V242" s="10" t="s">
        <v>172</v>
      </c>
      <c r="W242" s="9">
        <v>7.98</v>
      </c>
      <c r="X242" s="9">
        <v>0.67</v>
      </c>
      <c r="Y242" s="9">
        <v>1.2</v>
      </c>
      <c r="Z242" s="9">
        <v>0.61</v>
      </c>
      <c r="AA242" s="9">
        <v>2.87</v>
      </c>
      <c r="AB242" s="9">
        <v>0.83</v>
      </c>
      <c r="AC242" s="9">
        <v>0.98</v>
      </c>
      <c r="AD242" s="9">
        <v>1.03</v>
      </c>
      <c r="AE242" s="9">
        <v>1.32</v>
      </c>
      <c r="AF242" s="9">
        <v>2.27</v>
      </c>
      <c r="AH242" s="9" t="s">
        <v>173</v>
      </c>
      <c r="AI242" s="10" t="s">
        <v>174</v>
      </c>
      <c r="AJ242" s="9">
        <v>6.28</v>
      </c>
      <c r="AK242" s="9">
        <v>6.63</v>
      </c>
      <c r="AL242" s="9">
        <v>3</v>
      </c>
      <c r="AM242" s="9">
        <v>6.8</v>
      </c>
      <c r="AN242" s="9">
        <v>1.63</v>
      </c>
      <c r="AO242" s="9">
        <v>7.28</v>
      </c>
      <c r="AP242" s="9">
        <v>5.28</v>
      </c>
      <c r="AR242" s="9" t="s">
        <v>175</v>
      </c>
      <c r="AS242" s="10" t="s">
        <v>176</v>
      </c>
      <c r="AT242" s="9">
        <v>2.99</v>
      </c>
      <c r="AU242" s="9">
        <v>1.1299999999999999</v>
      </c>
      <c r="AV242" s="9">
        <v>2.6</v>
      </c>
      <c r="AW242" s="9">
        <v>2</v>
      </c>
      <c r="AX242" s="14"/>
    </row>
    <row r="243" spans="1:50" ht="24" customHeight="1" thickTop="1" thickBot="1" x14ac:dyDescent="0.35">
      <c r="A243" s="63"/>
      <c r="B243" s="76"/>
      <c r="C243" s="25"/>
      <c r="D243" s="86"/>
      <c r="E243" s="36" t="s">
        <v>152</v>
      </c>
      <c r="F243" s="36">
        <v>1</v>
      </c>
      <c r="G243" s="86"/>
      <c r="H243" s="36" t="s">
        <v>200</v>
      </c>
      <c r="I243" s="36">
        <v>1</v>
      </c>
      <c r="J243" s="39"/>
      <c r="K243" s="39"/>
      <c r="L243" s="39"/>
      <c r="M243" s="18"/>
      <c r="O243" s="1">
        <v>4</v>
      </c>
      <c r="P243" s="1">
        <v>1</v>
      </c>
      <c r="Q243" s="1">
        <v>0</v>
      </c>
      <c r="R243" s="1">
        <v>1</v>
      </c>
      <c r="S243" s="14"/>
      <c r="U243" s="9" t="s">
        <v>179</v>
      </c>
      <c r="V243" s="10" t="s">
        <v>180</v>
      </c>
      <c r="W243" s="9">
        <v>8.9499999999999993</v>
      </c>
      <c r="X243" s="9">
        <v>0.73</v>
      </c>
      <c r="Y243" s="9">
        <v>1.05</v>
      </c>
      <c r="Z243" s="9">
        <v>0.59</v>
      </c>
      <c r="AA243" s="9">
        <v>2.5</v>
      </c>
      <c r="AB243" s="9">
        <v>0.89</v>
      </c>
      <c r="AC243" s="9">
        <v>0.91</v>
      </c>
      <c r="AD243" s="9">
        <v>1.25</v>
      </c>
      <c r="AE243" s="9">
        <v>1.1499999999999999</v>
      </c>
      <c r="AF243" s="9">
        <v>1.64</v>
      </c>
      <c r="AH243" s="11" t="s">
        <v>181</v>
      </c>
      <c r="AI243" s="12" t="s">
        <v>182</v>
      </c>
      <c r="AJ243" s="11">
        <v>6.87</v>
      </c>
      <c r="AK243" s="11">
        <v>7.34</v>
      </c>
      <c r="AL243" s="11">
        <v>3</v>
      </c>
      <c r="AM243" s="11">
        <v>7.7</v>
      </c>
      <c r="AN243" s="11">
        <v>2.33</v>
      </c>
      <c r="AO243" s="11">
        <v>8.6999999999999993</v>
      </c>
      <c r="AP243" s="11">
        <v>5.78</v>
      </c>
      <c r="AR243" s="11" t="s">
        <v>183</v>
      </c>
      <c r="AS243" s="12" t="s">
        <v>184</v>
      </c>
      <c r="AT243" s="11">
        <v>3.33</v>
      </c>
      <c r="AU243" s="11">
        <v>1.06</v>
      </c>
      <c r="AV243" s="11">
        <v>2.1800000000000002</v>
      </c>
      <c r="AW243" s="11">
        <v>2</v>
      </c>
      <c r="AX243" s="14"/>
    </row>
    <row r="244" spans="1:50" ht="23.5" customHeight="1" thickTop="1" thickBot="1" x14ac:dyDescent="0.35">
      <c r="A244" s="63"/>
      <c r="B244" s="76"/>
      <c r="C244" s="25"/>
      <c r="D244" s="86"/>
      <c r="E244" s="36" t="s">
        <v>153</v>
      </c>
      <c r="F244" s="36">
        <v>1</v>
      </c>
      <c r="G244" s="86"/>
      <c r="H244" s="36" t="s">
        <v>201</v>
      </c>
      <c r="I244" s="36">
        <v>1</v>
      </c>
      <c r="J244" s="25"/>
      <c r="K244" s="25"/>
      <c r="L244" s="25"/>
      <c r="M244" s="18"/>
      <c r="O244" s="1">
        <v>5</v>
      </c>
      <c r="P244" s="1">
        <v>0</v>
      </c>
      <c r="Q244" s="1">
        <v>1</v>
      </c>
      <c r="R244" s="1">
        <v>1</v>
      </c>
      <c r="S244" s="14"/>
      <c r="U244" s="11" t="s">
        <v>187</v>
      </c>
      <c r="V244" s="12" t="s">
        <v>188</v>
      </c>
      <c r="W244" s="11">
        <v>7.12</v>
      </c>
      <c r="X244" s="11">
        <v>0.82</v>
      </c>
      <c r="Y244" s="11">
        <v>1.18</v>
      </c>
      <c r="Z244" s="11">
        <v>0.7</v>
      </c>
      <c r="AA244" s="11">
        <v>2.69</v>
      </c>
      <c r="AB244" s="11">
        <v>0.81</v>
      </c>
      <c r="AC244" s="11">
        <v>0.96</v>
      </c>
      <c r="AD244" s="11">
        <v>1.1000000000000001</v>
      </c>
      <c r="AE244" s="11">
        <v>1.4</v>
      </c>
      <c r="AF244" s="11">
        <v>2.4</v>
      </c>
      <c r="AX244" s="14"/>
    </row>
    <row r="245" spans="1:50" ht="23.5" customHeight="1" thickTop="1" thickBot="1" x14ac:dyDescent="0.35">
      <c r="A245" s="63"/>
      <c r="B245" s="76"/>
      <c r="C245" s="25"/>
      <c r="D245" s="86"/>
      <c r="E245" s="1" t="s">
        <v>156</v>
      </c>
      <c r="F245" s="36">
        <v>1</v>
      </c>
      <c r="G245" s="87"/>
      <c r="H245" s="38" t="s">
        <v>164</v>
      </c>
      <c r="I245" s="38">
        <v>1</v>
      </c>
      <c r="J245" s="36"/>
      <c r="K245" s="25"/>
      <c r="L245" s="25"/>
      <c r="M245" s="18"/>
      <c r="O245" s="4">
        <v>6</v>
      </c>
      <c r="P245" s="4">
        <v>1</v>
      </c>
      <c r="Q245" s="4">
        <v>1</v>
      </c>
      <c r="R245" s="4">
        <v>1</v>
      </c>
      <c r="S245" s="14"/>
      <c r="U245" s="9"/>
      <c r="V245" s="10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X245" s="14"/>
    </row>
    <row r="246" spans="1:50" ht="23.5" customHeight="1" thickTop="1" thickBot="1" x14ac:dyDescent="0.35">
      <c r="A246" s="63"/>
      <c r="B246" s="76"/>
      <c r="C246" s="25"/>
      <c r="D246" s="87"/>
      <c r="E246" s="38" t="s">
        <v>197</v>
      </c>
      <c r="F246" s="38">
        <v>1</v>
      </c>
      <c r="G246" s="39"/>
      <c r="H246" s="39"/>
      <c r="I246" s="39"/>
      <c r="J246" s="36"/>
      <c r="K246" s="36"/>
      <c r="L246" s="25"/>
      <c r="M246" s="18"/>
      <c r="O246" s="1"/>
      <c r="P246" s="1"/>
      <c r="Q246" s="1"/>
      <c r="R246" s="1"/>
      <c r="S246" s="14"/>
      <c r="U246" s="9"/>
      <c r="V246" s="10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X246" s="14"/>
    </row>
    <row r="247" spans="1:50" ht="23" customHeight="1" thickTop="1" x14ac:dyDescent="0.3">
      <c r="A247" s="63"/>
      <c r="B247" s="76"/>
      <c r="C247" s="25"/>
      <c r="D247" s="39"/>
      <c r="E247" s="39"/>
      <c r="F247" s="39"/>
      <c r="G247" s="25"/>
      <c r="H247" s="25"/>
      <c r="I247" s="25"/>
      <c r="J247" s="25"/>
      <c r="K247" s="25"/>
      <c r="L247" s="25"/>
      <c r="M247" s="18"/>
      <c r="O247" s="1"/>
      <c r="P247" s="1"/>
      <c r="Q247" s="1"/>
      <c r="R247" s="1"/>
      <c r="S247" s="14"/>
      <c r="AX247" s="14"/>
    </row>
    <row r="248" spans="1:50" ht="23" customHeight="1" thickBot="1" x14ac:dyDescent="0.35">
      <c r="A248" s="63"/>
      <c r="B248" s="81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19"/>
      <c r="N248" s="15"/>
      <c r="O248" s="15"/>
      <c r="P248" s="15"/>
      <c r="Q248" s="15"/>
      <c r="R248" s="15"/>
      <c r="S248" s="16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6"/>
    </row>
    <row r="249" spans="1:50" ht="15" customHeight="1" thickTop="1" thickBot="1" x14ac:dyDescent="0.35">
      <c r="A249" s="63"/>
      <c r="B249" s="89" t="s">
        <v>85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17"/>
      <c r="N249" s="24"/>
      <c r="O249" s="24"/>
      <c r="P249" s="24"/>
      <c r="Q249" s="24"/>
      <c r="R249" s="24"/>
      <c r="S249" s="1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17"/>
    </row>
    <row r="250" spans="1:50" ht="31" customHeight="1" thickTop="1" thickBot="1" x14ac:dyDescent="0.35">
      <c r="A250" s="63"/>
      <c r="B250" s="76"/>
      <c r="C250" s="24"/>
      <c r="D250" s="27" t="s">
        <v>191</v>
      </c>
      <c r="E250" s="27" t="s">
        <v>192</v>
      </c>
      <c r="F250" s="27" t="s">
        <v>193</v>
      </c>
      <c r="G250" s="27" t="s">
        <v>191</v>
      </c>
      <c r="H250" s="27" t="s">
        <v>192</v>
      </c>
      <c r="I250" s="27" t="s">
        <v>193</v>
      </c>
      <c r="J250" s="27" t="s">
        <v>191</v>
      </c>
      <c r="K250" s="27" t="s">
        <v>192</v>
      </c>
      <c r="L250" s="27" t="s">
        <v>193</v>
      </c>
      <c r="M250" s="17"/>
      <c r="N250" s="24"/>
      <c r="O250" s="82" t="s">
        <v>205</v>
      </c>
      <c r="P250" s="82" t="s">
        <v>206</v>
      </c>
      <c r="Q250" s="83"/>
      <c r="R250" s="83"/>
      <c r="S250" s="1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17"/>
    </row>
    <row r="251" spans="1:50" ht="23.5" customHeight="1" thickTop="1" thickBot="1" x14ac:dyDescent="0.35">
      <c r="A251" s="63"/>
      <c r="B251" s="76"/>
      <c r="C251" s="33"/>
      <c r="D251" s="88" t="s">
        <v>194</v>
      </c>
      <c r="E251" s="36" t="s">
        <v>148</v>
      </c>
      <c r="F251" s="36">
        <v>5</v>
      </c>
      <c r="G251" s="85" t="s">
        <v>198</v>
      </c>
      <c r="H251" s="36" t="s">
        <v>158</v>
      </c>
      <c r="I251" s="36">
        <v>2</v>
      </c>
      <c r="J251" s="85" t="s">
        <v>202</v>
      </c>
      <c r="K251" s="36" t="s">
        <v>203</v>
      </c>
      <c r="L251" s="36">
        <v>2</v>
      </c>
      <c r="M251" s="18"/>
      <c r="N251" s="13"/>
      <c r="O251" s="84"/>
      <c r="P251" s="2" t="s">
        <v>178</v>
      </c>
      <c r="Q251" s="2" t="s">
        <v>186</v>
      </c>
      <c r="R251" s="2" t="s">
        <v>190</v>
      </c>
      <c r="S251" s="14"/>
      <c r="T251" s="13"/>
      <c r="AX251" s="14"/>
    </row>
    <row r="252" spans="1:50" ht="23" customHeight="1" thickBot="1" x14ac:dyDescent="0.35">
      <c r="A252" s="63"/>
      <c r="B252" s="76"/>
      <c r="C252" s="25"/>
      <c r="D252" s="86"/>
      <c r="E252" s="36" t="s">
        <v>195</v>
      </c>
      <c r="F252" s="36">
        <v>2</v>
      </c>
      <c r="G252" s="86"/>
      <c r="H252" s="36" t="s">
        <v>159</v>
      </c>
      <c r="I252" s="36">
        <v>1</v>
      </c>
      <c r="J252" s="86"/>
      <c r="K252" s="36" t="s">
        <v>166</v>
      </c>
      <c r="L252" s="36">
        <v>2</v>
      </c>
      <c r="M252" s="18"/>
      <c r="O252" s="1">
        <v>1</v>
      </c>
      <c r="P252" s="1">
        <v>1</v>
      </c>
      <c r="Q252" s="1">
        <v>0</v>
      </c>
      <c r="R252" s="1">
        <v>2</v>
      </c>
      <c r="S252" s="14"/>
      <c r="Z252" s="23" t="s">
        <v>194</v>
      </c>
      <c r="AK252" s="23" t="s">
        <v>198</v>
      </c>
      <c r="AT252" s="23" t="s">
        <v>202</v>
      </c>
      <c r="AX252" s="14"/>
    </row>
    <row r="253" spans="1:50" ht="25" customHeight="1" thickTop="1" thickBot="1" x14ac:dyDescent="0.35">
      <c r="A253" s="63"/>
      <c r="B253" s="76"/>
      <c r="C253" s="25"/>
      <c r="D253" s="86"/>
      <c r="E253" s="36" t="s">
        <v>196</v>
      </c>
      <c r="F253" s="36">
        <v>2</v>
      </c>
      <c r="G253" s="86"/>
      <c r="H253" s="36" t="s">
        <v>160</v>
      </c>
      <c r="I253" s="36">
        <v>1</v>
      </c>
      <c r="J253" s="86"/>
      <c r="K253" s="36" t="s">
        <v>167</v>
      </c>
      <c r="L253" s="36">
        <v>1</v>
      </c>
      <c r="M253" s="18"/>
      <c r="O253" s="1">
        <v>2</v>
      </c>
      <c r="P253" s="1">
        <v>2</v>
      </c>
      <c r="Q253" s="1">
        <v>1</v>
      </c>
      <c r="R253" s="1">
        <v>1</v>
      </c>
      <c r="S253" s="14"/>
      <c r="U253" s="7" t="s">
        <v>146</v>
      </c>
      <c r="V253" s="7" t="s">
        <v>147</v>
      </c>
      <c r="W253" s="7" t="s">
        <v>148</v>
      </c>
      <c r="X253" s="7" t="s">
        <v>149</v>
      </c>
      <c r="Y253" s="7" t="s">
        <v>150</v>
      </c>
      <c r="Z253" s="8" t="s">
        <v>151</v>
      </c>
      <c r="AA253" s="7" t="s">
        <v>152</v>
      </c>
      <c r="AB253" s="7" t="s">
        <v>153</v>
      </c>
      <c r="AC253" s="7" t="s">
        <v>154</v>
      </c>
      <c r="AD253" s="7" t="s">
        <v>155</v>
      </c>
      <c r="AE253" s="8" t="s">
        <v>156</v>
      </c>
      <c r="AF253" s="7" t="s">
        <v>157</v>
      </c>
      <c r="AH253" s="7" t="s">
        <v>146</v>
      </c>
      <c r="AI253" s="7" t="s">
        <v>147</v>
      </c>
      <c r="AJ253" s="7" t="s">
        <v>158</v>
      </c>
      <c r="AK253" s="7" t="s">
        <v>159</v>
      </c>
      <c r="AL253" s="7" t="s">
        <v>160</v>
      </c>
      <c r="AM253" s="7" t="s">
        <v>161</v>
      </c>
      <c r="AN253" s="7" t="s">
        <v>162</v>
      </c>
      <c r="AO253" s="7" t="s">
        <v>163</v>
      </c>
      <c r="AP253" s="7" t="s">
        <v>164</v>
      </c>
      <c r="AR253" s="7" t="s">
        <v>146</v>
      </c>
      <c r="AS253" s="7" t="s">
        <v>147</v>
      </c>
      <c r="AT253" s="7" t="s">
        <v>165</v>
      </c>
      <c r="AU253" s="7" t="s">
        <v>166</v>
      </c>
      <c r="AV253" s="7" t="s">
        <v>167</v>
      </c>
      <c r="AW253" s="7" t="s">
        <v>168</v>
      </c>
      <c r="AX253" s="14"/>
    </row>
    <row r="254" spans="1:50" ht="24" customHeight="1" thickTop="1" thickBot="1" x14ac:dyDescent="0.35">
      <c r="A254" s="63"/>
      <c r="B254" s="76"/>
      <c r="C254" s="25"/>
      <c r="D254" s="86"/>
      <c r="E254" s="1" t="s">
        <v>151</v>
      </c>
      <c r="F254" s="36">
        <v>2</v>
      </c>
      <c r="G254" s="86"/>
      <c r="H254" s="36" t="s">
        <v>199</v>
      </c>
      <c r="I254" s="36">
        <v>2</v>
      </c>
      <c r="J254" s="87"/>
      <c r="K254" s="38" t="s">
        <v>168</v>
      </c>
      <c r="L254" s="38">
        <v>1</v>
      </c>
      <c r="M254" s="18"/>
      <c r="O254" s="1">
        <v>3</v>
      </c>
      <c r="P254" s="1">
        <v>2</v>
      </c>
      <c r="Q254" s="1">
        <v>1</v>
      </c>
      <c r="R254" s="1">
        <v>1</v>
      </c>
      <c r="S254" s="14"/>
      <c r="U254" s="9" t="s">
        <v>171</v>
      </c>
      <c r="V254" s="10" t="s">
        <v>172</v>
      </c>
      <c r="W254" s="9">
        <v>8.56</v>
      </c>
      <c r="X254" s="9">
        <v>0.7</v>
      </c>
      <c r="Y254" s="9">
        <v>1.23</v>
      </c>
      <c r="Z254" s="9">
        <v>0.63</v>
      </c>
      <c r="AA254" s="9">
        <v>2.5</v>
      </c>
      <c r="AB254" s="9">
        <v>0.86</v>
      </c>
      <c r="AC254" s="9">
        <v>0.93</v>
      </c>
      <c r="AD254" s="9">
        <v>1.07</v>
      </c>
      <c r="AE254" s="9">
        <v>1.08</v>
      </c>
      <c r="AF254" s="9">
        <v>1.72</v>
      </c>
      <c r="AH254" s="9" t="s">
        <v>173</v>
      </c>
      <c r="AI254" s="10" t="s">
        <v>174</v>
      </c>
      <c r="AJ254" s="9">
        <v>6.41</v>
      </c>
      <c r="AK254" s="9">
        <v>6.72</v>
      </c>
      <c r="AL254" s="9">
        <v>3</v>
      </c>
      <c r="AM254" s="9">
        <v>6.35</v>
      </c>
      <c r="AN254" s="9">
        <v>1.97</v>
      </c>
      <c r="AO254" s="9">
        <v>7.41</v>
      </c>
      <c r="AP254" s="9">
        <v>5.31</v>
      </c>
      <c r="AR254" s="9" t="s">
        <v>175</v>
      </c>
      <c r="AS254" s="10" t="s">
        <v>176</v>
      </c>
      <c r="AT254" s="9">
        <v>2.69</v>
      </c>
      <c r="AU254" s="9">
        <v>1.18</v>
      </c>
      <c r="AV254" s="9">
        <v>2.75</v>
      </c>
      <c r="AW254" s="9">
        <v>2</v>
      </c>
      <c r="AX254" s="14"/>
    </row>
    <row r="255" spans="1:50" ht="24" customHeight="1" thickTop="1" thickBot="1" x14ac:dyDescent="0.35">
      <c r="A255" s="63"/>
      <c r="B255" s="76"/>
      <c r="C255" s="25"/>
      <c r="D255" s="86"/>
      <c r="E255" s="36" t="s">
        <v>152</v>
      </c>
      <c r="F255" s="36">
        <v>1</v>
      </c>
      <c r="G255" s="86"/>
      <c r="H255" s="36" t="s">
        <v>200</v>
      </c>
      <c r="I255" s="36">
        <v>1</v>
      </c>
      <c r="J255" s="39"/>
      <c r="K255" s="39"/>
      <c r="L255" s="39"/>
      <c r="M255" s="18"/>
      <c r="O255" s="1">
        <v>4</v>
      </c>
      <c r="P255" s="1">
        <v>0</v>
      </c>
      <c r="Q255" s="1">
        <v>2</v>
      </c>
      <c r="R255" s="1">
        <v>0</v>
      </c>
      <c r="S255" s="14"/>
      <c r="U255" s="9" t="s">
        <v>179</v>
      </c>
      <c r="V255" s="10" t="s">
        <v>180</v>
      </c>
      <c r="W255" s="9">
        <v>9.25</v>
      </c>
      <c r="X255" s="9">
        <v>0.88</v>
      </c>
      <c r="Y255" s="9">
        <v>1.01</v>
      </c>
      <c r="Z255" s="9">
        <v>0.66</v>
      </c>
      <c r="AA255" s="9">
        <v>2.99</v>
      </c>
      <c r="AB255" s="9">
        <v>0.84</v>
      </c>
      <c r="AC255" s="9">
        <v>1</v>
      </c>
      <c r="AD255" s="9">
        <v>1.3</v>
      </c>
      <c r="AE255" s="9">
        <v>1.38</v>
      </c>
      <c r="AF255" s="9">
        <v>2.0499999999999998</v>
      </c>
      <c r="AH255" s="11" t="s">
        <v>181</v>
      </c>
      <c r="AI255" s="12" t="s">
        <v>182</v>
      </c>
      <c r="AJ255" s="11">
        <v>6.73</v>
      </c>
      <c r="AK255" s="11">
        <v>7.17</v>
      </c>
      <c r="AL255" s="11">
        <v>3</v>
      </c>
      <c r="AM255" s="11">
        <v>7.47</v>
      </c>
      <c r="AN255" s="11">
        <v>2.27</v>
      </c>
      <c r="AO255" s="11">
        <v>8.41</v>
      </c>
      <c r="AP255" s="11">
        <v>5.63</v>
      </c>
      <c r="AR255" s="11" t="s">
        <v>183</v>
      </c>
      <c r="AS255" s="12" t="s">
        <v>184</v>
      </c>
      <c r="AT255" s="11">
        <v>3.4</v>
      </c>
      <c r="AU255" s="11">
        <v>1.04</v>
      </c>
      <c r="AV255" s="11">
        <v>2.4500000000000002</v>
      </c>
      <c r="AW255" s="11">
        <v>2</v>
      </c>
      <c r="AX255" s="14"/>
    </row>
    <row r="256" spans="1:50" ht="23.5" customHeight="1" thickTop="1" thickBot="1" x14ac:dyDescent="0.35">
      <c r="A256" s="63"/>
      <c r="B256" s="76"/>
      <c r="C256" s="25"/>
      <c r="D256" s="86"/>
      <c r="E256" s="36" t="s">
        <v>153</v>
      </c>
      <c r="F256" s="36">
        <v>1</v>
      </c>
      <c r="G256" s="86"/>
      <c r="H256" s="36" t="s">
        <v>201</v>
      </c>
      <c r="I256" s="36">
        <v>1</v>
      </c>
      <c r="J256" s="25"/>
      <c r="K256" s="25"/>
      <c r="L256" s="25"/>
      <c r="M256" s="18"/>
      <c r="O256" s="1">
        <v>5</v>
      </c>
      <c r="P256" s="1">
        <v>1</v>
      </c>
      <c r="Q256" s="1">
        <v>1</v>
      </c>
      <c r="R256" s="1">
        <v>1</v>
      </c>
      <c r="S256" s="14"/>
      <c r="U256" s="11" t="s">
        <v>187</v>
      </c>
      <c r="V256" s="12" t="s">
        <v>188</v>
      </c>
      <c r="W256" s="11">
        <v>7.45</v>
      </c>
      <c r="X256" s="11">
        <v>0.65</v>
      </c>
      <c r="Y256" s="11">
        <v>1.1299999999999999</v>
      </c>
      <c r="Z256" s="11">
        <v>0.75</v>
      </c>
      <c r="AA256" s="11">
        <v>2.5</v>
      </c>
      <c r="AB256" s="11">
        <v>0.85</v>
      </c>
      <c r="AC256" s="11">
        <v>0.94</v>
      </c>
      <c r="AD256" s="11">
        <v>1.1499999999999999</v>
      </c>
      <c r="AE256" s="11">
        <v>1.22</v>
      </c>
      <c r="AF256" s="11">
        <v>1.5</v>
      </c>
      <c r="AX256" s="14"/>
    </row>
    <row r="257" spans="1:50" ht="23.5" customHeight="1" thickTop="1" thickBot="1" x14ac:dyDescent="0.35">
      <c r="A257" s="63"/>
      <c r="B257" s="76"/>
      <c r="C257" s="25"/>
      <c r="D257" s="86"/>
      <c r="E257" s="1" t="s">
        <v>156</v>
      </c>
      <c r="F257" s="36">
        <v>1</v>
      </c>
      <c r="G257" s="87"/>
      <c r="H257" s="38" t="s">
        <v>164</v>
      </c>
      <c r="I257" s="38">
        <v>1</v>
      </c>
      <c r="J257" s="36"/>
      <c r="K257" s="25"/>
      <c r="L257" s="25"/>
      <c r="M257" s="18"/>
      <c r="O257" s="4">
        <v>6</v>
      </c>
      <c r="P257" s="4">
        <v>1</v>
      </c>
      <c r="Q257" s="4">
        <v>2</v>
      </c>
      <c r="R257" s="4">
        <v>0</v>
      </c>
      <c r="S257" s="14"/>
      <c r="U257" s="9"/>
      <c r="V257" s="10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X257" s="14"/>
    </row>
    <row r="258" spans="1:50" ht="23.5" customHeight="1" thickTop="1" thickBot="1" x14ac:dyDescent="0.35">
      <c r="A258" s="63"/>
      <c r="B258" s="76"/>
      <c r="C258" s="25"/>
      <c r="D258" s="87"/>
      <c r="E258" s="38" t="s">
        <v>197</v>
      </c>
      <c r="F258" s="38">
        <v>1</v>
      </c>
      <c r="G258" s="39"/>
      <c r="H258" s="39"/>
      <c r="I258" s="39"/>
      <c r="J258" s="36"/>
      <c r="K258" s="36"/>
      <c r="L258" s="25"/>
      <c r="M258" s="18"/>
      <c r="S258" s="14"/>
      <c r="U258" s="9"/>
      <c r="V258" s="10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X258" s="14"/>
    </row>
    <row r="259" spans="1:50" ht="23" customHeight="1" thickTop="1" x14ac:dyDescent="0.3">
      <c r="A259" s="63"/>
      <c r="B259" s="76"/>
      <c r="C259" s="25"/>
      <c r="D259" s="39"/>
      <c r="E259" s="39"/>
      <c r="F259" s="39"/>
      <c r="G259" s="25"/>
      <c r="H259" s="25"/>
      <c r="I259" s="25"/>
      <c r="J259" s="25"/>
      <c r="K259" s="25"/>
      <c r="L259" s="25"/>
      <c r="M259" s="18"/>
      <c r="O259" s="1"/>
      <c r="P259" s="1"/>
      <c r="Q259" s="1"/>
      <c r="R259" s="1"/>
      <c r="S259" s="14"/>
      <c r="AX259" s="14"/>
    </row>
    <row r="260" spans="1:50" ht="23" customHeight="1" thickBot="1" x14ac:dyDescent="0.35">
      <c r="A260" s="63"/>
      <c r="B260" s="81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19"/>
      <c r="N260" s="15"/>
      <c r="O260" s="15"/>
      <c r="P260" s="15"/>
      <c r="Q260" s="15"/>
      <c r="R260" s="15"/>
      <c r="S260" s="16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6"/>
    </row>
    <row r="261" spans="1:50" ht="15" customHeight="1" thickTop="1" thickBot="1" x14ac:dyDescent="0.35">
      <c r="A261" s="63"/>
      <c r="B261" s="89" t="s">
        <v>86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17"/>
      <c r="N261" s="24"/>
      <c r="O261" s="24"/>
      <c r="P261" s="24"/>
      <c r="Q261" s="24"/>
      <c r="R261" s="24"/>
      <c r="S261" s="1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17"/>
    </row>
    <row r="262" spans="1:50" ht="31" customHeight="1" thickTop="1" thickBot="1" x14ac:dyDescent="0.35">
      <c r="A262" s="63"/>
      <c r="B262" s="76"/>
      <c r="C262" s="24"/>
      <c r="D262" s="27" t="s">
        <v>191</v>
      </c>
      <c r="E262" s="27" t="s">
        <v>192</v>
      </c>
      <c r="F262" s="27" t="s">
        <v>193</v>
      </c>
      <c r="G262" s="27" t="s">
        <v>191</v>
      </c>
      <c r="H262" s="27" t="s">
        <v>192</v>
      </c>
      <c r="I262" s="27" t="s">
        <v>193</v>
      </c>
      <c r="J262" s="27" t="s">
        <v>191</v>
      </c>
      <c r="K262" s="27" t="s">
        <v>192</v>
      </c>
      <c r="L262" s="27" t="s">
        <v>193</v>
      </c>
      <c r="M262" s="17"/>
      <c r="N262" s="24"/>
      <c r="O262" s="82" t="s">
        <v>205</v>
      </c>
      <c r="P262" s="82" t="s">
        <v>206</v>
      </c>
      <c r="Q262" s="83"/>
      <c r="R262" s="83"/>
      <c r="S262" s="1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17"/>
    </row>
    <row r="263" spans="1:50" ht="23.5" customHeight="1" thickTop="1" thickBot="1" x14ac:dyDescent="0.35">
      <c r="A263" s="63"/>
      <c r="B263" s="76"/>
      <c r="C263" s="33"/>
      <c r="D263" s="88" t="s">
        <v>194</v>
      </c>
      <c r="E263" s="36" t="s">
        <v>148</v>
      </c>
      <c r="F263" s="36">
        <v>5</v>
      </c>
      <c r="G263" s="85" t="s">
        <v>198</v>
      </c>
      <c r="H263" s="36" t="s">
        <v>158</v>
      </c>
      <c r="I263" s="36">
        <v>2</v>
      </c>
      <c r="J263" s="85" t="s">
        <v>202</v>
      </c>
      <c r="K263" s="36" t="s">
        <v>203</v>
      </c>
      <c r="L263" s="36">
        <v>2</v>
      </c>
      <c r="M263" s="18"/>
      <c r="N263" s="13"/>
      <c r="O263" s="84"/>
      <c r="P263" s="2" t="s">
        <v>178</v>
      </c>
      <c r="Q263" s="2" t="s">
        <v>186</v>
      </c>
      <c r="R263" s="2" t="s">
        <v>190</v>
      </c>
      <c r="S263" s="14"/>
      <c r="T263" s="13"/>
      <c r="AX263" s="14"/>
    </row>
    <row r="264" spans="1:50" ht="23" customHeight="1" thickBot="1" x14ac:dyDescent="0.35">
      <c r="A264" s="63"/>
      <c r="B264" s="76"/>
      <c r="C264" s="25"/>
      <c r="D264" s="86"/>
      <c r="E264" s="36" t="s">
        <v>195</v>
      </c>
      <c r="F264" s="36">
        <v>2</v>
      </c>
      <c r="G264" s="86"/>
      <c r="H264" s="36" t="s">
        <v>159</v>
      </c>
      <c r="I264" s="36">
        <v>2</v>
      </c>
      <c r="J264" s="86"/>
      <c r="K264" s="36" t="s">
        <v>166</v>
      </c>
      <c r="L264" s="36">
        <v>2</v>
      </c>
      <c r="M264" s="18"/>
      <c r="O264" s="1">
        <v>1</v>
      </c>
      <c r="P264" s="1">
        <v>1</v>
      </c>
      <c r="Q264" s="1">
        <v>0</v>
      </c>
      <c r="R264" s="1">
        <v>0</v>
      </c>
      <c r="S264" s="14"/>
      <c r="Z264" s="23" t="s">
        <v>194</v>
      </c>
      <c r="AK264" s="23" t="s">
        <v>198</v>
      </c>
      <c r="AT264" s="23" t="s">
        <v>202</v>
      </c>
      <c r="AX264" s="14"/>
    </row>
    <row r="265" spans="1:50" ht="25" customHeight="1" thickTop="1" thickBot="1" x14ac:dyDescent="0.35">
      <c r="A265" s="63"/>
      <c r="B265" s="76"/>
      <c r="C265" s="25"/>
      <c r="D265" s="86"/>
      <c r="E265" s="36" t="s">
        <v>196</v>
      </c>
      <c r="F265" s="36">
        <v>2</v>
      </c>
      <c r="G265" s="86"/>
      <c r="H265" s="36" t="s">
        <v>160</v>
      </c>
      <c r="I265" s="36">
        <v>1</v>
      </c>
      <c r="J265" s="86"/>
      <c r="K265" s="36" t="s">
        <v>167</v>
      </c>
      <c r="L265" s="36">
        <v>2</v>
      </c>
      <c r="M265" s="18"/>
      <c r="O265" s="1">
        <v>2</v>
      </c>
      <c r="P265" s="1">
        <v>0</v>
      </c>
      <c r="Q265" s="1">
        <v>2</v>
      </c>
      <c r="R265" s="1">
        <v>1</v>
      </c>
      <c r="S265" s="14"/>
      <c r="U265" s="7" t="s">
        <v>146</v>
      </c>
      <c r="V265" s="7" t="s">
        <v>147</v>
      </c>
      <c r="W265" s="7" t="s">
        <v>148</v>
      </c>
      <c r="X265" s="7" t="s">
        <v>149</v>
      </c>
      <c r="Y265" s="7" t="s">
        <v>150</v>
      </c>
      <c r="Z265" s="8" t="s">
        <v>151</v>
      </c>
      <c r="AA265" s="7" t="s">
        <v>152</v>
      </c>
      <c r="AB265" s="7" t="s">
        <v>153</v>
      </c>
      <c r="AC265" s="7" t="s">
        <v>154</v>
      </c>
      <c r="AD265" s="7" t="s">
        <v>155</v>
      </c>
      <c r="AE265" s="8" t="s">
        <v>156</v>
      </c>
      <c r="AF265" s="7" t="s">
        <v>157</v>
      </c>
      <c r="AH265" s="7" t="s">
        <v>146</v>
      </c>
      <c r="AI265" s="7" t="s">
        <v>147</v>
      </c>
      <c r="AJ265" s="7" t="s">
        <v>158</v>
      </c>
      <c r="AK265" s="7" t="s">
        <v>159</v>
      </c>
      <c r="AL265" s="7" t="s">
        <v>160</v>
      </c>
      <c r="AM265" s="7" t="s">
        <v>161</v>
      </c>
      <c r="AN265" s="7" t="s">
        <v>162</v>
      </c>
      <c r="AO265" s="7" t="s">
        <v>163</v>
      </c>
      <c r="AP265" s="7" t="s">
        <v>164</v>
      </c>
      <c r="AR265" s="7" t="s">
        <v>146</v>
      </c>
      <c r="AS265" s="7" t="s">
        <v>147</v>
      </c>
      <c r="AT265" s="7" t="s">
        <v>165</v>
      </c>
      <c r="AU265" s="7" t="s">
        <v>166</v>
      </c>
      <c r="AV265" s="7" t="s">
        <v>167</v>
      </c>
      <c r="AW265" s="7" t="s">
        <v>168</v>
      </c>
      <c r="AX265" s="14"/>
    </row>
    <row r="266" spans="1:50" ht="24" customHeight="1" thickTop="1" thickBot="1" x14ac:dyDescent="0.35">
      <c r="A266" s="63"/>
      <c r="B266" s="76"/>
      <c r="C266" s="25"/>
      <c r="D266" s="86"/>
      <c r="E266" s="1" t="s">
        <v>151</v>
      </c>
      <c r="F266" s="36">
        <v>2</v>
      </c>
      <c r="G266" s="86"/>
      <c r="H266" s="36" t="s">
        <v>199</v>
      </c>
      <c r="I266" s="36">
        <v>2</v>
      </c>
      <c r="J266" s="87"/>
      <c r="K266" s="38" t="s">
        <v>168</v>
      </c>
      <c r="L266" s="38">
        <v>1</v>
      </c>
      <c r="M266" s="18"/>
      <c r="O266" s="1">
        <v>3</v>
      </c>
      <c r="P266" s="1">
        <v>1</v>
      </c>
      <c r="Q266" s="1">
        <v>1</v>
      </c>
      <c r="R266" s="1">
        <v>1</v>
      </c>
      <c r="S266" s="14"/>
      <c r="U266" s="9" t="s">
        <v>171</v>
      </c>
      <c r="V266" s="10" t="s">
        <v>172</v>
      </c>
      <c r="W266" s="9">
        <v>7.83</v>
      </c>
      <c r="X266" s="9">
        <v>0.7</v>
      </c>
      <c r="Y266" s="9">
        <v>1.1299999999999999</v>
      </c>
      <c r="Z266" s="9">
        <v>0.56999999999999995</v>
      </c>
      <c r="AA266" s="9">
        <v>2.85</v>
      </c>
      <c r="AB266" s="9">
        <v>0.85</v>
      </c>
      <c r="AC266" s="9">
        <v>0.97</v>
      </c>
      <c r="AD266" s="9">
        <v>1.2</v>
      </c>
      <c r="AE266" s="9">
        <v>1.08</v>
      </c>
      <c r="AF266" s="9">
        <v>2.0099999999999998</v>
      </c>
      <c r="AH266" s="9" t="s">
        <v>173</v>
      </c>
      <c r="AI266" s="10" t="s">
        <v>174</v>
      </c>
      <c r="AJ266" s="9">
        <v>6.94</v>
      </c>
      <c r="AK266" s="9">
        <v>7.48</v>
      </c>
      <c r="AL266" s="9">
        <v>3</v>
      </c>
      <c r="AM266" s="9">
        <v>7.89</v>
      </c>
      <c r="AN266" s="9">
        <v>2.48</v>
      </c>
      <c r="AO266" s="9">
        <v>8.94</v>
      </c>
      <c r="AP266" s="9">
        <v>5.94</v>
      </c>
      <c r="AR266" s="9" t="s">
        <v>175</v>
      </c>
      <c r="AS266" s="10" t="s">
        <v>176</v>
      </c>
      <c r="AT266" s="9">
        <v>3.02</v>
      </c>
      <c r="AU266" s="9">
        <v>1.25</v>
      </c>
      <c r="AV266" s="9">
        <v>2.2000000000000002</v>
      </c>
      <c r="AW266" s="9">
        <v>2</v>
      </c>
      <c r="AX266" s="14"/>
    </row>
    <row r="267" spans="1:50" ht="24" customHeight="1" thickTop="1" thickBot="1" x14ac:dyDescent="0.35">
      <c r="A267" s="63"/>
      <c r="B267" s="76"/>
      <c r="C267" s="25"/>
      <c r="D267" s="86"/>
      <c r="E267" s="36" t="s">
        <v>152</v>
      </c>
      <c r="F267" s="36">
        <v>2</v>
      </c>
      <c r="G267" s="86"/>
      <c r="H267" s="36" t="s">
        <v>200</v>
      </c>
      <c r="I267" s="36">
        <v>1</v>
      </c>
      <c r="J267" s="39"/>
      <c r="K267" s="39"/>
      <c r="L267" s="39"/>
      <c r="M267" s="18"/>
      <c r="O267" s="1">
        <v>4</v>
      </c>
      <c r="P267" s="1">
        <v>1</v>
      </c>
      <c r="Q267" s="1">
        <v>0</v>
      </c>
      <c r="R267" s="1">
        <v>0</v>
      </c>
      <c r="S267" s="14"/>
      <c r="U267" s="9" t="s">
        <v>179</v>
      </c>
      <c r="V267" s="10" t="s">
        <v>180</v>
      </c>
      <c r="W267" s="9">
        <v>8.14</v>
      </c>
      <c r="X267" s="9">
        <v>0.82</v>
      </c>
      <c r="Y267" s="9">
        <v>1.07</v>
      </c>
      <c r="Z267" s="9">
        <v>0.68</v>
      </c>
      <c r="AA267" s="9">
        <v>2.5</v>
      </c>
      <c r="AB267" s="9">
        <v>0.89</v>
      </c>
      <c r="AC267" s="9">
        <v>0.92</v>
      </c>
      <c r="AD267" s="9">
        <v>1.03</v>
      </c>
      <c r="AE267" s="9">
        <v>1.1499999999999999</v>
      </c>
      <c r="AF267" s="9">
        <v>1.64</v>
      </c>
      <c r="AH267" s="11" t="s">
        <v>181</v>
      </c>
      <c r="AI267" s="12" t="s">
        <v>182</v>
      </c>
      <c r="AJ267" s="11">
        <v>6.07</v>
      </c>
      <c r="AK267" s="11">
        <v>6.54</v>
      </c>
      <c r="AL267" s="11">
        <v>3</v>
      </c>
      <c r="AM267" s="11">
        <v>6.03</v>
      </c>
      <c r="AN267" s="11">
        <v>1.54</v>
      </c>
      <c r="AO267" s="11">
        <v>7.04</v>
      </c>
      <c r="AP267" s="11">
        <v>5.07</v>
      </c>
      <c r="AR267" s="11" t="s">
        <v>183</v>
      </c>
      <c r="AS267" s="12" t="s">
        <v>184</v>
      </c>
      <c r="AT267" s="11">
        <v>2.83</v>
      </c>
      <c r="AU267" s="11">
        <v>1.05</v>
      </c>
      <c r="AV267" s="11">
        <v>2.9</v>
      </c>
      <c r="AW267" s="11">
        <v>2</v>
      </c>
      <c r="AX267" s="14"/>
    </row>
    <row r="268" spans="1:50" ht="23.5" customHeight="1" thickTop="1" thickBot="1" x14ac:dyDescent="0.35">
      <c r="A268" s="63"/>
      <c r="B268" s="76"/>
      <c r="C268" s="25"/>
      <c r="D268" s="86"/>
      <c r="E268" s="36" t="s">
        <v>153</v>
      </c>
      <c r="F268" s="36">
        <v>1</v>
      </c>
      <c r="G268" s="86"/>
      <c r="H268" s="36" t="s">
        <v>201</v>
      </c>
      <c r="I268" s="36">
        <v>1</v>
      </c>
      <c r="J268" s="25"/>
      <c r="K268" s="25"/>
      <c r="L268" s="25"/>
      <c r="M268" s="18"/>
      <c r="O268" s="1">
        <v>5</v>
      </c>
      <c r="P268" s="1">
        <v>1</v>
      </c>
      <c r="Q268" s="1">
        <v>1</v>
      </c>
      <c r="R268" s="1">
        <v>1</v>
      </c>
      <c r="S268" s="14"/>
      <c r="U268" s="11" t="s">
        <v>187</v>
      </c>
      <c r="V268" s="12" t="s">
        <v>188</v>
      </c>
      <c r="W268" s="11">
        <v>9.02</v>
      </c>
      <c r="X268" s="11">
        <v>0.67</v>
      </c>
      <c r="Y268" s="11">
        <v>1.25</v>
      </c>
      <c r="Z268" s="11">
        <v>0.75</v>
      </c>
      <c r="AA268" s="11">
        <v>2.69</v>
      </c>
      <c r="AB268" s="11">
        <v>0.82</v>
      </c>
      <c r="AC268" s="11">
        <v>1</v>
      </c>
      <c r="AD268" s="11">
        <v>1.1499999999999999</v>
      </c>
      <c r="AE268" s="11">
        <v>1.4</v>
      </c>
      <c r="AF268" s="11">
        <v>2.5</v>
      </c>
      <c r="AX268" s="14"/>
    </row>
    <row r="269" spans="1:50" ht="23.5" customHeight="1" thickTop="1" thickBot="1" x14ac:dyDescent="0.35">
      <c r="A269" s="63"/>
      <c r="B269" s="76"/>
      <c r="C269" s="25"/>
      <c r="D269" s="86"/>
      <c r="E269" s="1" t="s">
        <v>156</v>
      </c>
      <c r="F269" s="36">
        <v>1</v>
      </c>
      <c r="G269" s="87"/>
      <c r="H269" s="38" t="s">
        <v>164</v>
      </c>
      <c r="I269" s="38">
        <v>1</v>
      </c>
      <c r="J269" s="36"/>
      <c r="K269" s="25"/>
      <c r="L269" s="25"/>
      <c r="M269" s="18"/>
      <c r="O269" s="1">
        <v>6</v>
      </c>
      <c r="P269" s="1">
        <v>0</v>
      </c>
      <c r="Q269" s="1">
        <v>1</v>
      </c>
      <c r="R269" s="1">
        <v>1</v>
      </c>
      <c r="S269" s="14"/>
      <c r="U269" s="9"/>
      <c r="V269" s="10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X269" s="14"/>
    </row>
    <row r="270" spans="1:50" ht="23.5" customHeight="1" thickTop="1" thickBot="1" x14ac:dyDescent="0.35">
      <c r="A270" s="63"/>
      <c r="B270" s="76"/>
      <c r="C270" s="25"/>
      <c r="D270" s="87"/>
      <c r="E270" s="38" t="s">
        <v>197</v>
      </c>
      <c r="F270" s="38">
        <v>1</v>
      </c>
      <c r="G270" s="39"/>
      <c r="H270" s="39"/>
      <c r="I270" s="39"/>
      <c r="J270" s="36"/>
      <c r="K270" s="36"/>
      <c r="L270" s="25"/>
      <c r="M270" s="18"/>
      <c r="O270" s="1">
        <v>7</v>
      </c>
      <c r="P270" s="1">
        <v>1</v>
      </c>
      <c r="Q270" s="1">
        <v>0</v>
      </c>
      <c r="R270" s="1">
        <v>1</v>
      </c>
      <c r="S270" s="14"/>
      <c r="U270" s="9"/>
      <c r="V270" s="10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X270" s="14"/>
    </row>
    <row r="271" spans="1:50" ht="23.5" customHeight="1" thickTop="1" thickBot="1" x14ac:dyDescent="0.35">
      <c r="A271" s="63"/>
      <c r="B271" s="76"/>
      <c r="C271" s="25"/>
      <c r="D271" s="39"/>
      <c r="E271" s="39"/>
      <c r="F271" s="39"/>
      <c r="G271" s="25"/>
      <c r="H271" s="25"/>
      <c r="I271" s="25"/>
      <c r="J271" s="25"/>
      <c r="K271" s="25"/>
      <c r="L271" s="25"/>
      <c r="M271" s="18"/>
      <c r="O271" s="4">
        <v>8</v>
      </c>
      <c r="P271" s="4">
        <v>2</v>
      </c>
      <c r="Q271" s="4">
        <v>0</v>
      </c>
      <c r="R271" s="4">
        <v>3</v>
      </c>
      <c r="S271" s="14"/>
      <c r="AX271" s="14"/>
    </row>
    <row r="272" spans="1:50" ht="23.5" customHeight="1" thickTop="1" thickBot="1" x14ac:dyDescent="0.35">
      <c r="A272" s="63"/>
      <c r="B272" s="81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19"/>
      <c r="N272" s="15"/>
      <c r="O272" s="15"/>
      <c r="P272" s="15"/>
      <c r="Q272" s="15"/>
      <c r="R272" s="15"/>
      <c r="S272" s="16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6"/>
    </row>
    <row r="273" spans="1:50" ht="15" customHeight="1" thickTop="1" thickBot="1" x14ac:dyDescent="0.35">
      <c r="A273" s="63"/>
      <c r="B273" s="89" t="s">
        <v>87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17"/>
      <c r="N273" s="24"/>
      <c r="O273" s="24"/>
      <c r="P273" s="24"/>
      <c r="Q273" s="24"/>
      <c r="R273" s="24"/>
      <c r="S273" s="1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17"/>
    </row>
    <row r="274" spans="1:50" ht="31" customHeight="1" thickTop="1" thickBot="1" x14ac:dyDescent="0.35">
      <c r="A274" s="63"/>
      <c r="B274" s="76"/>
      <c r="C274" s="24"/>
      <c r="D274" s="27" t="s">
        <v>191</v>
      </c>
      <c r="E274" s="27" t="s">
        <v>192</v>
      </c>
      <c r="F274" s="27" t="s">
        <v>193</v>
      </c>
      <c r="G274" s="27" t="s">
        <v>191</v>
      </c>
      <c r="H274" s="27" t="s">
        <v>192</v>
      </c>
      <c r="I274" s="27" t="s">
        <v>193</v>
      </c>
      <c r="J274" s="27" t="s">
        <v>191</v>
      </c>
      <c r="K274" s="27" t="s">
        <v>192</v>
      </c>
      <c r="L274" s="27" t="s">
        <v>193</v>
      </c>
      <c r="M274" s="17"/>
      <c r="N274" s="24"/>
      <c r="O274" s="82" t="s">
        <v>205</v>
      </c>
      <c r="P274" s="82" t="s">
        <v>206</v>
      </c>
      <c r="Q274" s="83"/>
      <c r="R274" s="83"/>
      <c r="S274" s="1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17"/>
    </row>
    <row r="275" spans="1:50" ht="23.5" customHeight="1" thickTop="1" thickBot="1" x14ac:dyDescent="0.35">
      <c r="A275" s="63"/>
      <c r="B275" s="76"/>
      <c r="C275" s="33"/>
      <c r="D275" s="88" t="s">
        <v>194</v>
      </c>
      <c r="E275" s="36" t="s">
        <v>148</v>
      </c>
      <c r="F275" s="36">
        <v>5</v>
      </c>
      <c r="G275" s="85" t="s">
        <v>198</v>
      </c>
      <c r="H275" s="36" t="s">
        <v>158</v>
      </c>
      <c r="I275" s="36">
        <v>2</v>
      </c>
      <c r="J275" s="85" t="s">
        <v>202</v>
      </c>
      <c r="K275" s="36" t="s">
        <v>203</v>
      </c>
      <c r="L275" s="36">
        <v>2</v>
      </c>
      <c r="M275" s="18"/>
      <c r="N275" s="13"/>
      <c r="O275" s="84"/>
      <c r="P275" s="2" t="s">
        <v>178</v>
      </c>
      <c r="Q275" s="2" t="s">
        <v>186</v>
      </c>
      <c r="R275" s="2" t="s">
        <v>190</v>
      </c>
      <c r="S275" s="14"/>
      <c r="T275" s="13"/>
      <c r="AX275" s="14"/>
    </row>
    <row r="276" spans="1:50" ht="23" customHeight="1" thickBot="1" x14ac:dyDescent="0.35">
      <c r="A276" s="63"/>
      <c r="B276" s="76"/>
      <c r="C276" s="25"/>
      <c r="D276" s="86"/>
      <c r="E276" s="36" t="s">
        <v>195</v>
      </c>
      <c r="F276" s="36">
        <v>2</v>
      </c>
      <c r="G276" s="86"/>
      <c r="H276" s="36" t="s">
        <v>159</v>
      </c>
      <c r="I276" s="36">
        <v>2</v>
      </c>
      <c r="J276" s="86"/>
      <c r="K276" s="36" t="s">
        <v>166</v>
      </c>
      <c r="L276" s="36">
        <v>2</v>
      </c>
      <c r="M276" s="18"/>
      <c r="O276" s="1">
        <v>1</v>
      </c>
      <c r="P276" s="1">
        <v>1</v>
      </c>
      <c r="Q276" s="1">
        <v>1</v>
      </c>
      <c r="R276" s="1">
        <v>1</v>
      </c>
      <c r="S276" s="14"/>
      <c r="Z276" s="23" t="s">
        <v>194</v>
      </c>
      <c r="AK276" s="23" t="s">
        <v>198</v>
      </c>
      <c r="AT276" s="23" t="s">
        <v>202</v>
      </c>
      <c r="AX276" s="14"/>
    </row>
    <row r="277" spans="1:50" ht="25" customHeight="1" thickTop="1" thickBot="1" x14ac:dyDescent="0.35">
      <c r="A277" s="63"/>
      <c r="B277" s="76"/>
      <c r="C277" s="25"/>
      <c r="D277" s="86"/>
      <c r="E277" s="36" t="s">
        <v>196</v>
      </c>
      <c r="F277" s="36">
        <v>2</v>
      </c>
      <c r="G277" s="86"/>
      <c r="H277" s="36" t="s">
        <v>160</v>
      </c>
      <c r="I277" s="36">
        <v>1</v>
      </c>
      <c r="J277" s="86"/>
      <c r="K277" s="36" t="s">
        <v>167</v>
      </c>
      <c r="L277" s="36">
        <v>2</v>
      </c>
      <c r="M277" s="18"/>
      <c r="O277" s="1">
        <v>2</v>
      </c>
      <c r="P277" s="1">
        <v>1</v>
      </c>
      <c r="Q277" s="1">
        <v>2</v>
      </c>
      <c r="R277" s="1">
        <v>1</v>
      </c>
      <c r="S277" s="14"/>
      <c r="U277" s="7" t="s">
        <v>146</v>
      </c>
      <c r="V277" s="7" t="s">
        <v>147</v>
      </c>
      <c r="W277" s="7" t="s">
        <v>148</v>
      </c>
      <c r="X277" s="7" t="s">
        <v>149</v>
      </c>
      <c r="Y277" s="7" t="s">
        <v>150</v>
      </c>
      <c r="Z277" s="8" t="s">
        <v>151</v>
      </c>
      <c r="AA277" s="7" t="s">
        <v>152</v>
      </c>
      <c r="AB277" s="7" t="s">
        <v>153</v>
      </c>
      <c r="AC277" s="7" t="s">
        <v>154</v>
      </c>
      <c r="AD277" s="7" t="s">
        <v>155</v>
      </c>
      <c r="AE277" s="8" t="s">
        <v>156</v>
      </c>
      <c r="AF277" s="7" t="s">
        <v>157</v>
      </c>
      <c r="AH277" s="7" t="s">
        <v>146</v>
      </c>
      <c r="AI277" s="7" t="s">
        <v>147</v>
      </c>
      <c r="AJ277" s="7" t="s">
        <v>158</v>
      </c>
      <c r="AK277" s="7" t="s">
        <v>159</v>
      </c>
      <c r="AL277" s="7" t="s">
        <v>160</v>
      </c>
      <c r="AM277" s="7" t="s">
        <v>161</v>
      </c>
      <c r="AN277" s="7" t="s">
        <v>162</v>
      </c>
      <c r="AO277" s="7" t="s">
        <v>163</v>
      </c>
      <c r="AP277" s="7" t="s">
        <v>164</v>
      </c>
      <c r="AR277" s="7" t="s">
        <v>146</v>
      </c>
      <c r="AS277" s="7" t="s">
        <v>147</v>
      </c>
      <c r="AT277" s="7" t="s">
        <v>165</v>
      </c>
      <c r="AU277" s="7" t="s">
        <v>166</v>
      </c>
      <c r="AV277" s="7" t="s">
        <v>167</v>
      </c>
      <c r="AW277" s="7" t="s">
        <v>168</v>
      </c>
      <c r="AX277" s="14"/>
    </row>
    <row r="278" spans="1:50" ht="24" customHeight="1" thickTop="1" thickBot="1" x14ac:dyDescent="0.35">
      <c r="A278" s="63"/>
      <c r="B278" s="76"/>
      <c r="C278" s="25"/>
      <c r="D278" s="86"/>
      <c r="E278" s="1" t="s">
        <v>151</v>
      </c>
      <c r="F278" s="36">
        <v>2</v>
      </c>
      <c r="G278" s="86"/>
      <c r="H278" s="36" t="s">
        <v>199</v>
      </c>
      <c r="I278" s="36">
        <v>2</v>
      </c>
      <c r="J278" s="87"/>
      <c r="K278" s="38" t="s">
        <v>168</v>
      </c>
      <c r="L278" s="38">
        <v>1</v>
      </c>
      <c r="M278" s="18"/>
      <c r="O278" s="1">
        <v>3</v>
      </c>
      <c r="P278" s="1">
        <v>0</v>
      </c>
      <c r="Q278" s="1">
        <v>1</v>
      </c>
      <c r="R278" s="1">
        <v>1</v>
      </c>
      <c r="S278" s="14"/>
      <c r="U278" s="9" t="s">
        <v>171</v>
      </c>
      <c r="V278" s="10" t="s">
        <v>172</v>
      </c>
      <c r="W278" s="9">
        <v>8.8699999999999992</v>
      </c>
      <c r="X278" s="9">
        <v>0.79</v>
      </c>
      <c r="Y278" s="9">
        <v>1.07</v>
      </c>
      <c r="Z278" s="9">
        <v>0.57999999999999996</v>
      </c>
      <c r="AA278" s="9">
        <v>2.78</v>
      </c>
      <c r="AB278" s="9">
        <v>0.82</v>
      </c>
      <c r="AC278" s="9">
        <v>0.99</v>
      </c>
      <c r="AD278" s="9">
        <v>1.02</v>
      </c>
      <c r="AE278" s="9">
        <v>1.17</v>
      </c>
      <c r="AF278" s="9">
        <v>2.35</v>
      </c>
      <c r="AH278" s="9" t="s">
        <v>173</v>
      </c>
      <c r="AI278" s="10" t="s">
        <v>174</v>
      </c>
      <c r="AJ278" s="9">
        <v>6.39</v>
      </c>
      <c r="AK278" s="9">
        <v>6.77</v>
      </c>
      <c r="AL278" s="9">
        <v>3</v>
      </c>
      <c r="AM278" s="9">
        <v>6.9</v>
      </c>
      <c r="AN278" s="9">
        <v>1.77</v>
      </c>
      <c r="AO278" s="9">
        <v>7.26</v>
      </c>
      <c r="AP278" s="9">
        <v>5.39</v>
      </c>
      <c r="AR278" s="9" t="s">
        <v>175</v>
      </c>
      <c r="AS278" s="10" t="s">
        <v>176</v>
      </c>
      <c r="AT278" s="9">
        <v>3.37</v>
      </c>
      <c r="AU278" s="9">
        <v>1.1100000000000001</v>
      </c>
      <c r="AV278" s="9">
        <v>2.5</v>
      </c>
      <c r="AW278" s="9">
        <v>2</v>
      </c>
      <c r="AX278" s="14"/>
    </row>
    <row r="279" spans="1:50" ht="24" customHeight="1" thickTop="1" thickBot="1" x14ac:dyDescent="0.35">
      <c r="A279" s="63"/>
      <c r="B279" s="76"/>
      <c r="C279" s="25"/>
      <c r="D279" s="86"/>
      <c r="E279" s="36" t="s">
        <v>152</v>
      </c>
      <c r="F279" s="36">
        <v>2</v>
      </c>
      <c r="G279" s="86"/>
      <c r="H279" s="36" t="s">
        <v>200</v>
      </c>
      <c r="I279" s="36">
        <v>1</v>
      </c>
      <c r="J279" s="39"/>
      <c r="K279" s="39"/>
      <c r="L279" s="39"/>
      <c r="M279" s="18"/>
      <c r="O279" s="1">
        <v>4</v>
      </c>
      <c r="P279" s="1">
        <v>0</v>
      </c>
      <c r="Q279" s="1">
        <v>1</v>
      </c>
      <c r="R279" s="1">
        <v>0</v>
      </c>
      <c r="S279" s="14"/>
      <c r="U279" s="9" t="s">
        <v>179</v>
      </c>
      <c r="V279" s="10" t="s">
        <v>180</v>
      </c>
      <c r="W279" s="9">
        <v>7</v>
      </c>
      <c r="X279" s="9">
        <v>0.83</v>
      </c>
      <c r="Y279" s="9">
        <v>1.25</v>
      </c>
      <c r="Z279" s="9">
        <v>0.69</v>
      </c>
      <c r="AA279" s="9">
        <v>2.61</v>
      </c>
      <c r="AB279" s="9">
        <v>0.88</v>
      </c>
      <c r="AC279" s="9">
        <v>0.91</v>
      </c>
      <c r="AD279" s="9">
        <v>1.28</v>
      </c>
      <c r="AE279" s="9">
        <v>1.3</v>
      </c>
      <c r="AF279" s="9">
        <v>1.68</v>
      </c>
      <c r="AH279" s="11" t="s">
        <v>181</v>
      </c>
      <c r="AI279" s="12" t="s">
        <v>182</v>
      </c>
      <c r="AJ279" s="11">
        <v>6.84</v>
      </c>
      <c r="AK279" s="11">
        <v>7.32</v>
      </c>
      <c r="AL279" s="11">
        <v>3</v>
      </c>
      <c r="AM279" s="11">
        <v>7.59</v>
      </c>
      <c r="AN279" s="11">
        <v>2.27</v>
      </c>
      <c r="AO279" s="11">
        <v>8.59</v>
      </c>
      <c r="AP279" s="11">
        <v>5.84</v>
      </c>
      <c r="AR279" s="11" t="s">
        <v>183</v>
      </c>
      <c r="AS279" s="12" t="s">
        <v>184</v>
      </c>
      <c r="AT279" s="11">
        <v>2.5499999999999998</v>
      </c>
      <c r="AU279" s="11">
        <v>1.19</v>
      </c>
      <c r="AV279" s="11">
        <v>2.2999999999999998</v>
      </c>
      <c r="AW279" s="11">
        <v>2</v>
      </c>
      <c r="AX279" s="14"/>
    </row>
    <row r="280" spans="1:50" ht="23.5" customHeight="1" thickTop="1" thickBot="1" x14ac:dyDescent="0.35">
      <c r="A280" s="63"/>
      <c r="B280" s="76"/>
      <c r="C280" s="25"/>
      <c r="D280" s="86"/>
      <c r="E280" s="36" t="s">
        <v>153</v>
      </c>
      <c r="F280" s="36">
        <v>1</v>
      </c>
      <c r="G280" s="86"/>
      <c r="H280" s="36" t="s">
        <v>201</v>
      </c>
      <c r="I280" s="36">
        <v>1</v>
      </c>
      <c r="J280" s="25"/>
      <c r="K280" s="25"/>
      <c r="L280" s="25"/>
      <c r="M280" s="18"/>
      <c r="O280" s="1">
        <v>5</v>
      </c>
      <c r="P280" s="1">
        <v>1</v>
      </c>
      <c r="Q280" s="1">
        <v>1</v>
      </c>
      <c r="R280" s="1">
        <v>1</v>
      </c>
      <c r="S280" s="14"/>
      <c r="U280" s="11" t="s">
        <v>187</v>
      </c>
      <c r="V280" s="12" t="s">
        <v>188</v>
      </c>
      <c r="W280" s="11">
        <v>9.0299999999999994</v>
      </c>
      <c r="X280" s="11">
        <v>0.72</v>
      </c>
      <c r="Y280" s="11">
        <v>1.1100000000000001</v>
      </c>
      <c r="Z280" s="11">
        <v>0.62</v>
      </c>
      <c r="AA280" s="11">
        <v>2.5</v>
      </c>
      <c r="AB280" s="11">
        <v>0.8</v>
      </c>
      <c r="AC280" s="11">
        <v>0.97</v>
      </c>
      <c r="AD280" s="11">
        <v>1.0900000000000001</v>
      </c>
      <c r="AE280" s="11">
        <v>1.02</v>
      </c>
      <c r="AF280" s="11">
        <v>2.1</v>
      </c>
      <c r="AX280" s="14"/>
    </row>
    <row r="281" spans="1:50" ht="23.5" customHeight="1" thickTop="1" thickBot="1" x14ac:dyDescent="0.35">
      <c r="A281" s="63"/>
      <c r="B281" s="76"/>
      <c r="C281" s="25"/>
      <c r="D281" s="86"/>
      <c r="E281" s="1" t="s">
        <v>156</v>
      </c>
      <c r="F281" s="36">
        <v>1</v>
      </c>
      <c r="G281" s="87"/>
      <c r="H281" s="38" t="s">
        <v>164</v>
      </c>
      <c r="I281" s="38">
        <v>1</v>
      </c>
      <c r="J281" s="36"/>
      <c r="K281" s="25"/>
      <c r="L281" s="25"/>
      <c r="M281" s="18"/>
      <c r="O281" s="1">
        <v>6</v>
      </c>
      <c r="P281" s="1">
        <v>1</v>
      </c>
      <c r="Q281" s="1">
        <v>1</v>
      </c>
      <c r="R281" s="1">
        <v>1</v>
      </c>
      <c r="S281" s="14"/>
      <c r="U281" s="9"/>
      <c r="V281" s="10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X281" s="14"/>
    </row>
    <row r="282" spans="1:50" ht="23.5" customHeight="1" thickTop="1" thickBot="1" x14ac:dyDescent="0.35">
      <c r="A282" s="63"/>
      <c r="B282" s="76"/>
      <c r="C282" s="25"/>
      <c r="D282" s="87"/>
      <c r="E282" s="38" t="s">
        <v>197</v>
      </c>
      <c r="F282" s="38">
        <v>1</v>
      </c>
      <c r="G282" s="39"/>
      <c r="H282" s="39"/>
      <c r="I282" s="39"/>
      <c r="J282" s="36"/>
      <c r="K282" s="36"/>
      <c r="L282" s="25"/>
      <c r="M282" s="18"/>
      <c r="O282" s="1">
        <v>7</v>
      </c>
      <c r="P282" s="1">
        <v>1</v>
      </c>
      <c r="Q282" s="1">
        <v>1</v>
      </c>
      <c r="R282" s="1">
        <v>1</v>
      </c>
      <c r="S282" s="14"/>
      <c r="U282" s="9"/>
      <c r="V282" s="10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X282" s="14"/>
    </row>
    <row r="283" spans="1:50" ht="23.5" customHeight="1" thickTop="1" thickBot="1" x14ac:dyDescent="0.35">
      <c r="A283" s="63"/>
      <c r="B283" s="76"/>
      <c r="C283" s="25"/>
      <c r="D283" s="39"/>
      <c r="E283" s="39"/>
      <c r="F283" s="39"/>
      <c r="G283" s="25"/>
      <c r="H283" s="39"/>
      <c r="I283" s="25"/>
      <c r="J283" s="25"/>
      <c r="K283" s="36"/>
      <c r="L283" s="25"/>
      <c r="M283" s="18"/>
      <c r="O283" s="4">
        <v>8</v>
      </c>
      <c r="P283" s="4">
        <v>2</v>
      </c>
      <c r="Q283" s="4">
        <v>0</v>
      </c>
      <c r="R283" s="4">
        <v>0</v>
      </c>
      <c r="S283" s="14"/>
      <c r="AX283" s="14"/>
    </row>
    <row r="284" spans="1:50" ht="23.5" customHeight="1" thickTop="1" thickBot="1" x14ac:dyDescent="0.35">
      <c r="A284" s="63"/>
      <c r="B284" s="81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19"/>
      <c r="N284" s="15"/>
      <c r="O284" s="15"/>
      <c r="P284" s="15"/>
      <c r="Q284" s="15"/>
      <c r="R284" s="15"/>
      <c r="S284" s="16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6"/>
    </row>
    <row r="285" spans="1:50" ht="15" customHeight="1" thickTop="1" thickBot="1" x14ac:dyDescent="0.35">
      <c r="A285" s="63"/>
      <c r="B285" s="89" t="s">
        <v>88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17"/>
      <c r="N285" s="24"/>
      <c r="O285" s="24"/>
      <c r="P285" s="24"/>
      <c r="Q285" s="24"/>
      <c r="R285" s="24"/>
      <c r="S285" s="1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17"/>
    </row>
    <row r="286" spans="1:50" ht="31" customHeight="1" thickTop="1" thickBot="1" x14ac:dyDescent="0.35">
      <c r="A286" s="63"/>
      <c r="B286" s="76"/>
      <c r="C286" s="24"/>
      <c r="D286" s="27" t="s">
        <v>191</v>
      </c>
      <c r="E286" s="27" t="s">
        <v>192</v>
      </c>
      <c r="F286" s="27" t="s">
        <v>193</v>
      </c>
      <c r="G286" s="27" t="s">
        <v>191</v>
      </c>
      <c r="H286" s="27" t="s">
        <v>192</v>
      </c>
      <c r="I286" s="27" t="s">
        <v>193</v>
      </c>
      <c r="J286" s="27" t="s">
        <v>191</v>
      </c>
      <c r="K286" s="27" t="s">
        <v>192</v>
      </c>
      <c r="L286" s="27" t="s">
        <v>193</v>
      </c>
      <c r="M286" s="17"/>
      <c r="N286" s="24"/>
      <c r="O286" s="82" t="s">
        <v>205</v>
      </c>
      <c r="P286" s="82" t="s">
        <v>206</v>
      </c>
      <c r="Q286" s="83"/>
      <c r="R286" s="83"/>
      <c r="S286" s="1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17"/>
    </row>
    <row r="287" spans="1:50" ht="23.5" customHeight="1" thickTop="1" thickBot="1" x14ac:dyDescent="0.35">
      <c r="A287" s="63"/>
      <c r="B287" s="76"/>
      <c r="C287" s="33"/>
      <c r="D287" s="88" t="s">
        <v>194</v>
      </c>
      <c r="E287" s="36" t="s">
        <v>148</v>
      </c>
      <c r="F287" s="36">
        <v>5</v>
      </c>
      <c r="G287" s="85" t="s">
        <v>198</v>
      </c>
      <c r="H287" s="36" t="s">
        <v>158</v>
      </c>
      <c r="I287" s="36">
        <v>2</v>
      </c>
      <c r="J287" s="85" t="s">
        <v>202</v>
      </c>
      <c r="K287" s="36" t="s">
        <v>203</v>
      </c>
      <c r="L287" s="36">
        <v>2</v>
      </c>
      <c r="M287" s="18"/>
      <c r="N287" s="13"/>
      <c r="O287" s="84"/>
      <c r="P287" s="2" t="s">
        <v>178</v>
      </c>
      <c r="Q287" s="2" t="s">
        <v>186</v>
      </c>
      <c r="R287" s="2" t="s">
        <v>190</v>
      </c>
      <c r="S287" s="14"/>
      <c r="T287" s="13"/>
      <c r="AX287" s="14"/>
    </row>
    <row r="288" spans="1:50" ht="23" customHeight="1" thickBot="1" x14ac:dyDescent="0.35">
      <c r="A288" s="63"/>
      <c r="B288" s="76"/>
      <c r="C288" s="25"/>
      <c r="D288" s="86"/>
      <c r="E288" s="36" t="s">
        <v>195</v>
      </c>
      <c r="F288" s="36">
        <v>2</v>
      </c>
      <c r="G288" s="86"/>
      <c r="H288" s="36" t="s">
        <v>159</v>
      </c>
      <c r="I288" s="36">
        <v>2</v>
      </c>
      <c r="J288" s="86"/>
      <c r="K288" s="36" t="s">
        <v>166</v>
      </c>
      <c r="L288" s="36">
        <v>2</v>
      </c>
      <c r="M288" s="18"/>
      <c r="O288" s="1">
        <v>1</v>
      </c>
      <c r="P288" s="1">
        <v>1</v>
      </c>
      <c r="Q288" s="1">
        <v>0</v>
      </c>
      <c r="R288" s="1">
        <v>2</v>
      </c>
      <c r="S288" s="14"/>
      <c r="Z288" s="23" t="s">
        <v>194</v>
      </c>
      <c r="AK288" s="23" t="s">
        <v>198</v>
      </c>
      <c r="AT288" s="23" t="s">
        <v>202</v>
      </c>
      <c r="AX288" s="14"/>
    </row>
    <row r="289" spans="1:50" ht="25" customHeight="1" thickTop="1" thickBot="1" x14ac:dyDescent="0.35">
      <c r="A289" s="63"/>
      <c r="B289" s="76"/>
      <c r="C289" s="25"/>
      <c r="D289" s="86"/>
      <c r="E289" s="36" t="s">
        <v>196</v>
      </c>
      <c r="F289" s="36">
        <v>2</v>
      </c>
      <c r="G289" s="86"/>
      <c r="H289" s="36" t="s">
        <v>160</v>
      </c>
      <c r="I289" s="36">
        <v>1</v>
      </c>
      <c r="J289" s="86"/>
      <c r="K289" s="36" t="s">
        <v>167</v>
      </c>
      <c r="L289" s="36">
        <v>2</v>
      </c>
      <c r="M289" s="18"/>
      <c r="O289" s="1">
        <v>2</v>
      </c>
      <c r="P289" s="1">
        <v>1</v>
      </c>
      <c r="Q289" s="1">
        <v>0</v>
      </c>
      <c r="R289" s="1">
        <v>1</v>
      </c>
      <c r="S289" s="14"/>
      <c r="U289" s="7" t="s">
        <v>146</v>
      </c>
      <c r="V289" s="7" t="s">
        <v>147</v>
      </c>
      <c r="W289" s="7" t="s">
        <v>148</v>
      </c>
      <c r="X289" s="7" t="s">
        <v>149</v>
      </c>
      <c r="Y289" s="7" t="s">
        <v>150</v>
      </c>
      <c r="Z289" s="8" t="s">
        <v>151</v>
      </c>
      <c r="AA289" s="7" t="s">
        <v>152</v>
      </c>
      <c r="AB289" s="7" t="s">
        <v>153</v>
      </c>
      <c r="AC289" s="7" t="s">
        <v>154</v>
      </c>
      <c r="AD289" s="7" t="s">
        <v>155</v>
      </c>
      <c r="AE289" s="8" t="s">
        <v>156</v>
      </c>
      <c r="AF289" s="7" t="s">
        <v>157</v>
      </c>
      <c r="AH289" s="7" t="s">
        <v>146</v>
      </c>
      <c r="AI289" s="7" t="s">
        <v>147</v>
      </c>
      <c r="AJ289" s="7" t="s">
        <v>158</v>
      </c>
      <c r="AK289" s="7" t="s">
        <v>159</v>
      </c>
      <c r="AL289" s="7" t="s">
        <v>160</v>
      </c>
      <c r="AM289" s="7" t="s">
        <v>161</v>
      </c>
      <c r="AN289" s="7" t="s">
        <v>162</v>
      </c>
      <c r="AO289" s="7" t="s">
        <v>163</v>
      </c>
      <c r="AP289" s="7" t="s">
        <v>164</v>
      </c>
      <c r="AR289" s="7" t="s">
        <v>146</v>
      </c>
      <c r="AS289" s="7" t="s">
        <v>147</v>
      </c>
      <c r="AT289" s="7" t="s">
        <v>165</v>
      </c>
      <c r="AU289" s="7" t="s">
        <v>166</v>
      </c>
      <c r="AV289" s="7" t="s">
        <v>167</v>
      </c>
      <c r="AW289" s="7" t="s">
        <v>168</v>
      </c>
      <c r="AX289" s="14"/>
    </row>
    <row r="290" spans="1:50" ht="24" customHeight="1" thickTop="1" thickBot="1" x14ac:dyDescent="0.35">
      <c r="A290" s="63"/>
      <c r="B290" s="76"/>
      <c r="C290" s="25"/>
      <c r="D290" s="86"/>
      <c r="E290" s="1" t="s">
        <v>151</v>
      </c>
      <c r="F290" s="36">
        <v>2</v>
      </c>
      <c r="G290" s="86"/>
      <c r="H290" s="36" t="s">
        <v>199</v>
      </c>
      <c r="I290" s="36">
        <v>2</v>
      </c>
      <c r="J290" s="87"/>
      <c r="K290" s="38" t="s">
        <v>168</v>
      </c>
      <c r="L290" s="38">
        <v>2</v>
      </c>
      <c r="M290" s="18"/>
      <c r="O290" s="1">
        <v>3</v>
      </c>
      <c r="P290" s="1">
        <v>2</v>
      </c>
      <c r="Q290" s="1">
        <v>1</v>
      </c>
      <c r="R290" s="1">
        <v>1</v>
      </c>
      <c r="S290" s="14"/>
      <c r="U290" s="9" t="s">
        <v>171</v>
      </c>
      <c r="V290" s="10" t="s">
        <v>172</v>
      </c>
      <c r="W290" s="9">
        <v>7.36</v>
      </c>
      <c r="X290" s="9">
        <v>0.77</v>
      </c>
      <c r="Y290" s="9">
        <v>1.1100000000000001</v>
      </c>
      <c r="Z290" s="9">
        <v>0.66</v>
      </c>
      <c r="AA290" s="9">
        <v>2.5</v>
      </c>
      <c r="AB290" s="9">
        <v>0.82</v>
      </c>
      <c r="AC290" s="9">
        <v>0.98</v>
      </c>
      <c r="AD290" s="9">
        <v>1.17</v>
      </c>
      <c r="AE290" s="9">
        <v>1.21</v>
      </c>
      <c r="AF290" s="9">
        <v>1.67</v>
      </c>
      <c r="AH290" s="9" t="s">
        <v>173</v>
      </c>
      <c r="AI290" s="10" t="s">
        <v>174</v>
      </c>
      <c r="AJ290" s="9">
        <v>6.1</v>
      </c>
      <c r="AK290" s="9">
        <v>6.53</v>
      </c>
      <c r="AL290" s="9">
        <v>3</v>
      </c>
      <c r="AM290" s="9">
        <v>6.06</v>
      </c>
      <c r="AN290" s="9">
        <v>1.53</v>
      </c>
      <c r="AO290" s="9">
        <v>7.03</v>
      </c>
      <c r="AP290" s="9">
        <v>5.01</v>
      </c>
      <c r="AR290" s="9" t="s">
        <v>175</v>
      </c>
      <c r="AS290" s="10" t="s">
        <v>176</v>
      </c>
      <c r="AT290" s="9">
        <v>2.73</v>
      </c>
      <c r="AU290" s="9">
        <v>1.08</v>
      </c>
      <c r="AV290" s="9">
        <v>2.8</v>
      </c>
      <c r="AW290" s="9">
        <v>2</v>
      </c>
      <c r="AX290" s="14"/>
    </row>
    <row r="291" spans="1:50" ht="24" customHeight="1" thickTop="1" thickBot="1" x14ac:dyDescent="0.35">
      <c r="A291" s="63"/>
      <c r="B291" s="76"/>
      <c r="C291" s="25"/>
      <c r="D291" s="86"/>
      <c r="E291" s="36" t="s">
        <v>152</v>
      </c>
      <c r="F291" s="36">
        <v>2</v>
      </c>
      <c r="G291" s="86"/>
      <c r="H291" s="36" t="s">
        <v>200</v>
      </c>
      <c r="I291" s="36">
        <v>1</v>
      </c>
      <c r="J291" s="39"/>
      <c r="K291" s="39"/>
      <c r="L291" s="39"/>
      <c r="M291" s="18"/>
      <c r="O291" s="1">
        <v>4</v>
      </c>
      <c r="P291" s="1">
        <v>0</v>
      </c>
      <c r="Q291" s="1">
        <v>2</v>
      </c>
      <c r="R291" s="1">
        <v>0</v>
      </c>
      <c r="S291" s="14"/>
      <c r="U291" s="9" t="s">
        <v>179</v>
      </c>
      <c r="V291" s="10" t="s">
        <v>180</v>
      </c>
      <c r="W291" s="9">
        <v>8.49</v>
      </c>
      <c r="X291" s="9">
        <v>0.66</v>
      </c>
      <c r="Y291" s="9">
        <v>1.06</v>
      </c>
      <c r="Z291" s="9">
        <v>0.73</v>
      </c>
      <c r="AA291" s="9">
        <v>2.64</v>
      </c>
      <c r="AB291" s="9">
        <v>0.86</v>
      </c>
      <c r="AC291" s="9">
        <v>0.91</v>
      </c>
      <c r="AD291" s="9">
        <v>1.04</v>
      </c>
      <c r="AE291" s="9">
        <v>1.0900000000000001</v>
      </c>
      <c r="AF291" s="9">
        <v>2.2400000000000002</v>
      </c>
      <c r="AH291" s="11" t="s">
        <v>181</v>
      </c>
      <c r="AI291" s="12" t="s">
        <v>182</v>
      </c>
      <c r="AJ291" s="11">
        <v>6.96</v>
      </c>
      <c r="AK291" s="11">
        <v>7.46</v>
      </c>
      <c r="AL291" s="11">
        <v>3</v>
      </c>
      <c r="AM291" s="11">
        <v>7.96</v>
      </c>
      <c r="AN291" s="11">
        <v>2.46</v>
      </c>
      <c r="AO291" s="11">
        <v>8.9600000000000009</v>
      </c>
      <c r="AP291" s="11">
        <v>5.96</v>
      </c>
      <c r="AR291" s="11" t="s">
        <v>183</v>
      </c>
      <c r="AS291" s="12" t="s">
        <v>184</v>
      </c>
      <c r="AT291" s="11">
        <v>3.22</v>
      </c>
      <c r="AU291" s="11">
        <v>1.1399999999999999</v>
      </c>
      <c r="AV291" s="11">
        <v>2.4</v>
      </c>
      <c r="AW291" s="11">
        <v>2</v>
      </c>
      <c r="AX291" s="14"/>
    </row>
    <row r="292" spans="1:50" ht="23.5" customHeight="1" thickTop="1" thickBot="1" x14ac:dyDescent="0.35">
      <c r="A292" s="63"/>
      <c r="B292" s="76"/>
      <c r="C292" s="25"/>
      <c r="D292" s="86"/>
      <c r="E292" s="36" t="s">
        <v>153</v>
      </c>
      <c r="F292" s="36">
        <v>2</v>
      </c>
      <c r="G292" s="86"/>
      <c r="H292" s="36" t="s">
        <v>201</v>
      </c>
      <c r="I292" s="36">
        <v>1</v>
      </c>
      <c r="J292" s="25"/>
      <c r="K292" s="25"/>
      <c r="L292" s="25"/>
      <c r="M292" s="18"/>
      <c r="O292" s="1">
        <v>5</v>
      </c>
      <c r="P292" s="1">
        <v>1</v>
      </c>
      <c r="Q292" s="1">
        <v>1</v>
      </c>
      <c r="R292" s="1">
        <v>1</v>
      </c>
      <c r="S292" s="14"/>
      <c r="U292" s="11" t="s">
        <v>187</v>
      </c>
      <c r="V292" s="12" t="s">
        <v>188</v>
      </c>
      <c r="W292" s="11">
        <v>9.17</v>
      </c>
      <c r="X292" s="11">
        <v>0.89</v>
      </c>
      <c r="Y292" s="11">
        <v>1.23</v>
      </c>
      <c r="Z292" s="11">
        <v>0.56999999999999995</v>
      </c>
      <c r="AA292" s="11">
        <v>2.81</v>
      </c>
      <c r="AB292" s="11">
        <v>0.8</v>
      </c>
      <c r="AC292" s="11">
        <v>0.95</v>
      </c>
      <c r="AD292" s="11">
        <v>1.2</v>
      </c>
      <c r="AE292" s="11">
        <v>1.36</v>
      </c>
      <c r="AF292" s="11">
        <v>2.5</v>
      </c>
      <c r="AX292" s="14"/>
    </row>
    <row r="293" spans="1:50" ht="23.5" customHeight="1" thickTop="1" thickBot="1" x14ac:dyDescent="0.35">
      <c r="A293" s="63"/>
      <c r="B293" s="76"/>
      <c r="C293" s="25"/>
      <c r="D293" s="86"/>
      <c r="E293" s="1" t="s">
        <v>156</v>
      </c>
      <c r="F293" s="36">
        <v>1</v>
      </c>
      <c r="G293" s="87"/>
      <c r="H293" s="38" t="s">
        <v>164</v>
      </c>
      <c r="I293" s="38">
        <v>1</v>
      </c>
      <c r="J293" s="36"/>
      <c r="K293" s="25"/>
      <c r="L293" s="25"/>
      <c r="M293" s="18"/>
      <c r="O293" s="1">
        <v>6</v>
      </c>
      <c r="P293" s="1">
        <v>2</v>
      </c>
      <c r="Q293" s="1">
        <v>1</v>
      </c>
      <c r="R293" s="1">
        <v>1</v>
      </c>
      <c r="S293" s="14"/>
      <c r="U293" s="9"/>
      <c r="V293" s="10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X293" s="14"/>
    </row>
    <row r="294" spans="1:50" ht="23.5" customHeight="1" thickTop="1" thickBot="1" x14ac:dyDescent="0.35">
      <c r="A294" s="63"/>
      <c r="B294" s="76"/>
      <c r="C294" s="25"/>
      <c r="D294" s="87"/>
      <c r="E294" s="38" t="s">
        <v>197</v>
      </c>
      <c r="F294" s="38">
        <v>1</v>
      </c>
      <c r="G294" s="39"/>
      <c r="H294" s="39"/>
      <c r="I294" s="39"/>
      <c r="J294" s="36"/>
      <c r="K294" s="36"/>
      <c r="L294" s="25"/>
      <c r="M294" s="18"/>
      <c r="O294" s="1">
        <v>7</v>
      </c>
      <c r="P294" s="1">
        <v>1</v>
      </c>
      <c r="Q294" s="1">
        <v>1</v>
      </c>
      <c r="R294" s="1">
        <v>1</v>
      </c>
      <c r="S294" s="14"/>
      <c r="U294" s="9"/>
      <c r="V294" s="10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X294" s="14"/>
    </row>
    <row r="295" spans="1:50" ht="23.5" customHeight="1" thickTop="1" thickBot="1" x14ac:dyDescent="0.35">
      <c r="A295" s="63"/>
      <c r="B295" s="76"/>
      <c r="C295" s="25"/>
      <c r="D295" s="39"/>
      <c r="E295" s="39"/>
      <c r="F295" s="39"/>
      <c r="G295" s="25"/>
      <c r="H295" s="25"/>
      <c r="I295" s="25"/>
      <c r="J295" s="25"/>
      <c r="K295" s="25"/>
      <c r="L295" s="25"/>
      <c r="M295" s="18"/>
      <c r="O295" s="4">
        <v>8</v>
      </c>
      <c r="P295" s="4">
        <v>0</v>
      </c>
      <c r="Q295" s="4">
        <v>0</v>
      </c>
      <c r="R295" s="4">
        <v>1</v>
      </c>
      <c r="S295" s="14"/>
      <c r="AX295" s="14"/>
    </row>
    <row r="296" spans="1:50" ht="23.5" customHeight="1" thickTop="1" thickBot="1" x14ac:dyDescent="0.35">
      <c r="A296" s="63"/>
      <c r="B296" s="81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19"/>
      <c r="N296" s="15"/>
      <c r="O296" s="15"/>
      <c r="P296" s="15"/>
      <c r="Q296" s="15"/>
      <c r="R296" s="15"/>
      <c r="S296" s="16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6"/>
    </row>
    <row r="297" spans="1:50" ht="15" customHeight="1" thickTop="1" thickBot="1" x14ac:dyDescent="0.35">
      <c r="A297" s="63"/>
      <c r="B297" s="89" t="s">
        <v>89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17"/>
      <c r="N297" s="24"/>
      <c r="O297" s="24"/>
      <c r="P297" s="24"/>
      <c r="Q297" s="24"/>
      <c r="R297" s="24"/>
      <c r="S297" s="1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17"/>
    </row>
    <row r="298" spans="1:50" ht="31" customHeight="1" thickTop="1" thickBot="1" x14ac:dyDescent="0.35">
      <c r="A298" s="63"/>
      <c r="B298" s="76"/>
      <c r="C298" s="24"/>
      <c r="D298" s="27" t="s">
        <v>191</v>
      </c>
      <c r="E298" s="27" t="s">
        <v>192</v>
      </c>
      <c r="F298" s="27" t="s">
        <v>193</v>
      </c>
      <c r="G298" s="27" t="s">
        <v>191</v>
      </c>
      <c r="H298" s="27" t="s">
        <v>192</v>
      </c>
      <c r="I298" s="27" t="s">
        <v>193</v>
      </c>
      <c r="J298" s="27" t="s">
        <v>191</v>
      </c>
      <c r="K298" s="27" t="s">
        <v>192</v>
      </c>
      <c r="L298" s="27" t="s">
        <v>193</v>
      </c>
      <c r="M298" s="17"/>
      <c r="N298" s="24"/>
      <c r="O298" s="82" t="s">
        <v>205</v>
      </c>
      <c r="P298" s="82" t="s">
        <v>206</v>
      </c>
      <c r="Q298" s="83"/>
      <c r="R298" s="83"/>
      <c r="S298" s="1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17"/>
    </row>
    <row r="299" spans="1:50" ht="23.5" customHeight="1" thickTop="1" thickBot="1" x14ac:dyDescent="0.35">
      <c r="A299" s="63"/>
      <c r="B299" s="76"/>
      <c r="C299" s="33"/>
      <c r="D299" s="88" t="s">
        <v>194</v>
      </c>
      <c r="E299" s="36" t="s">
        <v>148</v>
      </c>
      <c r="F299" s="36">
        <v>5</v>
      </c>
      <c r="G299" s="85" t="s">
        <v>198</v>
      </c>
      <c r="H299" s="36" t="s">
        <v>158</v>
      </c>
      <c r="I299" s="36">
        <v>2</v>
      </c>
      <c r="J299" s="85" t="s">
        <v>202</v>
      </c>
      <c r="K299" s="36" t="s">
        <v>203</v>
      </c>
      <c r="L299" s="36">
        <v>2</v>
      </c>
      <c r="M299" s="18"/>
      <c r="N299" s="13"/>
      <c r="O299" s="84"/>
      <c r="P299" s="2" t="s">
        <v>178</v>
      </c>
      <c r="Q299" s="2" t="s">
        <v>186</v>
      </c>
      <c r="R299" s="2" t="s">
        <v>190</v>
      </c>
      <c r="S299" s="14"/>
      <c r="T299" s="13"/>
      <c r="AX299" s="14"/>
    </row>
    <row r="300" spans="1:50" ht="23" customHeight="1" thickBot="1" x14ac:dyDescent="0.35">
      <c r="A300" s="63"/>
      <c r="B300" s="76"/>
      <c r="C300" s="25"/>
      <c r="D300" s="86"/>
      <c r="E300" s="36" t="s">
        <v>195</v>
      </c>
      <c r="F300" s="36">
        <v>2</v>
      </c>
      <c r="G300" s="86"/>
      <c r="H300" s="36" t="s">
        <v>159</v>
      </c>
      <c r="I300" s="36">
        <v>2</v>
      </c>
      <c r="J300" s="86"/>
      <c r="K300" s="36" t="s">
        <v>166</v>
      </c>
      <c r="L300" s="36">
        <v>2</v>
      </c>
      <c r="M300" s="18"/>
      <c r="O300" s="1">
        <v>1</v>
      </c>
      <c r="P300" s="1">
        <v>1</v>
      </c>
      <c r="Q300" s="1">
        <v>0</v>
      </c>
      <c r="R300" s="1">
        <v>2</v>
      </c>
      <c r="S300" s="14"/>
      <c r="Z300" s="23" t="s">
        <v>194</v>
      </c>
      <c r="AK300" s="23" t="s">
        <v>198</v>
      </c>
      <c r="AT300" s="23" t="s">
        <v>202</v>
      </c>
      <c r="AX300" s="14"/>
    </row>
    <row r="301" spans="1:50" ht="25" customHeight="1" thickTop="1" thickBot="1" x14ac:dyDescent="0.35">
      <c r="A301" s="63"/>
      <c r="B301" s="76"/>
      <c r="C301" s="25"/>
      <c r="D301" s="86"/>
      <c r="E301" s="36" t="s">
        <v>196</v>
      </c>
      <c r="F301" s="36">
        <v>2</v>
      </c>
      <c r="G301" s="86"/>
      <c r="H301" s="36" t="s">
        <v>160</v>
      </c>
      <c r="I301" s="36">
        <v>1</v>
      </c>
      <c r="J301" s="86"/>
      <c r="K301" s="36" t="s">
        <v>167</v>
      </c>
      <c r="L301" s="36">
        <v>2</v>
      </c>
      <c r="M301" s="18"/>
      <c r="O301" s="1">
        <v>2</v>
      </c>
      <c r="P301" s="1">
        <v>0</v>
      </c>
      <c r="Q301" s="1">
        <v>2</v>
      </c>
      <c r="R301" s="1">
        <v>1</v>
      </c>
      <c r="S301" s="14"/>
      <c r="U301" s="7" t="s">
        <v>146</v>
      </c>
      <c r="V301" s="7" t="s">
        <v>147</v>
      </c>
      <c r="W301" s="7" t="s">
        <v>148</v>
      </c>
      <c r="X301" s="7" t="s">
        <v>149</v>
      </c>
      <c r="Y301" s="7" t="s">
        <v>150</v>
      </c>
      <c r="Z301" s="8" t="s">
        <v>151</v>
      </c>
      <c r="AA301" s="7" t="s">
        <v>152</v>
      </c>
      <c r="AB301" s="7" t="s">
        <v>153</v>
      </c>
      <c r="AC301" s="7" t="s">
        <v>154</v>
      </c>
      <c r="AD301" s="7" t="s">
        <v>155</v>
      </c>
      <c r="AE301" s="8" t="s">
        <v>156</v>
      </c>
      <c r="AF301" s="7" t="s">
        <v>157</v>
      </c>
      <c r="AH301" s="7" t="s">
        <v>146</v>
      </c>
      <c r="AI301" s="7" t="s">
        <v>147</v>
      </c>
      <c r="AJ301" s="7" t="s">
        <v>158</v>
      </c>
      <c r="AK301" s="7" t="s">
        <v>159</v>
      </c>
      <c r="AL301" s="7" t="s">
        <v>160</v>
      </c>
      <c r="AM301" s="7" t="s">
        <v>161</v>
      </c>
      <c r="AN301" s="7" t="s">
        <v>162</v>
      </c>
      <c r="AO301" s="7" t="s">
        <v>163</v>
      </c>
      <c r="AP301" s="7" t="s">
        <v>164</v>
      </c>
      <c r="AR301" s="7" t="s">
        <v>146</v>
      </c>
      <c r="AS301" s="7" t="s">
        <v>147</v>
      </c>
      <c r="AT301" s="7" t="s">
        <v>165</v>
      </c>
      <c r="AU301" s="7" t="s">
        <v>166</v>
      </c>
      <c r="AV301" s="7" t="s">
        <v>167</v>
      </c>
      <c r="AW301" s="7" t="s">
        <v>168</v>
      </c>
      <c r="AX301" s="14"/>
    </row>
    <row r="302" spans="1:50" ht="24" customHeight="1" thickTop="1" thickBot="1" x14ac:dyDescent="0.35">
      <c r="A302" s="63"/>
      <c r="B302" s="76"/>
      <c r="C302" s="25"/>
      <c r="D302" s="86"/>
      <c r="E302" s="1" t="s">
        <v>151</v>
      </c>
      <c r="F302" s="36">
        <v>2</v>
      </c>
      <c r="G302" s="86"/>
      <c r="H302" s="36" t="s">
        <v>199</v>
      </c>
      <c r="I302" s="36">
        <v>2</v>
      </c>
      <c r="J302" s="87"/>
      <c r="K302" s="38" t="s">
        <v>168</v>
      </c>
      <c r="L302" s="38">
        <v>2</v>
      </c>
      <c r="M302" s="18"/>
      <c r="O302" s="1">
        <v>3</v>
      </c>
      <c r="P302" s="1">
        <v>0</v>
      </c>
      <c r="Q302" s="1">
        <v>1</v>
      </c>
      <c r="R302" s="1">
        <v>1</v>
      </c>
      <c r="S302" s="14"/>
      <c r="U302" s="9" t="s">
        <v>171</v>
      </c>
      <c r="V302" s="10" t="s">
        <v>172</v>
      </c>
      <c r="W302" s="9">
        <v>7.02</v>
      </c>
      <c r="X302" s="9">
        <v>0.73</v>
      </c>
      <c r="Y302" s="9">
        <v>1.18</v>
      </c>
      <c r="Z302" s="9">
        <v>0.69</v>
      </c>
      <c r="AA302" s="9">
        <v>2.7</v>
      </c>
      <c r="AB302" s="9">
        <v>0.87</v>
      </c>
      <c r="AC302" s="9">
        <v>0.93</v>
      </c>
      <c r="AD302" s="9">
        <v>1</v>
      </c>
      <c r="AE302" s="9">
        <v>1.1299999999999999</v>
      </c>
      <c r="AF302" s="9">
        <v>1.52</v>
      </c>
      <c r="AH302" s="9" t="s">
        <v>173</v>
      </c>
      <c r="AI302" s="10" t="s">
        <v>174</v>
      </c>
      <c r="AJ302" s="9">
        <v>6.56</v>
      </c>
      <c r="AK302" s="9">
        <v>6.88</v>
      </c>
      <c r="AL302" s="9">
        <v>3</v>
      </c>
      <c r="AM302" s="9">
        <v>6.46</v>
      </c>
      <c r="AN302" s="9">
        <v>1.88</v>
      </c>
      <c r="AO302" s="9">
        <v>7.66</v>
      </c>
      <c r="AP302" s="9">
        <v>5.46</v>
      </c>
      <c r="AR302" s="9" t="s">
        <v>175</v>
      </c>
      <c r="AS302" s="10" t="s">
        <v>176</v>
      </c>
      <c r="AT302" s="9">
        <v>2.96</v>
      </c>
      <c r="AU302" s="9">
        <v>1.21</v>
      </c>
      <c r="AV302" s="9">
        <v>2.65</v>
      </c>
      <c r="AW302" s="9">
        <v>2</v>
      </c>
      <c r="AX302" s="14"/>
    </row>
    <row r="303" spans="1:50" ht="24" customHeight="1" thickTop="1" thickBot="1" x14ac:dyDescent="0.35">
      <c r="A303" s="63"/>
      <c r="B303" s="76"/>
      <c r="C303" s="25"/>
      <c r="D303" s="86"/>
      <c r="E303" s="36" t="s">
        <v>152</v>
      </c>
      <c r="F303" s="36">
        <v>2</v>
      </c>
      <c r="G303" s="86"/>
      <c r="H303" s="36" t="s">
        <v>200</v>
      </c>
      <c r="I303" s="36">
        <v>1</v>
      </c>
      <c r="J303" s="39"/>
      <c r="K303" s="39"/>
      <c r="L303" s="39"/>
      <c r="M303" s="18"/>
      <c r="O303" s="1">
        <v>4</v>
      </c>
      <c r="P303" s="1">
        <v>0</v>
      </c>
      <c r="Q303" s="1">
        <v>2</v>
      </c>
      <c r="R303" s="1">
        <v>0</v>
      </c>
      <c r="S303" s="14"/>
      <c r="U303" s="9" t="s">
        <v>179</v>
      </c>
      <c r="V303" s="10" t="s">
        <v>180</v>
      </c>
      <c r="W303" s="9">
        <v>8.7799999999999994</v>
      </c>
      <c r="X303" s="9">
        <v>0.9</v>
      </c>
      <c r="Y303" s="9">
        <v>1.01</v>
      </c>
      <c r="Z303" s="9">
        <v>0.62</v>
      </c>
      <c r="AA303" s="9">
        <v>2.5</v>
      </c>
      <c r="AB303" s="9">
        <v>0.83</v>
      </c>
      <c r="AC303" s="9">
        <v>0.99</v>
      </c>
      <c r="AD303" s="9">
        <v>1.19</v>
      </c>
      <c r="AE303" s="9">
        <v>1.27</v>
      </c>
      <c r="AF303" s="9">
        <v>2.1800000000000002</v>
      </c>
      <c r="AH303" s="11" t="s">
        <v>181</v>
      </c>
      <c r="AI303" s="12" t="s">
        <v>182</v>
      </c>
      <c r="AJ303" s="11">
        <v>6.78</v>
      </c>
      <c r="AK303" s="11">
        <v>7.22</v>
      </c>
      <c r="AL303" s="11">
        <v>3</v>
      </c>
      <c r="AM303" s="11">
        <v>7.26</v>
      </c>
      <c r="AN303" s="11">
        <v>2.1800000000000002</v>
      </c>
      <c r="AO303" s="11">
        <v>8.26</v>
      </c>
      <c r="AP303" s="11">
        <v>5.68</v>
      </c>
      <c r="AR303" s="11" t="s">
        <v>183</v>
      </c>
      <c r="AS303" s="12" t="s">
        <v>184</v>
      </c>
      <c r="AT303" s="11">
        <v>3.45</v>
      </c>
      <c r="AU303" s="11">
        <v>1.02</v>
      </c>
      <c r="AV303" s="11">
        <v>2.25</v>
      </c>
      <c r="AW303" s="11">
        <v>2</v>
      </c>
      <c r="AX303" s="14"/>
    </row>
    <row r="304" spans="1:50" ht="23.5" customHeight="1" thickTop="1" thickBot="1" x14ac:dyDescent="0.35">
      <c r="A304" s="63"/>
      <c r="B304" s="76"/>
      <c r="C304" s="25"/>
      <c r="D304" s="86"/>
      <c r="E304" s="36" t="s">
        <v>153</v>
      </c>
      <c r="F304" s="36">
        <v>2</v>
      </c>
      <c r="G304" s="86"/>
      <c r="H304" s="36" t="s">
        <v>201</v>
      </c>
      <c r="I304" s="36">
        <v>1</v>
      </c>
      <c r="J304" s="25"/>
      <c r="K304" s="25"/>
      <c r="L304" s="25"/>
      <c r="M304" s="18"/>
      <c r="O304" s="1">
        <v>5</v>
      </c>
      <c r="P304" s="1">
        <v>1</v>
      </c>
      <c r="Q304" s="1">
        <v>1</v>
      </c>
      <c r="R304" s="1">
        <v>1</v>
      </c>
      <c r="S304" s="14"/>
      <c r="U304" s="11" t="s">
        <v>187</v>
      </c>
      <c r="V304" s="12" t="s">
        <v>188</v>
      </c>
      <c r="W304" s="11">
        <v>9.25</v>
      </c>
      <c r="X304" s="11">
        <v>0.65</v>
      </c>
      <c r="Y304" s="11">
        <v>1.25</v>
      </c>
      <c r="Z304" s="11">
        <v>0.75</v>
      </c>
      <c r="AA304" s="11">
        <v>2.98</v>
      </c>
      <c r="AB304" s="11">
        <v>0.89</v>
      </c>
      <c r="AC304" s="11">
        <v>1</v>
      </c>
      <c r="AD304" s="11">
        <v>1</v>
      </c>
      <c r="AE304" s="11">
        <v>1.4</v>
      </c>
      <c r="AF304" s="11">
        <v>1.79</v>
      </c>
      <c r="AX304" s="14"/>
    </row>
    <row r="305" spans="1:50" ht="23.5" customHeight="1" thickTop="1" thickBot="1" x14ac:dyDescent="0.35">
      <c r="A305" s="63"/>
      <c r="B305" s="76"/>
      <c r="C305" s="25"/>
      <c r="D305" s="86"/>
      <c r="E305" s="1" t="s">
        <v>156</v>
      </c>
      <c r="F305" s="36">
        <v>1</v>
      </c>
      <c r="G305" s="87"/>
      <c r="H305" s="38" t="s">
        <v>164</v>
      </c>
      <c r="I305" s="38">
        <v>1</v>
      </c>
      <c r="J305" s="36"/>
      <c r="K305" s="25"/>
      <c r="L305" s="25"/>
      <c r="M305" s="18"/>
      <c r="O305" s="1">
        <v>6</v>
      </c>
      <c r="P305" s="1">
        <v>2</v>
      </c>
      <c r="Q305" s="1">
        <v>1</v>
      </c>
      <c r="R305" s="1">
        <v>1</v>
      </c>
      <c r="S305" s="14"/>
      <c r="U305" s="9"/>
      <c r="V305" s="10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X305" s="14"/>
    </row>
    <row r="306" spans="1:50" ht="23.5" customHeight="1" thickTop="1" thickBot="1" x14ac:dyDescent="0.35">
      <c r="A306" s="63"/>
      <c r="B306" s="76"/>
      <c r="C306" s="25"/>
      <c r="D306" s="87"/>
      <c r="E306" s="38" t="s">
        <v>197</v>
      </c>
      <c r="F306" s="38">
        <v>1</v>
      </c>
      <c r="G306" s="39"/>
      <c r="H306" s="39"/>
      <c r="I306" s="39"/>
      <c r="J306" s="36"/>
      <c r="K306" s="36"/>
      <c r="L306" s="25"/>
      <c r="M306" s="18"/>
      <c r="O306" s="1">
        <v>7</v>
      </c>
      <c r="P306" s="1">
        <v>1</v>
      </c>
      <c r="Q306" s="1">
        <v>1</v>
      </c>
      <c r="R306" s="1">
        <v>1</v>
      </c>
      <c r="S306" s="14"/>
      <c r="U306" s="9"/>
      <c r="V306" s="10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X306" s="14"/>
    </row>
    <row r="307" spans="1:50" ht="23.5" customHeight="1" thickTop="1" thickBot="1" x14ac:dyDescent="0.35">
      <c r="A307" s="63"/>
      <c r="B307" s="76"/>
      <c r="C307" s="25"/>
      <c r="D307" s="39"/>
      <c r="E307" s="39"/>
      <c r="F307" s="39"/>
      <c r="G307" s="25"/>
      <c r="H307" s="25"/>
      <c r="I307" s="25"/>
      <c r="J307" s="25"/>
      <c r="K307" s="25"/>
      <c r="L307" s="25"/>
      <c r="M307" s="18"/>
      <c r="O307" s="4">
        <v>8</v>
      </c>
      <c r="P307" s="4">
        <v>2</v>
      </c>
      <c r="Q307" s="4">
        <v>0</v>
      </c>
      <c r="R307" s="4">
        <v>2</v>
      </c>
      <c r="S307" s="14"/>
      <c r="AX307" s="14"/>
    </row>
    <row r="308" spans="1:50" ht="23.5" customHeight="1" thickTop="1" thickBot="1" x14ac:dyDescent="0.35">
      <c r="A308" s="64"/>
      <c r="B308" s="81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19"/>
      <c r="N308" s="15"/>
      <c r="O308" s="15"/>
      <c r="P308" s="15"/>
      <c r="Q308" s="15"/>
      <c r="R308" s="15"/>
      <c r="S308" s="16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6"/>
    </row>
    <row r="309" spans="1:50" ht="15" customHeight="1" thickTop="1" thickBot="1" x14ac:dyDescent="0.35">
      <c r="A309" s="90">
        <v>4</v>
      </c>
      <c r="B309" s="89" t="s">
        <v>90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17"/>
      <c r="N309" s="24"/>
      <c r="O309" s="24"/>
      <c r="P309" s="24"/>
      <c r="Q309" s="24"/>
      <c r="R309" s="24"/>
      <c r="S309" s="1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17"/>
    </row>
    <row r="310" spans="1:50" ht="31" customHeight="1" thickTop="1" thickBot="1" x14ac:dyDescent="0.35">
      <c r="A310" s="63"/>
      <c r="B310" s="76"/>
      <c r="C310" s="24"/>
      <c r="D310" s="27" t="s">
        <v>191</v>
      </c>
      <c r="E310" s="27" t="s">
        <v>192</v>
      </c>
      <c r="F310" s="27" t="s">
        <v>193</v>
      </c>
      <c r="G310" s="27" t="s">
        <v>191</v>
      </c>
      <c r="H310" s="27" t="s">
        <v>192</v>
      </c>
      <c r="I310" s="27" t="s">
        <v>193</v>
      </c>
      <c r="J310" s="27" t="s">
        <v>191</v>
      </c>
      <c r="K310" s="27" t="s">
        <v>192</v>
      </c>
      <c r="L310" s="27" t="s">
        <v>193</v>
      </c>
      <c r="M310" s="17"/>
      <c r="N310" s="24"/>
      <c r="O310" s="82" t="s">
        <v>205</v>
      </c>
      <c r="P310" s="82" t="s">
        <v>206</v>
      </c>
      <c r="Q310" s="83"/>
      <c r="R310" s="83"/>
      <c r="S310" s="1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17"/>
    </row>
    <row r="311" spans="1:50" ht="23.5" customHeight="1" thickTop="1" thickBot="1" x14ac:dyDescent="0.35">
      <c r="A311" s="63"/>
      <c r="B311" s="76"/>
      <c r="C311" s="33"/>
      <c r="D311" s="88" t="s">
        <v>194</v>
      </c>
      <c r="E311" s="36" t="s">
        <v>148</v>
      </c>
      <c r="F311" s="36">
        <v>5</v>
      </c>
      <c r="G311" s="85" t="s">
        <v>198</v>
      </c>
      <c r="H311" s="36" t="s">
        <v>158</v>
      </c>
      <c r="I311" s="36">
        <v>2</v>
      </c>
      <c r="J311" s="85" t="s">
        <v>202</v>
      </c>
      <c r="K311" s="36" t="s">
        <v>203</v>
      </c>
      <c r="L311" s="36">
        <v>2</v>
      </c>
      <c r="M311" s="18"/>
      <c r="N311" s="13"/>
      <c r="O311" s="84"/>
      <c r="P311" s="2" t="s">
        <v>178</v>
      </c>
      <c r="Q311" s="2" t="s">
        <v>186</v>
      </c>
      <c r="R311" s="2" t="s">
        <v>190</v>
      </c>
      <c r="S311" s="14"/>
      <c r="T311" s="13"/>
      <c r="AX311" s="14"/>
    </row>
    <row r="312" spans="1:50" ht="23" customHeight="1" thickBot="1" x14ac:dyDescent="0.35">
      <c r="A312" s="63"/>
      <c r="B312" s="76"/>
      <c r="C312" s="25"/>
      <c r="D312" s="86"/>
      <c r="E312" s="36" t="s">
        <v>195</v>
      </c>
      <c r="F312" s="36">
        <v>2</v>
      </c>
      <c r="G312" s="86"/>
      <c r="H312" s="36" t="s">
        <v>159</v>
      </c>
      <c r="I312" s="36">
        <v>1</v>
      </c>
      <c r="J312" s="86"/>
      <c r="K312" s="36" t="s">
        <v>166</v>
      </c>
      <c r="L312" s="36">
        <v>2</v>
      </c>
      <c r="M312" s="18"/>
      <c r="O312" s="1">
        <v>1</v>
      </c>
      <c r="P312" s="1">
        <v>1</v>
      </c>
      <c r="Q312" s="1">
        <v>1</v>
      </c>
      <c r="R312" s="1">
        <v>2</v>
      </c>
      <c r="S312" s="14"/>
      <c r="Z312" s="23" t="s">
        <v>194</v>
      </c>
      <c r="AK312" s="23" t="s">
        <v>198</v>
      </c>
      <c r="AT312" s="23" t="s">
        <v>202</v>
      </c>
      <c r="AX312" s="14"/>
    </row>
    <row r="313" spans="1:50" ht="25" customHeight="1" thickTop="1" thickBot="1" x14ac:dyDescent="0.35">
      <c r="A313" s="63"/>
      <c r="B313" s="76"/>
      <c r="C313" s="25"/>
      <c r="D313" s="86"/>
      <c r="E313" s="36" t="s">
        <v>196</v>
      </c>
      <c r="F313" s="36">
        <v>2</v>
      </c>
      <c r="G313" s="86"/>
      <c r="H313" s="36" t="s">
        <v>160</v>
      </c>
      <c r="I313" s="36">
        <v>1</v>
      </c>
      <c r="J313" s="86"/>
      <c r="K313" s="36" t="s">
        <v>167</v>
      </c>
      <c r="L313" s="36">
        <v>1</v>
      </c>
      <c r="M313" s="18"/>
      <c r="O313" s="1">
        <v>2</v>
      </c>
      <c r="P313" s="1">
        <v>2</v>
      </c>
      <c r="Q313" s="1">
        <v>1</v>
      </c>
      <c r="R313" s="1">
        <v>1</v>
      </c>
      <c r="S313" s="14"/>
      <c r="U313" s="7" t="s">
        <v>146</v>
      </c>
      <c r="V313" s="7" t="s">
        <v>147</v>
      </c>
      <c r="W313" s="7" t="s">
        <v>148</v>
      </c>
      <c r="X313" s="7" t="s">
        <v>149</v>
      </c>
      <c r="Y313" s="7" t="s">
        <v>150</v>
      </c>
      <c r="Z313" s="8" t="s">
        <v>151</v>
      </c>
      <c r="AA313" s="7" t="s">
        <v>152</v>
      </c>
      <c r="AB313" s="7" t="s">
        <v>153</v>
      </c>
      <c r="AC313" s="7" t="s">
        <v>154</v>
      </c>
      <c r="AD313" s="7" t="s">
        <v>155</v>
      </c>
      <c r="AE313" s="8" t="s">
        <v>156</v>
      </c>
      <c r="AF313" s="7" t="s">
        <v>157</v>
      </c>
      <c r="AH313" s="7" t="s">
        <v>146</v>
      </c>
      <c r="AI313" s="7" t="s">
        <v>147</v>
      </c>
      <c r="AJ313" s="7" t="s">
        <v>158</v>
      </c>
      <c r="AK313" s="7" t="s">
        <v>159</v>
      </c>
      <c r="AL313" s="7" t="s">
        <v>160</v>
      </c>
      <c r="AM313" s="7" t="s">
        <v>161</v>
      </c>
      <c r="AN313" s="7" t="s">
        <v>162</v>
      </c>
      <c r="AO313" s="7" t="s">
        <v>163</v>
      </c>
      <c r="AP313" s="7" t="s">
        <v>164</v>
      </c>
      <c r="AR313" s="7" t="s">
        <v>146</v>
      </c>
      <c r="AS313" s="7" t="s">
        <v>147</v>
      </c>
      <c r="AT313" s="7" t="s">
        <v>165</v>
      </c>
      <c r="AU313" s="7" t="s">
        <v>166</v>
      </c>
      <c r="AV313" s="7" t="s">
        <v>167</v>
      </c>
      <c r="AW313" s="7" t="s">
        <v>168</v>
      </c>
      <c r="AX313" s="14"/>
    </row>
    <row r="314" spans="1:50" ht="24" customHeight="1" thickTop="1" thickBot="1" x14ac:dyDescent="0.35">
      <c r="A314" s="63"/>
      <c r="B314" s="76"/>
      <c r="C314" s="25"/>
      <c r="D314" s="86"/>
      <c r="E314" s="1" t="s">
        <v>151</v>
      </c>
      <c r="F314" s="36">
        <v>1</v>
      </c>
      <c r="G314" s="86"/>
      <c r="H314" s="36" t="s">
        <v>199</v>
      </c>
      <c r="I314" s="36">
        <v>2</v>
      </c>
      <c r="J314" s="87"/>
      <c r="K314" s="38" t="s">
        <v>168</v>
      </c>
      <c r="L314" s="38">
        <v>1</v>
      </c>
      <c r="M314" s="18"/>
      <c r="O314" s="1">
        <v>3</v>
      </c>
      <c r="P314" s="1">
        <v>0</v>
      </c>
      <c r="Q314" s="1">
        <v>1</v>
      </c>
      <c r="R314" s="1">
        <v>0</v>
      </c>
      <c r="S314" s="14"/>
      <c r="U314" s="9" t="s">
        <v>171</v>
      </c>
      <c r="V314" s="10" t="s">
        <v>172</v>
      </c>
      <c r="W314" s="9">
        <v>7.79</v>
      </c>
      <c r="X314" s="9">
        <v>0.71</v>
      </c>
      <c r="Y314" s="9">
        <v>1.1399999999999999</v>
      </c>
      <c r="Z314" s="9">
        <v>0.57999999999999996</v>
      </c>
      <c r="AA314" s="9">
        <v>2.5</v>
      </c>
      <c r="AB314" s="9">
        <v>0.85</v>
      </c>
      <c r="AC314" s="9">
        <v>0.97</v>
      </c>
      <c r="AD314" s="9">
        <v>1.2</v>
      </c>
      <c r="AE314" s="9">
        <v>1.05</v>
      </c>
      <c r="AF314" s="9">
        <v>2.0299999999999998</v>
      </c>
      <c r="AH314" s="9" t="s">
        <v>173</v>
      </c>
      <c r="AI314" s="10" t="s">
        <v>174</v>
      </c>
      <c r="AJ314" s="9">
        <v>6.22</v>
      </c>
      <c r="AK314" s="9">
        <v>6.67</v>
      </c>
      <c r="AL314" s="9">
        <v>3</v>
      </c>
      <c r="AM314" s="9">
        <v>6.94</v>
      </c>
      <c r="AN314" s="9">
        <v>1.67</v>
      </c>
      <c r="AO314" s="9">
        <v>7.36</v>
      </c>
      <c r="AP314" s="9">
        <v>5.22</v>
      </c>
      <c r="AR314" s="9" t="s">
        <v>175</v>
      </c>
      <c r="AS314" s="10" t="s">
        <v>176</v>
      </c>
      <c r="AT314" s="9">
        <v>2.65</v>
      </c>
      <c r="AU314" s="9">
        <v>1.1599999999999999</v>
      </c>
      <c r="AV314" s="9">
        <v>2.15</v>
      </c>
      <c r="AW314" s="9">
        <v>2</v>
      </c>
      <c r="AX314" s="14"/>
    </row>
    <row r="315" spans="1:50" ht="24" customHeight="1" thickTop="1" thickBot="1" x14ac:dyDescent="0.35">
      <c r="A315" s="63"/>
      <c r="B315" s="76"/>
      <c r="C315" s="25"/>
      <c r="D315" s="86"/>
      <c r="E315" s="36" t="s">
        <v>152</v>
      </c>
      <c r="F315" s="36">
        <v>1</v>
      </c>
      <c r="G315" s="86"/>
      <c r="H315" s="36" t="s">
        <v>200</v>
      </c>
      <c r="I315" s="36">
        <v>1</v>
      </c>
      <c r="J315" s="39"/>
      <c r="K315" s="39"/>
      <c r="L315" s="39"/>
      <c r="M315" s="18"/>
      <c r="O315" s="1">
        <v>4</v>
      </c>
      <c r="P315" s="1">
        <v>1</v>
      </c>
      <c r="Q315" s="1">
        <v>1</v>
      </c>
      <c r="R315" s="1">
        <v>1</v>
      </c>
      <c r="S315" s="14"/>
      <c r="U315" s="9" t="s">
        <v>179</v>
      </c>
      <c r="V315" s="10" t="s">
        <v>180</v>
      </c>
      <c r="W315" s="9">
        <v>8.23</v>
      </c>
      <c r="X315" s="9">
        <v>0.84</v>
      </c>
      <c r="Y315" s="9">
        <v>1.07</v>
      </c>
      <c r="Z315" s="9">
        <v>0.65</v>
      </c>
      <c r="AA315" s="9">
        <v>2.76</v>
      </c>
      <c r="AB315" s="9">
        <v>0.81</v>
      </c>
      <c r="AC315" s="9">
        <v>0.92</v>
      </c>
      <c r="AD315" s="9">
        <v>1.03</v>
      </c>
      <c r="AE315" s="9">
        <v>1.1599999999999999</v>
      </c>
      <c r="AF315" s="9">
        <v>1.61</v>
      </c>
      <c r="AH315" s="11" t="s">
        <v>181</v>
      </c>
      <c r="AI315" s="12" t="s">
        <v>182</v>
      </c>
      <c r="AJ315" s="11">
        <v>6.88</v>
      </c>
      <c r="AK315" s="11">
        <v>7.38</v>
      </c>
      <c r="AL315" s="11">
        <v>3</v>
      </c>
      <c r="AM315" s="11">
        <v>7.77</v>
      </c>
      <c r="AN315" s="11">
        <v>2.37</v>
      </c>
      <c r="AO315" s="11">
        <v>8.77</v>
      </c>
      <c r="AP315" s="11">
        <v>5.78</v>
      </c>
      <c r="AR315" s="11" t="s">
        <v>183</v>
      </c>
      <c r="AS315" s="12" t="s">
        <v>184</v>
      </c>
      <c r="AT315" s="11">
        <v>3.17</v>
      </c>
      <c r="AU315" s="11">
        <v>1.07</v>
      </c>
      <c r="AV315" s="11">
        <v>2.75</v>
      </c>
      <c r="AW315" s="11">
        <v>2</v>
      </c>
      <c r="AX315" s="14"/>
    </row>
    <row r="316" spans="1:50" ht="23.5" customHeight="1" thickTop="1" thickBot="1" x14ac:dyDescent="0.35">
      <c r="A316" s="63"/>
      <c r="B316" s="76"/>
      <c r="C316" s="25"/>
      <c r="D316" s="86"/>
      <c r="E316" s="36" t="s">
        <v>153</v>
      </c>
      <c r="F316" s="36">
        <v>1</v>
      </c>
      <c r="G316" s="86"/>
      <c r="H316" s="36" t="s">
        <v>201</v>
      </c>
      <c r="I316" s="36">
        <v>1</v>
      </c>
      <c r="J316" s="25"/>
      <c r="K316" s="25"/>
      <c r="L316" s="25"/>
      <c r="M316" s="18"/>
      <c r="O316" s="1">
        <v>5</v>
      </c>
      <c r="P316" s="1">
        <v>1</v>
      </c>
      <c r="Q316" s="1">
        <v>1</v>
      </c>
      <c r="R316" s="1">
        <v>0</v>
      </c>
      <c r="S316" s="14"/>
      <c r="U316" s="11" t="s">
        <v>187</v>
      </c>
      <c r="V316" s="12" t="s">
        <v>188</v>
      </c>
      <c r="W316" s="11">
        <v>9.0399999999999991</v>
      </c>
      <c r="X316" s="11">
        <v>0.67</v>
      </c>
      <c r="Y316" s="11">
        <v>1.2</v>
      </c>
      <c r="Z316" s="11">
        <v>0.71</v>
      </c>
      <c r="AA316" s="11">
        <v>2.5</v>
      </c>
      <c r="AB316" s="11">
        <v>0.88</v>
      </c>
      <c r="AC316" s="11">
        <v>0.95</v>
      </c>
      <c r="AD316" s="11">
        <v>1.1499999999999999</v>
      </c>
      <c r="AE316" s="11">
        <v>1.32</v>
      </c>
      <c r="AF316" s="11">
        <v>2.4700000000000002</v>
      </c>
      <c r="AX316" s="14"/>
    </row>
    <row r="317" spans="1:50" ht="23.5" customHeight="1" thickTop="1" thickBot="1" x14ac:dyDescent="0.35">
      <c r="A317" s="63"/>
      <c r="B317" s="76"/>
      <c r="C317" s="25"/>
      <c r="D317" s="86"/>
      <c r="E317" s="1" t="s">
        <v>156</v>
      </c>
      <c r="F317" s="36">
        <v>1</v>
      </c>
      <c r="G317" s="87"/>
      <c r="H317" s="38" t="s">
        <v>164</v>
      </c>
      <c r="I317" s="38">
        <v>1</v>
      </c>
      <c r="J317" s="36"/>
      <c r="K317" s="25"/>
      <c r="L317" s="25"/>
      <c r="M317" s="18"/>
      <c r="O317" s="4">
        <v>6</v>
      </c>
      <c r="P317" s="4">
        <v>0</v>
      </c>
      <c r="Q317" s="4">
        <v>1</v>
      </c>
      <c r="R317" s="4">
        <v>0</v>
      </c>
      <c r="S317" s="14"/>
      <c r="U317" s="9"/>
      <c r="V317" s="10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X317" s="14"/>
    </row>
    <row r="318" spans="1:50" ht="23.5" customHeight="1" thickTop="1" thickBot="1" x14ac:dyDescent="0.35">
      <c r="A318" s="63"/>
      <c r="B318" s="76"/>
      <c r="C318" s="25"/>
      <c r="D318" s="87"/>
      <c r="E318" s="38" t="s">
        <v>197</v>
      </c>
      <c r="F318" s="38">
        <v>1</v>
      </c>
      <c r="G318" s="39"/>
      <c r="H318" s="39"/>
      <c r="I318" s="39"/>
      <c r="J318" s="36"/>
      <c r="K318" s="36"/>
      <c r="L318" s="25"/>
      <c r="M318" s="18"/>
      <c r="O318" s="1"/>
      <c r="P318" s="1"/>
      <c r="Q318" s="1"/>
      <c r="R318" s="1"/>
      <c r="S318" s="14"/>
      <c r="U318" s="9"/>
      <c r="V318" s="10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X318" s="14"/>
    </row>
    <row r="319" spans="1:50" ht="23" customHeight="1" thickTop="1" x14ac:dyDescent="0.3">
      <c r="A319" s="63"/>
      <c r="B319" s="76"/>
      <c r="C319" s="25"/>
      <c r="D319" s="39"/>
      <c r="E319" s="39"/>
      <c r="F319" s="39"/>
      <c r="G319" s="25"/>
      <c r="H319" s="25"/>
      <c r="I319" s="25"/>
      <c r="J319" s="25"/>
      <c r="K319" s="25"/>
      <c r="L319" s="25"/>
      <c r="M319" s="18"/>
      <c r="S319" s="14"/>
      <c r="AX319" s="14"/>
    </row>
    <row r="320" spans="1:50" ht="23" customHeight="1" thickBot="1" x14ac:dyDescent="0.35">
      <c r="A320" s="63"/>
      <c r="B320" s="81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19"/>
      <c r="N320" s="15"/>
      <c r="O320" s="15"/>
      <c r="P320" s="15"/>
      <c r="Q320" s="15"/>
      <c r="R320" s="15"/>
      <c r="S320" s="16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6"/>
    </row>
    <row r="321" spans="1:50" ht="15" customHeight="1" thickTop="1" thickBot="1" x14ac:dyDescent="0.35">
      <c r="A321" s="63"/>
      <c r="B321" s="89" t="s">
        <v>91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17"/>
      <c r="N321" s="24"/>
      <c r="O321" s="24"/>
      <c r="P321" s="24"/>
      <c r="Q321" s="24"/>
      <c r="R321" s="24"/>
      <c r="S321" s="1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17"/>
    </row>
    <row r="322" spans="1:50" ht="31" customHeight="1" thickTop="1" thickBot="1" x14ac:dyDescent="0.35">
      <c r="A322" s="63"/>
      <c r="B322" s="76"/>
      <c r="C322" s="24"/>
      <c r="D322" s="27" t="s">
        <v>191</v>
      </c>
      <c r="E322" s="27" t="s">
        <v>192</v>
      </c>
      <c r="F322" s="27" t="s">
        <v>193</v>
      </c>
      <c r="G322" s="27" t="s">
        <v>191</v>
      </c>
      <c r="H322" s="27" t="s">
        <v>192</v>
      </c>
      <c r="I322" s="27" t="s">
        <v>193</v>
      </c>
      <c r="J322" s="27" t="s">
        <v>191</v>
      </c>
      <c r="K322" s="27" t="s">
        <v>192</v>
      </c>
      <c r="L322" s="27" t="s">
        <v>193</v>
      </c>
      <c r="M322" s="17"/>
      <c r="N322" s="24"/>
      <c r="O322" s="82" t="s">
        <v>205</v>
      </c>
      <c r="P322" s="82" t="s">
        <v>206</v>
      </c>
      <c r="Q322" s="83"/>
      <c r="R322" s="83"/>
      <c r="S322" s="1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17"/>
    </row>
    <row r="323" spans="1:50" ht="23.5" customHeight="1" thickTop="1" thickBot="1" x14ac:dyDescent="0.35">
      <c r="A323" s="63"/>
      <c r="B323" s="76"/>
      <c r="C323" s="33"/>
      <c r="D323" s="88" t="s">
        <v>194</v>
      </c>
      <c r="E323" s="36" t="s">
        <v>148</v>
      </c>
      <c r="F323" s="36">
        <v>5</v>
      </c>
      <c r="G323" s="85" t="s">
        <v>198</v>
      </c>
      <c r="H323" s="36" t="s">
        <v>158</v>
      </c>
      <c r="I323" s="36">
        <v>2</v>
      </c>
      <c r="J323" s="85" t="s">
        <v>202</v>
      </c>
      <c r="K323" s="36" t="s">
        <v>203</v>
      </c>
      <c r="L323" s="36">
        <v>2</v>
      </c>
      <c r="M323" s="18"/>
      <c r="N323" s="13"/>
      <c r="O323" s="84"/>
      <c r="P323" s="2" t="s">
        <v>178</v>
      </c>
      <c r="Q323" s="2" t="s">
        <v>186</v>
      </c>
      <c r="R323" s="2" t="s">
        <v>190</v>
      </c>
      <c r="S323" s="14"/>
      <c r="T323" s="13"/>
      <c r="AX323" s="14"/>
    </row>
    <row r="324" spans="1:50" ht="23" customHeight="1" thickBot="1" x14ac:dyDescent="0.35">
      <c r="A324" s="63"/>
      <c r="B324" s="76"/>
      <c r="C324" s="25"/>
      <c r="D324" s="86"/>
      <c r="E324" s="36" t="s">
        <v>195</v>
      </c>
      <c r="F324" s="36">
        <v>2</v>
      </c>
      <c r="G324" s="86"/>
      <c r="H324" s="36" t="s">
        <v>159</v>
      </c>
      <c r="I324" s="36">
        <v>1</v>
      </c>
      <c r="J324" s="86"/>
      <c r="K324" s="36" t="s">
        <v>166</v>
      </c>
      <c r="L324" s="36">
        <v>2</v>
      </c>
      <c r="M324" s="18"/>
      <c r="O324" s="1">
        <v>1</v>
      </c>
      <c r="P324" s="1">
        <v>1</v>
      </c>
      <c r="Q324" s="1">
        <v>0</v>
      </c>
      <c r="R324" s="1">
        <v>0</v>
      </c>
      <c r="S324" s="14"/>
      <c r="Z324" s="23" t="s">
        <v>194</v>
      </c>
      <c r="AK324" s="23" t="s">
        <v>198</v>
      </c>
      <c r="AT324" s="23" t="s">
        <v>202</v>
      </c>
      <c r="AX324" s="14"/>
    </row>
    <row r="325" spans="1:50" ht="25" customHeight="1" thickTop="1" thickBot="1" x14ac:dyDescent="0.35">
      <c r="A325" s="63"/>
      <c r="B325" s="76"/>
      <c r="C325" s="25"/>
      <c r="D325" s="86"/>
      <c r="E325" s="36" t="s">
        <v>196</v>
      </c>
      <c r="F325" s="36">
        <v>2</v>
      </c>
      <c r="G325" s="86"/>
      <c r="H325" s="36" t="s">
        <v>159</v>
      </c>
      <c r="I325" s="36">
        <v>1</v>
      </c>
      <c r="J325" s="86"/>
      <c r="K325" s="36" t="s">
        <v>167</v>
      </c>
      <c r="L325" s="36">
        <v>1</v>
      </c>
      <c r="M325" s="18"/>
      <c r="O325" s="1">
        <v>2</v>
      </c>
      <c r="P325" s="1">
        <v>2</v>
      </c>
      <c r="Q325" s="1">
        <v>1</v>
      </c>
      <c r="R325" s="1">
        <v>1</v>
      </c>
      <c r="S325" s="14"/>
      <c r="U325" s="7" t="s">
        <v>146</v>
      </c>
      <c r="V325" s="7" t="s">
        <v>147</v>
      </c>
      <c r="W325" s="7" t="s">
        <v>148</v>
      </c>
      <c r="X325" s="7" t="s">
        <v>149</v>
      </c>
      <c r="Y325" s="7" t="s">
        <v>150</v>
      </c>
      <c r="Z325" s="8" t="s">
        <v>151</v>
      </c>
      <c r="AA325" s="7" t="s">
        <v>152</v>
      </c>
      <c r="AB325" s="7" t="s">
        <v>153</v>
      </c>
      <c r="AC325" s="7" t="s">
        <v>154</v>
      </c>
      <c r="AD325" s="7" t="s">
        <v>155</v>
      </c>
      <c r="AE325" s="8" t="s">
        <v>156</v>
      </c>
      <c r="AF325" s="7" t="s">
        <v>157</v>
      </c>
      <c r="AH325" s="7" t="s">
        <v>146</v>
      </c>
      <c r="AI325" s="7" t="s">
        <v>147</v>
      </c>
      <c r="AJ325" s="7" t="s">
        <v>158</v>
      </c>
      <c r="AK325" s="7" t="s">
        <v>159</v>
      </c>
      <c r="AL325" s="7" t="s">
        <v>160</v>
      </c>
      <c r="AM325" s="7" t="s">
        <v>161</v>
      </c>
      <c r="AN325" s="7" t="s">
        <v>162</v>
      </c>
      <c r="AO325" s="7" t="s">
        <v>163</v>
      </c>
      <c r="AP325" s="7" t="s">
        <v>164</v>
      </c>
      <c r="AR325" s="7" t="s">
        <v>146</v>
      </c>
      <c r="AS325" s="7" t="s">
        <v>147</v>
      </c>
      <c r="AT325" s="7" t="s">
        <v>165</v>
      </c>
      <c r="AU325" s="7" t="s">
        <v>166</v>
      </c>
      <c r="AV325" s="7" t="s">
        <v>167</v>
      </c>
      <c r="AW325" s="7" t="s">
        <v>168</v>
      </c>
      <c r="AX325" s="14"/>
    </row>
    <row r="326" spans="1:50" ht="24" customHeight="1" thickTop="1" thickBot="1" x14ac:dyDescent="0.35">
      <c r="A326" s="63"/>
      <c r="B326" s="76"/>
      <c r="C326" s="25"/>
      <c r="D326" s="86"/>
      <c r="E326" s="1" t="s">
        <v>151</v>
      </c>
      <c r="F326" s="36">
        <v>1</v>
      </c>
      <c r="G326" s="86"/>
      <c r="H326" s="36" t="s">
        <v>199</v>
      </c>
      <c r="I326" s="36">
        <v>2</v>
      </c>
      <c r="J326" s="87"/>
      <c r="K326" s="38" t="s">
        <v>168</v>
      </c>
      <c r="L326" s="38">
        <v>1</v>
      </c>
      <c r="M326" s="18"/>
      <c r="O326" s="1">
        <v>3</v>
      </c>
      <c r="P326" s="1">
        <v>0</v>
      </c>
      <c r="Q326" s="1">
        <v>1</v>
      </c>
      <c r="R326" s="1">
        <v>1</v>
      </c>
      <c r="S326" s="14"/>
      <c r="U326" s="9" t="s">
        <v>171</v>
      </c>
      <c r="V326" s="10" t="s">
        <v>172</v>
      </c>
      <c r="W326" s="9">
        <v>7.53</v>
      </c>
      <c r="X326" s="9">
        <v>0.81</v>
      </c>
      <c r="Y326" s="9">
        <v>1.1599999999999999</v>
      </c>
      <c r="Z326" s="9">
        <v>0.63</v>
      </c>
      <c r="AA326" s="9">
        <v>2.83</v>
      </c>
      <c r="AB326" s="9">
        <v>0.84</v>
      </c>
      <c r="AC326" s="9">
        <v>0.96</v>
      </c>
      <c r="AD326" s="9">
        <v>1.1200000000000001</v>
      </c>
      <c r="AE326" s="9">
        <v>1.3</v>
      </c>
      <c r="AF326" s="9">
        <v>1.84</v>
      </c>
      <c r="AH326" s="9" t="s">
        <v>173</v>
      </c>
      <c r="AI326" s="10" t="s">
        <v>174</v>
      </c>
      <c r="AJ326" s="9">
        <v>6.45</v>
      </c>
      <c r="AK326" s="9">
        <v>6.79</v>
      </c>
      <c r="AL326" s="9">
        <v>3</v>
      </c>
      <c r="AM326" s="9">
        <v>6.36</v>
      </c>
      <c r="AN326" s="9">
        <v>1.92</v>
      </c>
      <c r="AO326" s="9">
        <v>7.58</v>
      </c>
      <c r="AP326" s="9">
        <v>5.35</v>
      </c>
      <c r="AR326" s="9" t="s">
        <v>175</v>
      </c>
      <c r="AS326" s="10" t="s">
        <v>176</v>
      </c>
      <c r="AT326" s="9">
        <v>3.32</v>
      </c>
      <c r="AU326" s="9">
        <v>1.1000000000000001</v>
      </c>
      <c r="AV326" s="9">
        <v>2.95</v>
      </c>
      <c r="AW326" s="9">
        <v>2</v>
      </c>
      <c r="AX326" s="14"/>
    </row>
    <row r="327" spans="1:50" ht="24" customHeight="1" thickTop="1" thickBot="1" x14ac:dyDescent="0.35">
      <c r="A327" s="63"/>
      <c r="B327" s="76"/>
      <c r="C327" s="25"/>
      <c r="D327" s="86"/>
      <c r="E327" s="36" t="s">
        <v>152</v>
      </c>
      <c r="F327" s="36">
        <v>1</v>
      </c>
      <c r="G327" s="86"/>
      <c r="H327" s="36" t="s">
        <v>200</v>
      </c>
      <c r="I327" s="36">
        <v>1</v>
      </c>
      <c r="J327" s="39"/>
      <c r="K327" s="39"/>
      <c r="L327" s="39"/>
      <c r="M327" s="18"/>
      <c r="O327" s="1">
        <v>4</v>
      </c>
      <c r="P327" s="1">
        <v>2</v>
      </c>
      <c r="Q327" s="1">
        <v>0</v>
      </c>
      <c r="R327" s="1">
        <v>0</v>
      </c>
      <c r="S327" s="14"/>
      <c r="U327" s="9" t="s">
        <v>179</v>
      </c>
      <c r="V327" s="10" t="s">
        <v>180</v>
      </c>
      <c r="W327" s="9">
        <v>8.61</v>
      </c>
      <c r="X327" s="9">
        <v>0.75</v>
      </c>
      <c r="Y327" s="9">
        <v>1.03</v>
      </c>
      <c r="Z327" s="9">
        <v>0.59</v>
      </c>
      <c r="AA327" s="9">
        <v>2.5</v>
      </c>
      <c r="AB327" s="9">
        <v>0.8</v>
      </c>
      <c r="AC327" s="9">
        <v>0.98</v>
      </c>
      <c r="AD327" s="9">
        <v>1.07</v>
      </c>
      <c r="AE327" s="9">
        <v>1.02</v>
      </c>
      <c r="AF327" s="9">
        <v>2.3199999999999998</v>
      </c>
      <c r="AH327" s="11" t="s">
        <v>181</v>
      </c>
      <c r="AI327" s="12" t="s">
        <v>182</v>
      </c>
      <c r="AJ327" s="11">
        <v>6.76</v>
      </c>
      <c r="AK327" s="11">
        <v>7.14</v>
      </c>
      <c r="AL327" s="11">
        <v>3</v>
      </c>
      <c r="AM327" s="11">
        <v>7.46</v>
      </c>
      <c r="AN327" s="11">
        <v>2.2400000000000002</v>
      </c>
      <c r="AO327" s="11">
        <v>8.48</v>
      </c>
      <c r="AP327" s="11">
        <v>5.66</v>
      </c>
      <c r="AR327" s="11" t="s">
        <v>183</v>
      </c>
      <c r="AS327" s="12" t="s">
        <v>184</v>
      </c>
      <c r="AT327" s="11">
        <v>2.59</v>
      </c>
      <c r="AU327" s="11">
        <v>1.22</v>
      </c>
      <c r="AV327" s="11">
        <v>2.35</v>
      </c>
      <c r="AW327" s="11">
        <v>2</v>
      </c>
      <c r="AX327" s="14"/>
    </row>
    <row r="328" spans="1:50" ht="23.5" customHeight="1" thickTop="1" thickBot="1" x14ac:dyDescent="0.35">
      <c r="A328" s="63"/>
      <c r="B328" s="76"/>
      <c r="C328" s="25"/>
      <c r="D328" s="86"/>
      <c r="E328" s="36" t="s">
        <v>153</v>
      </c>
      <c r="F328" s="36">
        <v>1</v>
      </c>
      <c r="G328" s="86"/>
      <c r="H328" s="36" t="s">
        <v>201</v>
      </c>
      <c r="I328" s="36">
        <v>1</v>
      </c>
      <c r="J328" s="25"/>
      <c r="K328" s="25"/>
      <c r="L328" s="25"/>
      <c r="M328" s="18"/>
      <c r="O328" s="1">
        <v>5</v>
      </c>
      <c r="P328" s="1">
        <v>0</v>
      </c>
      <c r="Q328" s="1">
        <v>1</v>
      </c>
      <c r="R328" s="1">
        <v>1</v>
      </c>
      <c r="S328" s="14"/>
      <c r="U328" s="11" t="s">
        <v>187</v>
      </c>
      <c r="V328" s="12" t="s">
        <v>188</v>
      </c>
      <c r="W328" s="11">
        <v>9.19</v>
      </c>
      <c r="X328" s="11">
        <v>0.72</v>
      </c>
      <c r="Y328" s="11">
        <v>1.25</v>
      </c>
      <c r="Z328" s="11">
        <v>0.75</v>
      </c>
      <c r="AA328" s="11">
        <v>2.69</v>
      </c>
      <c r="AB328" s="11">
        <v>0.82</v>
      </c>
      <c r="AC328" s="11">
        <v>0.91</v>
      </c>
      <c r="AD328" s="11">
        <v>1.2</v>
      </c>
      <c r="AE328" s="11">
        <v>1.38</v>
      </c>
      <c r="AF328" s="11">
        <v>1.5</v>
      </c>
      <c r="AX328" s="14"/>
    </row>
    <row r="329" spans="1:50" ht="23.5" customHeight="1" thickTop="1" thickBot="1" x14ac:dyDescent="0.35">
      <c r="A329" s="63"/>
      <c r="B329" s="76"/>
      <c r="C329" s="25"/>
      <c r="D329" s="86"/>
      <c r="E329" s="1" t="s">
        <v>156</v>
      </c>
      <c r="F329" s="36">
        <v>1</v>
      </c>
      <c r="G329" s="87"/>
      <c r="H329" s="38" t="s">
        <v>164</v>
      </c>
      <c r="I329" s="38">
        <v>1</v>
      </c>
      <c r="J329" s="36"/>
      <c r="K329" s="25"/>
      <c r="L329" s="25"/>
      <c r="M329" s="18"/>
      <c r="O329" s="4">
        <v>6</v>
      </c>
      <c r="P329" s="4">
        <v>2</v>
      </c>
      <c r="Q329" s="4">
        <v>2</v>
      </c>
      <c r="R329" s="4">
        <v>2</v>
      </c>
      <c r="S329" s="14"/>
      <c r="U329" s="9"/>
      <c r="V329" s="10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X329" s="14"/>
    </row>
    <row r="330" spans="1:50" ht="23.5" customHeight="1" thickTop="1" thickBot="1" x14ac:dyDescent="0.35">
      <c r="A330" s="63"/>
      <c r="B330" s="76"/>
      <c r="C330" s="25"/>
      <c r="D330" s="87"/>
      <c r="E330" s="38" t="s">
        <v>197</v>
      </c>
      <c r="F330" s="38">
        <v>1</v>
      </c>
      <c r="G330" s="39"/>
      <c r="H330" s="39"/>
      <c r="I330" s="39"/>
      <c r="J330" s="36"/>
      <c r="K330" s="36"/>
      <c r="L330" s="25"/>
      <c r="M330" s="18"/>
      <c r="O330" s="1"/>
      <c r="P330" s="1"/>
      <c r="Q330" s="1"/>
      <c r="R330" s="1"/>
      <c r="S330" s="14"/>
      <c r="U330" s="9"/>
      <c r="V330" s="10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X330" s="14"/>
    </row>
    <row r="331" spans="1:50" ht="23" customHeight="1" thickTop="1" x14ac:dyDescent="0.3">
      <c r="A331" s="63"/>
      <c r="B331" s="76"/>
      <c r="C331" s="25"/>
      <c r="D331" s="39"/>
      <c r="E331" s="39"/>
      <c r="F331" s="39"/>
      <c r="G331" s="25"/>
      <c r="H331" s="25"/>
      <c r="I331" s="25"/>
      <c r="J331" s="25"/>
      <c r="K331" s="25"/>
      <c r="L331" s="25"/>
      <c r="M331" s="18"/>
      <c r="O331" s="1"/>
      <c r="P331" s="1"/>
      <c r="Q331" s="1"/>
      <c r="R331" s="1"/>
      <c r="S331" s="14"/>
      <c r="AX331" s="14"/>
    </row>
    <row r="332" spans="1:50" ht="23" customHeight="1" thickBot="1" x14ac:dyDescent="0.35">
      <c r="A332" s="63"/>
      <c r="B332" s="81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19"/>
      <c r="N332" s="15"/>
      <c r="O332" s="15"/>
      <c r="P332" s="15"/>
      <c r="Q332" s="15"/>
      <c r="R332" s="15"/>
      <c r="S332" s="16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6"/>
    </row>
    <row r="333" spans="1:50" ht="15" customHeight="1" thickTop="1" thickBot="1" x14ac:dyDescent="0.35">
      <c r="A333" s="63"/>
      <c r="B333" s="89" t="s">
        <v>92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17"/>
      <c r="N333" s="24"/>
      <c r="O333" s="24"/>
      <c r="P333" s="24"/>
      <c r="Q333" s="24"/>
      <c r="R333" s="24"/>
      <c r="S333" s="1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17"/>
    </row>
    <row r="334" spans="1:50" ht="31" customHeight="1" thickTop="1" thickBot="1" x14ac:dyDescent="0.35">
      <c r="A334" s="63"/>
      <c r="B334" s="76"/>
      <c r="C334" s="24"/>
      <c r="D334" s="27" t="s">
        <v>191</v>
      </c>
      <c r="E334" s="27" t="s">
        <v>192</v>
      </c>
      <c r="F334" s="27" t="s">
        <v>193</v>
      </c>
      <c r="G334" s="27" t="s">
        <v>191</v>
      </c>
      <c r="H334" s="27" t="s">
        <v>192</v>
      </c>
      <c r="I334" s="27" t="s">
        <v>193</v>
      </c>
      <c r="J334" s="27" t="s">
        <v>191</v>
      </c>
      <c r="K334" s="27" t="s">
        <v>192</v>
      </c>
      <c r="L334" s="27" t="s">
        <v>193</v>
      </c>
      <c r="M334" s="17"/>
      <c r="N334" s="24"/>
      <c r="O334" s="82" t="s">
        <v>205</v>
      </c>
      <c r="P334" s="82" t="s">
        <v>206</v>
      </c>
      <c r="Q334" s="83"/>
      <c r="R334" s="83"/>
      <c r="S334" s="1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17"/>
    </row>
    <row r="335" spans="1:50" ht="23.5" customHeight="1" thickTop="1" thickBot="1" x14ac:dyDescent="0.35">
      <c r="A335" s="63"/>
      <c r="B335" s="76"/>
      <c r="C335" s="33"/>
      <c r="D335" s="88" t="s">
        <v>194</v>
      </c>
      <c r="E335" s="36" t="s">
        <v>148</v>
      </c>
      <c r="F335" s="36">
        <v>5</v>
      </c>
      <c r="G335" s="85" t="s">
        <v>198</v>
      </c>
      <c r="H335" s="36" t="s">
        <v>158</v>
      </c>
      <c r="I335" s="36">
        <v>2</v>
      </c>
      <c r="J335" s="85" t="s">
        <v>202</v>
      </c>
      <c r="K335" s="36" t="s">
        <v>203</v>
      </c>
      <c r="L335" s="36">
        <v>2</v>
      </c>
      <c r="M335" s="18"/>
      <c r="N335" s="13"/>
      <c r="O335" s="84"/>
      <c r="P335" s="2" t="s">
        <v>178</v>
      </c>
      <c r="Q335" s="2" t="s">
        <v>186</v>
      </c>
      <c r="R335" s="2" t="s">
        <v>190</v>
      </c>
      <c r="S335" s="14"/>
      <c r="T335" s="13"/>
      <c r="AX335" s="14"/>
    </row>
    <row r="336" spans="1:50" ht="23" customHeight="1" thickBot="1" x14ac:dyDescent="0.35">
      <c r="A336" s="63"/>
      <c r="B336" s="76"/>
      <c r="C336" s="25"/>
      <c r="D336" s="86"/>
      <c r="E336" s="36" t="s">
        <v>195</v>
      </c>
      <c r="F336" s="36">
        <v>2</v>
      </c>
      <c r="G336" s="86"/>
      <c r="H336" s="36" t="s">
        <v>159</v>
      </c>
      <c r="I336" s="36">
        <v>1</v>
      </c>
      <c r="J336" s="86"/>
      <c r="K336" s="36" t="s">
        <v>166</v>
      </c>
      <c r="L336" s="36">
        <v>2</v>
      </c>
      <c r="M336" s="18"/>
      <c r="O336" s="1">
        <v>1</v>
      </c>
      <c r="P336" s="1">
        <v>3</v>
      </c>
      <c r="Q336" s="1">
        <v>0</v>
      </c>
      <c r="R336" s="1">
        <v>0</v>
      </c>
      <c r="S336" s="14"/>
      <c r="Z336" s="23" t="s">
        <v>194</v>
      </c>
      <c r="AK336" s="23" t="s">
        <v>198</v>
      </c>
      <c r="AT336" s="23" t="s">
        <v>202</v>
      </c>
      <c r="AX336" s="14"/>
    </row>
    <row r="337" spans="1:50" ht="25" customHeight="1" thickTop="1" thickBot="1" x14ac:dyDescent="0.35">
      <c r="A337" s="63"/>
      <c r="B337" s="76"/>
      <c r="C337" s="25"/>
      <c r="D337" s="86"/>
      <c r="E337" s="36" t="s">
        <v>196</v>
      </c>
      <c r="F337" s="36">
        <v>2</v>
      </c>
      <c r="G337" s="86"/>
      <c r="H337" s="36" t="s">
        <v>160</v>
      </c>
      <c r="I337" s="36">
        <v>1</v>
      </c>
      <c r="J337" s="86"/>
      <c r="K337" s="36" t="s">
        <v>167</v>
      </c>
      <c r="L337" s="36">
        <v>1</v>
      </c>
      <c r="M337" s="18"/>
      <c r="O337" s="1">
        <v>2</v>
      </c>
      <c r="P337" s="1">
        <v>1</v>
      </c>
      <c r="Q337" s="1">
        <v>2</v>
      </c>
      <c r="R337" s="1">
        <v>1</v>
      </c>
      <c r="S337" s="14"/>
      <c r="U337" s="7" t="s">
        <v>146</v>
      </c>
      <c r="V337" s="7" t="s">
        <v>147</v>
      </c>
      <c r="W337" s="7" t="s">
        <v>148</v>
      </c>
      <c r="X337" s="7" t="s">
        <v>149</v>
      </c>
      <c r="Y337" s="7" t="s">
        <v>150</v>
      </c>
      <c r="Z337" s="8" t="s">
        <v>151</v>
      </c>
      <c r="AA337" s="7" t="s">
        <v>152</v>
      </c>
      <c r="AB337" s="7" t="s">
        <v>153</v>
      </c>
      <c r="AC337" s="7" t="s">
        <v>154</v>
      </c>
      <c r="AD337" s="7" t="s">
        <v>155</v>
      </c>
      <c r="AE337" s="8" t="s">
        <v>156</v>
      </c>
      <c r="AF337" s="7" t="s">
        <v>157</v>
      </c>
      <c r="AH337" s="7" t="s">
        <v>146</v>
      </c>
      <c r="AI337" s="7" t="s">
        <v>147</v>
      </c>
      <c r="AJ337" s="7" t="s">
        <v>158</v>
      </c>
      <c r="AK337" s="7" t="s">
        <v>159</v>
      </c>
      <c r="AL337" s="7" t="s">
        <v>160</v>
      </c>
      <c r="AM337" s="7" t="s">
        <v>161</v>
      </c>
      <c r="AN337" s="7" t="s">
        <v>162</v>
      </c>
      <c r="AO337" s="7" t="s">
        <v>163</v>
      </c>
      <c r="AP337" s="7" t="s">
        <v>164</v>
      </c>
      <c r="AR337" s="7" t="s">
        <v>146</v>
      </c>
      <c r="AS337" s="7" t="s">
        <v>147</v>
      </c>
      <c r="AT337" s="7" t="s">
        <v>165</v>
      </c>
      <c r="AU337" s="7" t="s">
        <v>166</v>
      </c>
      <c r="AV337" s="7" t="s">
        <v>167</v>
      </c>
      <c r="AW337" s="7" t="s">
        <v>168</v>
      </c>
      <c r="AX337" s="14"/>
    </row>
    <row r="338" spans="1:50" ht="24" customHeight="1" thickTop="1" thickBot="1" x14ac:dyDescent="0.35">
      <c r="A338" s="63"/>
      <c r="B338" s="76"/>
      <c r="C338" s="25"/>
      <c r="D338" s="86"/>
      <c r="E338" s="1" t="s">
        <v>151</v>
      </c>
      <c r="F338" s="36">
        <v>2</v>
      </c>
      <c r="G338" s="86"/>
      <c r="H338" s="36" t="s">
        <v>199</v>
      </c>
      <c r="I338" s="36">
        <v>2</v>
      </c>
      <c r="J338" s="87"/>
      <c r="K338" s="38" t="s">
        <v>168</v>
      </c>
      <c r="L338" s="38">
        <v>1</v>
      </c>
      <c r="M338" s="18"/>
      <c r="O338" s="1">
        <v>3</v>
      </c>
      <c r="P338" s="1">
        <v>1</v>
      </c>
      <c r="Q338" s="1">
        <v>1</v>
      </c>
      <c r="R338" s="1">
        <v>1</v>
      </c>
      <c r="S338" s="14"/>
      <c r="U338" s="9" t="s">
        <v>171</v>
      </c>
      <c r="V338" s="10" t="s">
        <v>172</v>
      </c>
      <c r="W338" s="9">
        <v>7.14</v>
      </c>
      <c r="X338" s="9">
        <v>0.78</v>
      </c>
      <c r="Y338" s="9">
        <v>1.1000000000000001</v>
      </c>
      <c r="Z338" s="9">
        <v>0.68</v>
      </c>
      <c r="AA338" s="9">
        <v>2.5</v>
      </c>
      <c r="AB338" s="9">
        <v>0.89</v>
      </c>
      <c r="AC338" s="9">
        <v>0.94</v>
      </c>
      <c r="AD338" s="9">
        <v>1.1499999999999999</v>
      </c>
      <c r="AE338" s="9">
        <v>1.28</v>
      </c>
      <c r="AF338" s="9">
        <v>2.11</v>
      </c>
      <c r="AH338" s="9" t="s">
        <v>173</v>
      </c>
      <c r="AI338" s="10" t="s">
        <v>174</v>
      </c>
      <c r="AJ338" s="9">
        <v>6.14</v>
      </c>
      <c r="AK338" s="9">
        <v>6.56</v>
      </c>
      <c r="AL338" s="9">
        <v>3</v>
      </c>
      <c r="AM338" s="9">
        <v>6.16</v>
      </c>
      <c r="AN338" s="9">
        <v>1.56</v>
      </c>
      <c r="AO338" s="9">
        <v>7.17</v>
      </c>
      <c r="AP338" s="9">
        <v>5.14</v>
      </c>
      <c r="AR338" s="9" t="s">
        <v>175</v>
      </c>
      <c r="AS338" s="10" t="s">
        <v>176</v>
      </c>
      <c r="AT338" s="9">
        <v>2.88</v>
      </c>
      <c r="AU338" s="9">
        <v>1.0900000000000001</v>
      </c>
      <c r="AV338" s="9">
        <v>2.5499999999999998</v>
      </c>
      <c r="AW338" s="9">
        <v>2</v>
      </c>
      <c r="AX338" s="14"/>
    </row>
    <row r="339" spans="1:50" ht="24" customHeight="1" thickTop="1" thickBot="1" x14ac:dyDescent="0.35">
      <c r="A339" s="63"/>
      <c r="B339" s="76"/>
      <c r="C339" s="25"/>
      <c r="D339" s="86"/>
      <c r="E339" s="36" t="s">
        <v>152</v>
      </c>
      <c r="F339" s="36">
        <v>1</v>
      </c>
      <c r="G339" s="86"/>
      <c r="H339" s="36" t="s">
        <v>200</v>
      </c>
      <c r="I339" s="36">
        <v>1</v>
      </c>
      <c r="J339" s="39"/>
      <c r="K339" s="39"/>
      <c r="L339" s="39"/>
      <c r="M339" s="18"/>
      <c r="O339" s="1">
        <v>4</v>
      </c>
      <c r="P339" s="1">
        <v>1</v>
      </c>
      <c r="Q339" s="1">
        <v>0</v>
      </c>
      <c r="R339" s="1">
        <v>1</v>
      </c>
      <c r="S339" s="14"/>
      <c r="U339" s="9" t="s">
        <v>179</v>
      </c>
      <c r="V339" s="10" t="s">
        <v>180</v>
      </c>
      <c r="W339" s="9">
        <v>8.52</v>
      </c>
      <c r="X339" s="9">
        <v>0.65</v>
      </c>
      <c r="Y339" s="9">
        <v>1.04</v>
      </c>
      <c r="Z339" s="9">
        <v>0.61</v>
      </c>
      <c r="AA339" s="9">
        <v>2.91</v>
      </c>
      <c r="AB339" s="9">
        <v>0.83</v>
      </c>
      <c r="AC339" s="9">
        <v>0.99</v>
      </c>
      <c r="AD339" s="9">
        <v>1</v>
      </c>
      <c r="AE339" s="9">
        <v>1.1100000000000001</v>
      </c>
      <c r="AF339" s="9">
        <v>1.66</v>
      </c>
      <c r="AH339" s="11" t="s">
        <v>181</v>
      </c>
      <c r="AI339" s="12" t="s">
        <v>182</v>
      </c>
      <c r="AJ339" s="11">
        <v>6.91</v>
      </c>
      <c r="AK339" s="11">
        <v>7.42</v>
      </c>
      <c r="AL339" s="11">
        <v>3</v>
      </c>
      <c r="AM339" s="11">
        <v>7.83</v>
      </c>
      <c r="AN339" s="11">
        <v>2.42</v>
      </c>
      <c r="AO339" s="11">
        <v>8.83</v>
      </c>
      <c r="AP339" s="11">
        <v>5.91</v>
      </c>
      <c r="AR339" s="11" t="s">
        <v>183</v>
      </c>
      <c r="AS339" s="12" t="s">
        <v>184</v>
      </c>
      <c r="AT339" s="11">
        <v>3.27</v>
      </c>
      <c r="AU339" s="11">
        <v>1.17</v>
      </c>
      <c r="AV339" s="11">
        <v>2.2000000000000002</v>
      </c>
      <c r="AW339" s="11">
        <v>2</v>
      </c>
      <c r="AX339" s="14"/>
    </row>
    <row r="340" spans="1:50" ht="23.5" customHeight="1" thickTop="1" thickBot="1" x14ac:dyDescent="0.35">
      <c r="A340" s="63"/>
      <c r="B340" s="76"/>
      <c r="C340" s="25"/>
      <c r="D340" s="86"/>
      <c r="E340" s="36" t="s">
        <v>153</v>
      </c>
      <c r="F340" s="36">
        <v>1</v>
      </c>
      <c r="G340" s="86"/>
      <c r="H340" s="36" t="s">
        <v>201</v>
      </c>
      <c r="I340" s="36">
        <v>1</v>
      </c>
      <c r="J340" s="25"/>
      <c r="K340" s="25"/>
      <c r="L340" s="25"/>
      <c r="M340" s="18"/>
      <c r="O340" s="1">
        <v>5</v>
      </c>
      <c r="P340" s="1">
        <v>0</v>
      </c>
      <c r="Q340" s="1">
        <v>1</v>
      </c>
      <c r="R340" s="1">
        <v>1</v>
      </c>
      <c r="S340" s="14"/>
      <c r="U340" s="11" t="s">
        <v>187</v>
      </c>
      <c r="V340" s="12" t="s">
        <v>188</v>
      </c>
      <c r="W340" s="11">
        <v>9.1999999999999993</v>
      </c>
      <c r="X340" s="11">
        <v>0.85</v>
      </c>
      <c r="Y340" s="11">
        <v>1.23</v>
      </c>
      <c r="Z340" s="11">
        <v>0.72</v>
      </c>
      <c r="AA340" s="11">
        <v>2.5</v>
      </c>
      <c r="AB340" s="11">
        <v>0.81</v>
      </c>
      <c r="AC340" s="11">
        <v>0.93</v>
      </c>
      <c r="AD340" s="11">
        <v>1.2</v>
      </c>
      <c r="AE340" s="11">
        <v>1.4</v>
      </c>
      <c r="AF340" s="11">
        <v>2.29</v>
      </c>
      <c r="AX340" s="14"/>
    </row>
    <row r="341" spans="1:50" ht="23.5" customHeight="1" thickTop="1" thickBot="1" x14ac:dyDescent="0.35">
      <c r="A341" s="63"/>
      <c r="B341" s="76"/>
      <c r="C341" s="25"/>
      <c r="D341" s="86"/>
      <c r="E341" s="1" t="s">
        <v>156</v>
      </c>
      <c r="F341" s="36">
        <v>1</v>
      </c>
      <c r="G341" s="87"/>
      <c r="H341" s="38" t="s">
        <v>164</v>
      </c>
      <c r="I341" s="38">
        <v>1</v>
      </c>
      <c r="J341" s="36"/>
      <c r="K341" s="25"/>
      <c r="L341" s="25"/>
      <c r="M341" s="18"/>
      <c r="O341" s="4">
        <v>6</v>
      </c>
      <c r="P341" s="4">
        <v>1</v>
      </c>
      <c r="Q341" s="4">
        <v>0</v>
      </c>
      <c r="R341" s="4">
        <v>2</v>
      </c>
      <c r="S341" s="14"/>
      <c r="U341" s="9"/>
      <c r="V341" s="10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X341" s="14"/>
    </row>
    <row r="342" spans="1:50" ht="23.5" customHeight="1" thickTop="1" thickBot="1" x14ac:dyDescent="0.35">
      <c r="A342" s="63"/>
      <c r="B342" s="76"/>
      <c r="C342" s="25"/>
      <c r="D342" s="87"/>
      <c r="E342" s="38" t="s">
        <v>197</v>
      </c>
      <c r="F342" s="38">
        <v>1</v>
      </c>
      <c r="G342" s="39"/>
      <c r="H342" s="39"/>
      <c r="I342" s="39"/>
      <c r="J342" s="36"/>
      <c r="K342" s="36"/>
      <c r="L342" s="25"/>
      <c r="M342" s="18"/>
      <c r="O342" s="1"/>
      <c r="P342" s="1"/>
      <c r="Q342" s="1"/>
      <c r="R342" s="1"/>
      <c r="S342" s="14"/>
      <c r="U342" s="9"/>
      <c r="V342" s="10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X342" s="14"/>
    </row>
    <row r="343" spans="1:50" ht="23" customHeight="1" thickTop="1" x14ac:dyDescent="0.3">
      <c r="A343" s="63"/>
      <c r="B343" s="76"/>
      <c r="C343" s="25"/>
      <c r="D343" s="39"/>
      <c r="E343" s="39"/>
      <c r="F343" s="39"/>
      <c r="G343" s="25"/>
      <c r="H343" s="25"/>
      <c r="I343" s="25"/>
      <c r="J343" s="25"/>
      <c r="K343" s="25"/>
      <c r="L343" s="25"/>
      <c r="M343" s="18"/>
      <c r="O343" s="1"/>
      <c r="P343" s="1"/>
      <c r="Q343" s="1"/>
      <c r="R343" s="1"/>
      <c r="S343" s="14"/>
      <c r="AX343" s="14"/>
    </row>
    <row r="344" spans="1:50" ht="23" customHeight="1" thickBot="1" x14ac:dyDescent="0.35">
      <c r="A344" s="63"/>
      <c r="B344" s="81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19"/>
      <c r="N344" s="15"/>
      <c r="O344" s="15"/>
      <c r="P344" s="15"/>
      <c r="Q344" s="15"/>
      <c r="R344" s="15"/>
      <c r="S344" s="16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6"/>
    </row>
    <row r="345" spans="1:50" ht="15" customHeight="1" thickTop="1" thickBot="1" x14ac:dyDescent="0.35">
      <c r="A345" s="63"/>
      <c r="B345" s="89" t="s">
        <v>93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17"/>
      <c r="N345" s="24"/>
      <c r="O345" s="24"/>
      <c r="P345" s="24"/>
      <c r="Q345" s="24"/>
      <c r="R345" s="24"/>
      <c r="S345" s="1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17"/>
    </row>
    <row r="346" spans="1:50" ht="31" customHeight="1" thickTop="1" thickBot="1" x14ac:dyDescent="0.35">
      <c r="A346" s="63"/>
      <c r="B346" s="76"/>
      <c r="C346" s="24"/>
      <c r="D346" s="27" t="s">
        <v>191</v>
      </c>
      <c r="E346" s="27" t="s">
        <v>192</v>
      </c>
      <c r="F346" s="27" t="s">
        <v>193</v>
      </c>
      <c r="G346" s="27" t="s">
        <v>191</v>
      </c>
      <c r="H346" s="27" t="s">
        <v>192</v>
      </c>
      <c r="I346" s="27" t="s">
        <v>193</v>
      </c>
      <c r="J346" s="27" t="s">
        <v>191</v>
      </c>
      <c r="K346" s="27" t="s">
        <v>192</v>
      </c>
      <c r="L346" s="27" t="s">
        <v>193</v>
      </c>
      <c r="M346" s="17"/>
      <c r="N346" s="24"/>
      <c r="O346" s="82" t="s">
        <v>205</v>
      </c>
      <c r="P346" s="82" t="s">
        <v>206</v>
      </c>
      <c r="Q346" s="83"/>
      <c r="R346" s="83"/>
      <c r="S346" s="1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17"/>
    </row>
    <row r="347" spans="1:50" ht="23.5" customHeight="1" thickTop="1" thickBot="1" x14ac:dyDescent="0.35">
      <c r="A347" s="63"/>
      <c r="B347" s="76"/>
      <c r="C347" s="33"/>
      <c r="D347" s="88" t="s">
        <v>194</v>
      </c>
      <c r="E347" s="36" t="s">
        <v>148</v>
      </c>
      <c r="F347" s="36">
        <v>5</v>
      </c>
      <c r="G347" s="85" t="s">
        <v>198</v>
      </c>
      <c r="H347" s="36" t="s">
        <v>158</v>
      </c>
      <c r="I347" s="36">
        <v>2</v>
      </c>
      <c r="J347" s="85" t="s">
        <v>202</v>
      </c>
      <c r="K347" s="36" t="s">
        <v>203</v>
      </c>
      <c r="L347" s="36">
        <v>2</v>
      </c>
      <c r="M347" s="18"/>
      <c r="N347" s="13"/>
      <c r="O347" s="84"/>
      <c r="P347" s="2" t="s">
        <v>178</v>
      </c>
      <c r="Q347" s="2" t="s">
        <v>186</v>
      </c>
      <c r="R347" s="2" t="s">
        <v>190</v>
      </c>
      <c r="S347" s="14"/>
      <c r="T347" s="13"/>
      <c r="AX347" s="14"/>
    </row>
    <row r="348" spans="1:50" ht="23" customHeight="1" thickBot="1" x14ac:dyDescent="0.35">
      <c r="A348" s="63"/>
      <c r="B348" s="76"/>
      <c r="C348" s="25"/>
      <c r="D348" s="86"/>
      <c r="E348" s="36" t="s">
        <v>195</v>
      </c>
      <c r="F348" s="36">
        <v>2</v>
      </c>
      <c r="G348" s="86"/>
      <c r="H348" s="36" t="s">
        <v>159</v>
      </c>
      <c r="I348" s="36">
        <v>1</v>
      </c>
      <c r="J348" s="86"/>
      <c r="K348" s="36" t="s">
        <v>166</v>
      </c>
      <c r="L348" s="36">
        <v>2</v>
      </c>
      <c r="M348" s="18"/>
      <c r="O348" s="1">
        <v>1</v>
      </c>
      <c r="P348" s="1">
        <v>1</v>
      </c>
      <c r="Q348" s="1">
        <v>0</v>
      </c>
      <c r="R348" s="1">
        <v>1</v>
      </c>
      <c r="S348" s="14"/>
      <c r="Z348" s="23" t="s">
        <v>194</v>
      </c>
      <c r="AK348" s="23" t="s">
        <v>198</v>
      </c>
      <c r="AT348" s="23" t="s">
        <v>202</v>
      </c>
      <c r="AX348" s="14"/>
    </row>
    <row r="349" spans="1:50" ht="25" customHeight="1" thickTop="1" thickBot="1" x14ac:dyDescent="0.35">
      <c r="A349" s="63"/>
      <c r="B349" s="76"/>
      <c r="C349" s="25"/>
      <c r="D349" s="86"/>
      <c r="E349" s="36" t="s">
        <v>196</v>
      </c>
      <c r="F349" s="36">
        <v>2</v>
      </c>
      <c r="G349" s="86"/>
      <c r="H349" s="36" t="s">
        <v>160</v>
      </c>
      <c r="I349" s="36">
        <v>1</v>
      </c>
      <c r="J349" s="86"/>
      <c r="K349" s="36" t="s">
        <v>167</v>
      </c>
      <c r="L349" s="36">
        <v>1</v>
      </c>
      <c r="M349" s="18"/>
      <c r="O349" s="1">
        <v>2</v>
      </c>
      <c r="P349" s="1">
        <v>2</v>
      </c>
      <c r="Q349" s="1">
        <v>1</v>
      </c>
      <c r="R349" s="1">
        <v>1</v>
      </c>
      <c r="S349" s="14"/>
      <c r="U349" s="7" t="s">
        <v>146</v>
      </c>
      <c r="V349" s="7" t="s">
        <v>147</v>
      </c>
      <c r="W349" s="7" t="s">
        <v>148</v>
      </c>
      <c r="X349" s="7" t="s">
        <v>149</v>
      </c>
      <c r="Y349" s="7" t="s">
        <v>150</v>
      </c>
      <c r="Z349" s="8" t="s">
        <v>151</v>
      </c>
      <c r="AA349" s="7" t="s">
        <v>152</v>
      </c>
      <c r="AB349" s="7" t="s">
        <v>153</v>
      </c>
      <c r="AC349" s="7" t="s">
        <v>154</v>
      </c>
      <c r="AD349" s="7" t="s">
        <v>155</v>
      </c>
      <c r="AE349" s="8" t="s">
        <v>156</v>
      </c>
      <c r="AF349" s="7" t="s">
        <v>157</v>
      </c>
      <c r="AH349" s="7" t="s">
        <v>146</v>
      </c>
      <c r="AI349" s="7" t="s">
        <v>147</v>
      </c>
      <c r="AJ349" s="7" t="s">
        <v>158</v>
      </c>
      <c r="AK349" s="7" t="s">
        <v>159</v>
      </c>
      <c r="AL349" s="7" t="s">
        <v>160</v>
      </c>
      <c r="AM349" s="7" t="s">
        <v>161</v>
      </c>
      <c r="AN349" s="7" t="s">
        <v>162</v>
      </c>
      <c r="AO349" s="7" t="s">
        <v>163</v>
      </c>
      <c r="AP349" s="7" t="s">
        <v>164</v>
      </c>
      <c r="AR349" s="7" t="s">
        <v>146</v>
      </c>
      <c r="AS349" s="7" t="s">
        <v>147</v>
      </c>
      <c r="AT349" s="7" t="s">
        <v>165</v>
      </c>
      <c r="AU349" s="7" t="s">
        <v>166</v>
      </c>
      <c r="AV349" s="7" t="s">
        <v>167</v>
      </c>
      <c r="AW349" s="7" t="s">
        <v>168</v>
      </c>
      <c r="AX349" s="14"/>
    </row>
    <row r="350" spans="1:50" ht="24" customHeight="1" thickTop="1" thickBot="1" x14ac:dyDescent="0.35">
      <c r="A350" s="63"/>
      <c r="B350" s="76"/>
      <c r="C350" s="25"/>
      <c r="D350" s="86"/>
      <c r="E350" s="1" t="s">
        <v>151</v>
      </c>
      <c r="F350" s="36">
        <v>2</v>
      </c>
      <c r="G350" s="86"/>
      <c r="H350" s="36" t="s">
        <v>199</v>
      </c>
      <c r="I350" s="36">
        <v>2</v>
      </c>
      <c r="J350" s="87"/>
      <c r="K350" s="38" t="s">
        <v>168</v>
      </c>
      <c r="L350" s="38">
        <v>1</v>
      </c>
      <c r="M350" s="18"/>
      <c r="O350" s="1">
        <v>3</v>
      </c>
      <c r="P350" s="1">
        <v>2</v>
      </c>
      <c r="Q350" s="1">
        <v>1</v>
      </c>
      <c r="R350" s="1">
        <v>1</v>
      </c>
      <c r="S350" s="14"/>
      <c r="U350" s="9" t="s">
        <v>171</v>
      </c>
      <c r="V350" s="10" t="s">
        <v>172</v>
      </c>
      <c r="W350" s="9">
        <v>7.81</v>
      </c>
      <c r="X350" s="9">
        <v>0.68</v>
      </c>
      <c r="Y350" s="9">
        <v>1.19</v>
      </c>
      <c r="Z350" s="9">
        <v>0.75</v>
      </c>
      <c r="AA350" s="9">
        <v>2.67</v>
      </c>
      <c r="AB350" s="9">
        <v>0.85</v>
      </c>
      <c r="AC350" s="9">
        <v>0.98</v>
      </c>
      <c r="AD350" s="9">
        <v>1.05</v>
      </c>
      <c r="AE350" s="9">
        <v>1.08</v>
      </c>
      <c r="AF350" s="9">
        <v>1.95</v>
      </c>
      <c r="AH350" s="9" t="s">
        <v>173</v>
      </c>
      <c r="AI350" s="10" t="s">
        <v>174</v>
      </c>
      <c r="AJ350" s="9">
        <v>6.52</v>
      </c>
      <c r="AK350" s="9">
        <v>6.82</v>
      </c>
      <c r="AL350" s="9">
        <v>3</v>
      </c>
      <c r="AM350" s="9">
        <v>6.52</v>
      </c>
      <c r="AN350" s="9">
        <v>1.82</v>
      </c>
      <c r="AO350" s="9">
        <v>7.52</v>
      </c>
      <c r="AP350" s="9">
        <v>5.42</v>
      </c>
      <c r="AR350" s="9" t="s">
        <v>175</v>
      </c>
      <c r="AS350" s="10" t="s">
        <v>176</v>
      </c>
      <c r="AT350" s="9">
        <v>3.13</v>
      </c>
      <c r="AU350" s="9">
        <v>1.1299999999999999</v>
      </c>
      <c r="AV350" s="9">
        <v>2.8</v>
      </c>
      <c r="AW350" s="9">
        <v>2</v>
      </c>
      <c r="AX350" s="14"/>
    </row>
    <row r="351" spans="1:50" ht="24" customHeight="1" thickTop="1" thickBot="1" x14ac:dyDescent="0.35">
      <c r="A351" s="63"/>
      <c r="B351" s="76"/>
      <c r="C351" s="25"/>
      <c r="D351" s="86"/>
      <c r="E351" s="36" t="s">
        <v>152</v>
      </c>
      <c r="F351" s="36">
        <v>1</v>
      </c>
      <c r="G351" s="86"/>
      <c r="H351" s="36" t="s">
        <v>200</v>
      </c>
      <c r="I351" s="36">
        <v>1</v>
      </c>
      <c r="J351" s="39"/>
      <c r="K351" s="39"/>
      <c r="L351" s="39"/>
      <c r="M351" s="18"/>
      <c r="O351" s="1">
        <v>4</v>
      </c>
      <c r="P351" s="1">
        <v>0</v>
      </c>
      <c r="Q351" s="1">
        <v>2</v>
      </c>
      <c r="R351" s="1">
        <v>0</v>
      </c>
      <c r="S351" s="14"/>
      <c r="U351" s="9" t="s">
        <v>179</v>
      </c>
      <c r="V351" s="10" t="s">
        <v>180</v>
      </c>
      <c r="W351" s="9">
        <v>8.34</v>
      </c>
      <c r="X351" s="9">
        <v>0.79</v>
      </c>
      <c r="Y351" s="9">
        <v>1.02</v>
      </c>
      <c r="Z351" s="9">
        <v>0.64</v>
      </c>
      <c r="AA351" s="9">
        <v>2.5</v>
      </c>
      <c r="AB351" s="9">
        <v>0.87</v>
      </c>
      <c r="AC351" s="9">
        <v>0.92</v>
      </c>
      <c r="AD351" s="9">
        <v>1.18</v>
      </c>
      <c r="AE351" s="9">
        <v>1.35</v>
      </c>
      <c r="AF351" s="9">
        <v>2.41</v>
      </c>
      <c r="AH351" s="11" t="s">
        <v>181</v>
      </c>
      <c r="AI351" s="12" t="s">
        <v>182</v>
      </c>
      <c r="AJ351" s="11">
        <v>6.83</v>
      </c>
      <c r="AK351" s="11">
        <v>7.27</v>
      </c>
      <c r="AL351" s="11">
        <v>3</v>
      </c>
      <c r="AM351" s="11">
        <v>7.52</v>
      </c>
      <c r="AN351" s="11">
        <v>2.17</v>
      </c>
      <c r="AO351" s="11">
        <v>8.52</v>
      </c>
      <c r="AP351" s="11">
        <v>5.73</v>
      </c>
      <c r="AR351" s="11" t="s">
        <v>183</v>
      </c>
      <c r="AS351" s="12" t="s">
        <v>184</v>
      </c>
      <c r="AT351" s="11">
        <v>2.79</v>
      </c>
      <c r="AU351" s="11">
        <v>1.03</v>
      </c>
      <c r="AV351" s="11">
        <v>2.6</v>
      </c>
      <c r="AW351" s="11">
        <v>2</v>
      </c>
      <c r="AX351" s="14"/>
    </row>
    <row r="352" spans="1:50" ht="23.5" customHeight="1" thickTop="1" thickBot="1" x14ac:dyDescent="0.35">
      <c r="A352" s="63"/>
      <c r="B352" s="76"/>
      <c r="C352" s="25"/>
      <c r="D352" s="86"/>
      <c r="E352" s="36" t="s">
        <v>153</v>
      </c>
      <c r="F352" s="36">
        <v>1</v>
      </c>
      <c r="G352" s="86"/>
      <c r="H352" s="36" t="s">
        <v>201</v>
      </c>
      <c r="I352" s="36">
        <v>1</v>
      </c>
      <c r="J352" s="25"/>
      <c r="K352" s="25"/>
      <c r="L352" s="25"/>
      <c r="M352" s="18"/>
      <c r="O352" s="1">
        <v>5</v>
      </c>
      <c r="P352" s="1">
        <v>1</v>
      </c>
      <c r="Q352" s="1">
        <v>1</v>
      </c>
      <c r="R352" s="1">
        <v>1</v>
      </c>
      <c r="S352" s="14"/>
      <c r="U352" s="11" t="s">
        <v>187</v>
      </c>
      <c r="V352" s="12" t="s">
        <v>188</v>
      </c>
      <c r="W352" s="11">
        <v>9.08</v>
      </c>
      <c r="X352" s="11">
        <v>0.9</v>
      </c>
      <c r="Y352" s="11">
        <v>1.25</v>
      </c>
      <c r="Z352" s="11">
        <v>0.56999999999999995</v>
      </c>
      <c r="AA352" s="11">
        <v>2.88</v>
      </c>
      <c r="AB352" s="11">
        <v>0.8</v>
      </c>
      <c r="AC352" s="11">
        <v>0.95</v>
      </c>
      <c r="AD352" s="11">
        <v>1.1499999999999999</v>
      </c>
      <c r="AE352" s="11">
        <v>1.3</v>
      </c>
      <c r="AF352" s="11">
        <v>1.73</v>
      </c>
      <c r="AX352" s="14"/>
    </row>
    <row r="353" spans="1:50" ht="23.5" customHeight="1" thickTop="1" thickBot="1" x14ac:dyDescent="0.35">
      <c r="A353" s="63"/>
      <c r="B353" s="76"/>
      <c r="C353" s="25"/>
      <c r="D353" s="86"/>
      <c r="E353" s="1" t="s">
        <v>156</v>
      </c>
      <c r="F353" s="36">
        <v>1</v>
      </c>
      <c r="G353" s="87"/>
      <c r="H353" s="38" t="s">
        <v>164</v>
      </c>
      <c r="I353" s="38">
        <v>1</v>
      </c>
      <c r="J353" s="36"/>
      <c r="K353" s="25"/>
      <c r="L353" s="25"/>
      <c r="M353" s="18"/>
      <c r="O353" s="4">
        <v>6</v>
      </c>
      <c r="P353" s="4">
        <v>1</v>
      </c>
      <c r="Q353" s="4">
        <v>1</v>
      </c>
      <c r="R353" s="4">
        <v>2</v>
      </c>
      <c r="S353" s="14"/>
      <c r="U353" s="9"/>
      <c r="V353" s="10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X353" s="14"/>
    </row>
    <row r="354" spans="1:50" ht="23.5" customHeight="1" thickTop="1" thickBot="1" x14ac:dyDescent="0.35">
      <c r="A354" s="63"/>
      <c r="B354" s="76"/>
      <c r="C354" s="25"/>
      <c r="D354" s="87"/>
      <c r="E354" s="38" t="s">
        <v>197</v>
      </c>
      <c r="F354" s="38">
        <v>1</v>
      </c>
      <c r="G354" s="39"/>
      <c r="H354" s="39"/>
      <c r="I354" s="39"/>
      <c r="J354" s="36"/>
      <c r="K354" s="36"/>
      <c r="L354" s="25"/>
      <c r="M354" s="18"/>
      <c r="S354" s="14"/>
      <c r="U354" s="9"/>
      <c r="V354" s="10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X354" s="14"/>
    </row>
    <row r="355" spans="1:50" ht="23" customHeight="1" thickTop="1" x14ac:dyDescent="0.3">
      <c r="A355" s="63"/>
      <c r="B355" s="76"/>
      <c r="C355" s="25"/>
      <c r="D355" s="39"/>
      <c r="E355" s="39"/>
      <c r="F355" s="39"/>
      <c r="G355" s="25"/>
      <c r="H355" s="25"/>
      <c r="I355" s="25"/>
      <c r="J355" s="25"/>
      <c r="K355" s="25"/>
      <c r="L355" s="25"/>
      <c r="M355" s="18"/>
      <c r="O355" s="1"/>
      <c r="P355" s="1"/>
      <c r="Q355" s="1"/>
      <c r="R355" s="1"/>
      <c r="S355" s="14"/>
      <c r="AX355" s="14"/>
    </row>
    <row r="356" spans="1:50" ht="23" customHeight="1" thickBot="1" x14ac:dyDescent="0.35">
      <c r="A356" s="63"/>
      <c r="B356" s="81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19"/>
      <c r="N356" s="15"/>
      <c r="O356" s="15"/>
      <c r="P356" s="15"/>
      <c r="Q356" s="15"/>
      <c r="R356" s="15"/>
      <c r="S356" s="16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6"/>
    </row>
    <row r="357" spans="1:50" ht="15" customHeight="1" thickTop="1" thickBot="1" x14ac:dyDescent="0.35">
      <c r="A357" s="63"/>
      <c r="B357" s="89" t="s">
        <v>94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17"/>
      <c r="N357" s="24"/>
      <c r="O357" s="24"/>
      <c r="P357" s="24"/>
      <c r="Q357" s="24"/>
      <c r="R357" s="24"/>
      <c r="S357" s="1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17"/>
    </row>
    <row r="358" spans="1:50" ht="31" customHeight="1" thickTop="1" thickBot="1" x14ac:dyDescent="0.35">
      <c r="A358" s="63"/>
      <c r="B358" s="76"/>
      <c r="C358" s="24"/>
      <c r="D358" s="27" t="s">
        <v>191</v>
      </c>
      <c r="E358" s="27" t="s">
        <v>192</v>
      </c>
      <c r="F358" s="27" t="s">
        <v>193</v>
      </c>
      <c r="G358" s="27" t="s">
        <v>191</v>
      </c>
      <c r="H358" s="27" t="s">
        <v>192</v>
      </c>
      <c r="I358" s="27" t="s">
        <v>193</v>
      </c>
      <c r="J358" s="27" t="s">
        <v>191</v>
      </c>
      <c r="K358" s="27" t="s">
        <v>192</v>
      </c>
      <c r="L358" s="27" t="s">
        <v>193</v>
      </c>
      <c r="M358" s="17"/>
      <c r="N358" s="24"/>
      <c r="O358" s="82" t="s">
        <v>205</v>
      </c>
      <c r="P358" s="82" t="s">
        <v>206</v>
      </c>
      <c r="Q358" s="83"/>
      <c r="R358" s="83"/>
      <c r="S358" s="1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17"/>
    </row>
    <row r="359" spans="1:50" ht="23.5" customHeight="1" thickTop="1" thickBot="1" x14ac:dyDescent="0.35">
      <c r="A359" s="63"/>
      <c r="B359" s="76"/>
      <c r="C359" s="33"/>
      <c r="D359" s="88" t="s">
        <v>194</v>
      </c>
      <c r="E359" s="36" t="s">
        <v>148</v>
      </c>
      <c r="F359" s="36">
        <v>5</v>
      </c>
      <c r="G359" s="85" t="s">
        <v>198</v>
      </c>
      <c r="H359" s="36" t="s">
        <v>158</v>
      </c>
      <c r="I359" s="36">
        <v>2</v>
      </c>
      <c r="J359" s="85" t="s">
        <v>202</v>
      </c>
      <c r="K359" s="36" t="s">
        <v>203</v>
      </c>
      <c r="L359" s="36">
        <v>2</v>
      </c>
      <c r="M359" s="18"/>
      <c r="N359" s="13"/>
      <c r="O359" s="84"/>
      <c r="P359" s="2" t="s">
        <v>178</v>
      </c>
      <c r="Q359" s="2" t="s">
        <v>186</v>
      </c>
      <c r="R359" s="2" t="s">
        <v>190</v>
      </c>
      <c r="S359" s="14"/>
      <c r="T359" s="13"/>
      <c r="AX359" s="14"/>
    </row>
    <row r="360" spans="1:50" ht="23" customHeight="1" thickBot="1" x14ac:dyDescent="0.35">
      <c r="A360" s="63"/>
      <c r="B360" s="76"/>
      <c r="C360" s="25"/>
      <c r="D360" s="86"/>
      <c r="E360" s="36" t="s">
        <v>195</v>
      </c>
      <c r="F360" s="36">
        <v>2</v>
      </c>
      <c r="G360" s="86"/>
      <c r="H360" s="36" t="s">
        <v>159</v>
      </c>
      <c r="I360" s="36">
        <v>2</v>
      </c>
      <c r="J360" s="86"/>
      <c r="K360" s="36" t="s">
        <v>166</v>
      </c>
      <c r="L360" s="36">
        <v>2</v>
      </c>
      <c r="M360" s="18"/>
      <c r="O360" s="1">
        <v>1</v>
      </c>
      <c r="P360" s="1">
        <v>1</v>
      </c>
      <c r="Q360" s="1">
        <v>0</v>
      </c>
      <c r="R360" s="1">
        <v>0</v>
      </c>
      <c r="S360" s="14"/>
      <c r="Z360" s="23" t="s">
        <v>194</v>
      </c>
      <c r="AK360" s="23" t="s">
        <v>198</v>
      </c>
      <c r="AT360" s="23" t="s">
        <v>202</v>
      </c>
      <c r="AX360" s="14"/>
    </row>
    <row r="361" spans="1:50" ht="25" customHeight="1" thickTop="1" thickBot="1" x14ac:dyDescent="0.35">
      <c r="A361" s="63"/>
      <c r="B361" s="76"/>
      <c r="C361" s="25"/>
      <c r="D361" s="86"/>
      <c r="E361" s="36" t="s">
        <v>196</v>
      </c>
      <c r="F361" s="36">
        <v>2</v>
      </c>
      <c r="G361" s="86"/>
      <c r="H361" s="36" t="s">
        <v>160</v>
      </c>
      <c r="I361" s="36">
        <v>1</v>
      </c>
      <c r="J361" s="86"/>
      <c r="K361" s="36" t="s">
        <v>167</v>
      </c>
      <c r="L361" s="36">
        <v>2</v>
      </c>
      <c r="M361" s="18"/>
      <c r="O361" s="1">
        <v>2</v>
      </c>
      <c r="P361" s="1">
        <v>1</v>
      </c>
      <c r="Q361" s="1">
        <v>1</v>
      </c>
      <c r="R361" s="1">
        <v>1</v>
      </c>
      <c r="S361" s="14"/>
      <c r="U361" s="7" t="s">
        <v>146</v>
      </c>
      <c r="V361" s="7" t="s">
        <v>147</v>
      </c>
      <c r="W361" s="7" t="s">
        <v>148</v>
      </c>
      <c r="X361" s="7" t="s">
        <v>149</v>
      </c>
      <c r="Y361" s="7" t="s">
        <v>150</v>
      </c>
      <c r="Z361" s="8" t="s">
        <v>151</v>
      </c>
      <c r="AA361" s="7" t="s">
        <v>152</v>
      </c>
      <c r="AB361" s="7" t="s">
        <v>153</v>
      </c>
      <c r="AC361" s="7" t="s">
        <v>154</v>
      </c>
      <c r="AD361" s="7" t="s">
        <v>155</v>
      </c>
      <c r="AE361" s="8" t="s">
        <v>156</v>
      </c>
      <c r="AF361" s="7" t="s">
        <v>157</v>
      </c>
      <c r="AH361" s="7" t="s">
        <v>146</v>
      </c>
      <c r="AI361" s="7" t="s">
        <v>147</v>
      </c>
      <c r="AJ361" s="7" t="s">
        <v>158</v>
      </c>
      <c r="AK361" s="7" t="s">
        <v>159</v>
      </c>
      <c r="AL361" s="7" t="s">
        <v>160</v>
      </c>
      <c r="AM361" s="7" t="s">
        <v>161</v>
      </c>
      <c r="AN361" s="7" t="s">
        <v>162</v>
      </c>
      <c r="AO361" s="7" t="s">
        <v>163</v>
      </c>
      <c r="AP361" s="7" t="s">
        <v>164</v>
      </c>
      <c r="AR361" s="7" t="s">
        <v>146</v>
      </c>
      <c r="AS361" s="7" t="s">
        <v>147</v>
      </c>
      <c r="AT361" s="7" t="s">
        <v>165</v>
      </c>
      <c r="AU361" s="7" t="s">
        <v>166</v>
      </c>
      <c r="AV361" s="7" t="s">
        <v>167</v>
      </c>
      <c r="AW361" s="7" t="s">
        <v>168</v>
      </c>
      <c r="AX361" s="14"/>
    </row>
    <row r="362" spans="1:50" ht="24" customHeight="1" thickTop="1" thickBot="1" x14ac:dyDescent="0.35">
      <c r="A362" s="63"/>
      <c r="B362" s="76"/>
      <c r="C362" s="25"/>
      <c r="D362" s="86"/>
      <c r="E362" s="1" t="s">
        <v>151</v>
      </c>
      <c r="F362" s="36">
        <v>2</v>
      </c>
      <c r="G362" s="86"/>
      <c r="H362" s="36" t="s">
        <v>199</v>
      </c>
      <c r="I362" s="36">
        <v>2</v>
      </c>
      <c r="J362" s="87"/>
      <c r="K362" s="38" t="s">
        <v>168</v>
      </c>
      <c r="L362" s="38">
        <v>1</v>
      </c>
      <c r="M362" s="18"/>
      <c r="O362" s="1">
        <v>3</v>
      </c>
      <c r="P362" s="1">
        <v>1</v>
      </c>
      <c r="Q362" s="1">
        <v>1</v>
      </c>
      <c r="R362" s="1">
        <v>1</v>
      </c>
      <c r="S362" s="14"/>
      <c r="U362" s="9" t="s">
        <v>171</v>
      </c>
      <c r="V362" s="10" t="s">
        <v>172</v>
      </c>
      <c r="W362" s="9">
        <v>7.27</v>
      </c>
      <c r="X362" s="9">
        <v>0.74</v>
      </c>
      <c r="Y362" s="9">
        <v>1.1200000000000001</v>
      </c>
      <c r="Z362" s="9">
        <v>0.67</v>
      </c>
      <c r="AA362" s="9">
        <v>2.5</v>
      </c>
      <c r="AB362" s="9">
        <v>0.82</v>
      </c>
      <c r="AC362" s="9">
        <v>0.93</v>
      </c>
      <c r="AD362" s="9">
        <v>1.1000000000000001</v>
      </c>
      <c r="AE362" s="9">
        <v>1.1299999999999999</v>
      </c>
      <c r="AF362" s="9">
        <v>2.0699999999999998</v>
      </c>
      <c r="AH362" s="9" t="s">
        <v>173</v>
      </c>
      <c r="AI362" s="10" t="s">
        <v>174</v>
      </c>
      <c r="AJ362" s="9">
        <v>6.27</v>
      </c>
      <c r="AK362" s="9">
        <v>6.62</v>
      </c>
      <c r="AL362" s="9">
        <v>3</v>
      </c>
      <c r="AM362" s="9">
        <v>6.82</v>
      </c>
      <c r="AN362" s="9">
        <v>1.62</v>
      </c>
      <c r="AO362" s="9">
        <v>7.27</v>
      </c>
      <c r="AP362" s="9">
        <v>5.27</v>
      </c>
      <c r="AR362" s="9" t="s">
        <v>175</v>
      </c>
      <c r="AS362" s="10" t="s">
        <v>176</v>
      </c>
      <c r="AT362" s="9">
        <v>2.94</v>
      </c>
      <c r="AU362" s="9">
        <v>1.24</v>
      </c>
      <c r="AV362" s="9">
        <v>2.4500000000000002</v>
      </c>
      <c r="AW362" s="9">
        <v>2</v>
      </c>
      <c r="AX362" s="14"/>
    </row>
    <row r="363" spans="1:50" ht="24" customHeight="1" thickTop="1" thickBot="1" x14ac:dyDescent="0.35">
      <c r="A363" s="63"/>
      <c r="B363" s="76"/>
      <c r="C363" s="25"/>
      <c r="D363" s="86"/>
      <c r="E363" s="36" t="s">
        <v>152</v>
      </c>
      <c r="F363" s="36">
        <v>2</v>
      </c>
      <c r="G363" s="86"/>
      <c r="H363" s="36" t="s">
        <v>200</v>
      </c>
      <c r="I363" s="36">
        <v>1</v>
      </c>
      <c r="J363" s="39"/>
      <c r="K363" s="39"/>
      <c r="L363" s="39"/>
      <c r="M363" s="18"/>
      <c r="O363" s="1">
        <v>4</v>
      </c>
      <c r="P363" s="1">
        <v>1</v>
      </c>
      <c r="Q363" s="1">
        <v>0</v>
      </c>
      <c r="R363" s="1">
        <v>0</v>
      </c>
      <c r="S363" s="14"/>
      <c r="U363" s="9" t="s">
        <v>179</v>
      </c>
      <c r="V363" s="10" t="s">
        <v>180</v>
      </c>
      <c r="W363" s="9">
        <v>8.8000000000000007</v>
      </c>
      <c r="X363" s="9">
        <v>0.83</v>
      </c>
      <c r="Y363" s="9">
        <v>1.06</v>
      </c>
      <c r="Z363" s="9">
        <v>0.57999999999999996</v>
      </c>
      <c r="AA363" s="9">
        <v>2.73</v>
      </c>
      <c r="AB363" s="9">
        <v>0.86</v>
      </c>
      <c r="AC363" s="9">
        <v>0.97</v>
      </c>
      <c r="AD363" s="9">
        <v>1.03</v>
      </c>
      <c r="AE363" s="9">
        <v>1.22</v>
      </c>
      <c r="AF363" s="9">
        <v>1.64</v>
      </c>
      <c r="AH363" s="11" t="s">
        <v>181</v>
      </c>
      <c r="AI363" s="12" t="s">
        <v>182</v>
      </c>
      <c r="AJ363" s="11">
        <v>6.84</v>
      </c>
      <c r="AK363" s="11">
        <v>7.33</v>
      </c>
      <c r="AL363" s="11">
        <v>3</v>
      </c>
      <c r="AM363" s="11">
        <v>7.72</v>
      </c>
      <c r="AN363" s="11">
        <v>2.33</v>
      </c>
      <c r="AO363" s="11">
        <v>8.7200000000000006</v>
      </c>
      <c r="AP363" s="11">
        <v>5.78</v>
      </c>
      <c r="AR363" s="11" t="s">
        <v>183</v>
      </c>
      <c r="AS363" s="12" t="s">
        <v>184</v>
      </c>
      <c r="AT363" s="11">
        <v>3.42</v>
      </c>
      <c r="AU363" s="11">
        <v>1.06</v>
      </c>
      <c r="AV363" s="11">
        <v>2.12</v>
      </c>
      <c r="AW363" s="11">
        <v>2</v>
      </c>
      <c r="AX363" s="14"/>
    </row>
    <row r="364" spans="1:50" ht="23.5" customHeight="1" thickTop="1" thickBot="1" x14ac:dyDescent="0.35">
      <c r="A364" s="63"/>
      <c r="B364" s="76"/>
      <c r="C364" s="25"/>
      <c r="D364" s="86"/>
      <c r="E364" s="36" t="s">
        <v>153</v>
      </c>
      <c r="F364" s="36">
        <v>1</v>
      </c>
      <c r="G364" s="86"/>
      <c r="H364" s="36" t="s">
        <v>201</v>
      </c>
      <c r="I364" s="36">
        <v>1</v>
      </c>
      <c r="J364" s="25"/>
      <c r="K364" s="25"/>
      <c r="L364" s="25"/>
      <c r="M364" s="18"/>
      <c r="O364" s="1">
        <v>5</v>
      </c>
      <c r="P364" s="1">
        <v>1</v>
      </c>
      <c r="Q364" s="1">
        <v>1</v>
      </c>
      <c r="R364" s="1">
        <v>1</v>
      </c>
      <c r="S364" s="14"/>
      <c r="U364" s="11" t="s">
        <v>187</v>
      </c>
      <c r="V364" s="12" t="s">
        <v>188</v>
      </c>
      <c r="W364" s="11">
        <v>9.1300000000000008</v>
      </c>
      <c r="X364" s="11">
        <v>0.65</v>
      </c>
      <c r="Y364" s="11">
        <v>1.21</v>
      </c>
      <c r="Z364" s="11">
        <v>0.75</v>
      </c>
      <c r="AA364" s="11">
        <v>2.5</v>
      </c>
      <c r="AB364" s="11">
        <v>0.88</v>
      </c>
      <c r="AC364" s="11">
        <v>1</v>
      </c>
      <c r="AD364" s="11">
        <v>1.2</v>
      </c>
      <c r="AE364" s="11">
        <v>1.35</v>
      </c>
      <c r="AF364" s="11">
        <v>2.5</v>
      </c>
      <c r="AX364" s="14"/>
    </row>
    <row r="365" spans="1:50" ht="23.5" customHeight="1" thickTop="1" thickBot="1" x14ac:dyDescent="0.35">
      <c r="A365" s="63"/>
      <c r="B365" s="76"/>
      <c r="C365" s="25"/>
      <c r="D365" s="86"/>
      <c r="E365" s="1" t="s">
        <v>156</v>
      </c>
      <c r="F365" s="36">
        <v>1</v>
      </c>
      <c r="G365" s="87"/>
      <c r="H365" s="38" t="s">
        <v>164</v>
      </c>
      <c r="I365" s="38">
        <v>1</v>
      </c>
      <c r="J365" s="36"/>
      <c r="K365" s="25"/>
      <c r="L365" s="25"/>
      <c r="M365" s="18"/>
      <c r="O365" s="1">
        <v>6</v>
      </c>
      <c r="P365" s="1">
        <v>0</v>
      </c>
      <c r="Q365" s="1">
        <v>1</v>
      </c>
      <c r="R365" s="1">
        <v>1</v>
      </c>
      <c r="S365" s="14"/>
      <c r="U365" s="9"/>
      <c r="V365" s="10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X365" s="14"/>
    </row>
    <row r="366" spans="1:50" ht="23.5" customHeight="1" thickTop="1" thickBot="1" x14ac:dyDescent="0.35">
      <c r="A366" s="63"/>
      <c r="B366" s="76"/>
      <c r="C366" s="25"/>
      <c r="D366" s="87"/>
      <c r="E366" s="38" t="s">
        <v>197</v>
      </c>
      <c r="F366" s="38">
        <v>1</v>
      </c>
      <c r="G366" s="39"/>
      <c r="H366" s="39"/>
      <c r="I366" s="39"/>
      <c r="J366" s="36"/>
      <c r="K366" s="36"/>
      <c r="L366" s="25"/>
      <c r="M366" s="18"/>
      <c r="O366" s="1">
        <v>7</v>
      </c>
      <c r="P366" s="1">
        <v>1</v>
      </c>
      <c r="Q366" s="1">
        <v>3</v>
      </c>
      <c r="R366" s="1">
        <v>1</v>
      </c>
      <c r="S366" s="14"/>
      <c r="U366" s="9"/>
      <c r="V366" s="10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X366" s="14"/>
    </row>
    <row r="367" spans="1:50" ht="23.5" customHeight="1" thickTop="1" thickBot="1" x14ac:dyDescent="0.35">
      <c r="A367" s="63"/>
      <c r="B367" s="76"/>
      <c r="C367" s="25"/>
      <c r="D367" s="39"/>
      <c r="E367" s="39"/>
      <c r="F367" s="39"/>
      <c r="G367" s="25"/>
      <c r="H367" s="25"/>
      <c r="I367" s="25"/>
      <c r="J367" s="25"/>
      <c r="K367" s="25"/>
      <c r="L367" s="25"/>
      <c r="M367" s="18"/>
      <c r="O367" s="4">
        <v>8</v>
      </c>
      <c r="P367" s="4">
        <v>2</v>
      </c>
      <c r="Q367" s="4">
        <v>0</v>
      </c>
      <c r="R367" s="4">
        <v>0</v>
      </c>
      <c r="S367" s="14"/>
      <c r="AX367" s="14"/>
    </row>
    <row r="368" spans="1:50" ht="23.5" customHeight="1" thickTop="1" thickBot="1" x14ac:dyDescent="0.35">
      <c r="A368" s="63"/>
      <c r="B368" s="81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19"/>
      <c r="N368" s="15"/>
      <c r="O368" s="15"/>
      <c r="P368" s="15"/>
      <c r="Q368" s="15"/>
      <c r="R368" s="15"/>
      <c r="S368" s="16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6"/>
    </row>
    <row r="369" spans="1:50" ht="15" customHeight="1" thickTop="1" thickBot="1" x14ac:dyDescent="0.35">
      <c r="A369" s="63"/>
      <c r="B369" s="89" t="s">
        <v>95</v>
      </c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17"/>
      <c r="N369" s="24"/>
      <c r="O369" s="24"/>
      <c r="P369" s="24"/>
      <c r="Q369" s="24"/>
      <c r="R369" s="24"/>
      <c r="S369" s="1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17"/>
    </row>
    <row r="370" spans="1:50" ht="31" customHeight="1" thickTop="1" thickBot="1" x14ac:dyDescent="0.35">
      <c r="A370" s="63"/>
      <c r="B370" s="76"/>
      <c r="C370" s="24"/>
      <c r="D370" s="27" t="s">
        <v>191</v>
      </c>
      <c r="E370" s="27" t="s">
        <v>192</v>
      </c>
      <c r="F370" s="27" t="s">
        <v>193</v>
      </c>
      <c r="G370" s="27" t="s">
        <v>191</v>
      </c>
      <c r="H370" s="27" t="s">
        <v>192</v>
      </c>
      <c r="I370" s="27" t="s">
        <v>193</v>
      </c>
      <c r="J370" s="27" t="s">
        <v>191</v>
      </c>
      <c r="K370" s="27" t="s">
        <v>192</v>
      </c>
      <c r="L370" s="27" t="s">
        <v>193</v>
      </c>
      <c r="M370" s="17"/>
      <c r="N370" s="24"/>
      <c r="O370" s="82" t="s">
        <v>205</v>
      </c>
      <c r="P370" s="82" t="s">
        <v>206</v>
      </c>
      <c r="Q370" s="83"/>
      <c r="R370" s="83"/>
      <c r="S370" s="1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17"/>
    </row>
    <row r="371" spans="1:50" ht="23.5" customHeight="1" thickTop="1" thickBot="1" x14ac:dyDescent="0.35">
      <c r="A371" s="63"/>
      <c r="B371" s="76"/>
      <c r="C371" s="33"/>
      <c r="D371" s="88" t="s">
        <v>194</v>
      </c>
      <c r="E371" s="36" t="s">
        <v>148</v>
      </c>
      <c r="F371" s="36">
        <v>5</v>
      </c>
      <c r="G371" s="85" t="s">
        <v>198</v>
      </c>
      <c r="H371" s="36" t="s">
        <v>158</v>
      </c>
      <c r="I371" s="36">
        <v>2</v>
      </c>
      <c r="J371" s="85" t="s">
        <v>202</v>
      </c>
      <c r="K371" s="36" t="s">
        <v>203</v>
      </c>
      <c r="L371" s="36">
        <v>2</v>
      </c>
      <c r="M371" s="18"/>
      <c r="N371" s="13"/>
      <c r="O371" s="84"/>
      <c r="P371" s="2" t="s">
        <v>178</v>
      </c>
      <c r="Q371" s="2" t="s">
        <v>186</v>
      </c>
      <c r="R371" s="2" t="s">
        <v>190</v>
      </c>
      <c r="S371" s="14"/>
      <c r="T371" s="13"/>
      <c r="AX371" s="14"/>
    </row>
    <row r="372" spans="1:50" ht="23" customHeight="1" thickBot="1" x14ac:dyDescent="0.35">
      <c r="A372" s="63"/>
      <c r="B372" s="76"/>
      <c r="C372" s="25"/>
      <c r="D372" s="86"/>
      <c r="E372" s="36" t="s">
        <v>195</v>
      </c>
      <c r="F372" s="36">
        <v>2</v>
      </c>
      <c r="G372" s="86"/>
      <c r="H372" s="36" t="s">
        <v>159</v>
      </c>
      <c r="I372" s="36">
        <v>2</v>
      </c>
      <c r="J372" s="86"/>
      <c r="K372" s="36" t="s">
        <v>166</v>
      </c>
      <c r="L372" s="36">
        <v>2</v>
      </c>
      <c r="M372" s="18"/>
      <c r="O372" s="1">
        <v>1</v>
      </c>
      <c r="P372" s="1">
        <v>1</v>
      </c>
      <c r="Q372" s="1">
        <v>0</v>
      </c>
      <c r="R372" s="1">
        <v>1</v>
      </c>
      <c r="S372" s="14"/>
      <c r="Z372" s="23" t="s">
        <v>194</v>
      </c>
      <c r="AK372" s="23" t="s">
        <v>198</v>
      </c>
      <c r="AT372" s="23" t="s">
        <v>202</v>
      </c>
      <c r="AX372" s="14"/>
    </row>
    <row r="373" spans="1:50" ht="25" customHeight="1" thickTop="1" thickBot="1" x14ac:dyDescent="0.35">
      <c r="A373" s="63"/>
      <c r="B373" s="76"/>
      <c r="C373" s="25"/>
      <c r="D373" s="86"/>
      <c r="E373" s="36" t="s">
        <v>196</v>
      </c>
      <c r="F373" s="36">
        <v>2</v>
      </c>
      <c r="G373" s="86"/>
      <c r="H373" s="36" t="s">
        <v>160</v>
      </c>
      <c r="I373" s="36">
        <v>1</v>
      </c>
      <c r="J373" s="86"/>
      <c r="K373" s="36" t="s">
        <v>167</v>
      </c>
      <c r="L373" s="36">
        <v>2</v>
      </c>
      <c r="M373" s="18"/>
      <c r="O373" s="1">
        <v>2</v>
      </c>
      <c r="P373" s="1">
        <v>1</v>
      </c>
      <c r="Q373" s="1">
        <v>1</v>
      </c>
      <c r="R373" s="1">
        <v>1</v>
      </c>
      <c r="S373" s="14"/>
      <c r="U373" s="7" t="s">
        <v>146</v>
      </c>
      <c r="V373" s="7" t="s">
        <v>147</v>
      </c>
      <c r="W373" s="7" t="s">
        <v>148</v>
      </c>
      <c r="X373" s="7" t="s">
        <v>149</v>
      </c>
      <c r="Y373" s="7" t="s">
        <v>150</v>
      </c>
      <c r="Z373" s="8" t="s">
        <v>151</v>
      </c>
      <c r="AA373" s="7" t="s">
        <v>152</v>
      </c>
      <c r="AB373" s="7" t="s">
        <v>153</v>
      </c>
      <c r="AC373" s="7" t="s">
        <v>154</v>
      </c>
      <c r="AD373" s="7" t="s">
        <v>155</v>
      </c>
      <c r="AE373" s="8" t="s">
        <v>156</v>
      </c>
      <c r="AF373" s="7" t="s">
        <v>157</v>
      </c>
      <c r="AH373" s="7" t="s">
        <v>146</v>
      </c>
      <c r="AI373" s="7" t="s">
        <v>147</v>
      </c>
      <c r="AJ373" s="7" t="s">
        <v>158</v>
      </c>
      <c r="AK373" s="7" t="s">
        <v>159</v>
      </c>
      <c r="AL373" s="7" t="s">
        <v>160</v>
      </c>
      <c r="AM373" s="7" t="s">
        <v>161</v>
      </c>
      <c r="AN373" s="7" t="s">
        <v>162</v>
      </c>
      <c r="AO373" s="7" t="s">
        <v>163</v>
      </c>
      <c r="AP373" s="7" t="s">
        <v>164</v>
      </c>
      <c r="AR373" s="7" t="s">
        <v>146</v>
      </c>
      <c r="AS373" s="7" t="s">
        <v>147</v>
      </c>
      <c r="AT373" s="7" t="s">
        <v>165</v>
      </c>
      <c r="AU373" s="7" t="s">
        <v>166</v>
      </c>
      <c r="AV373" s="7" t="s">
        <v>167</v>
      </c>
      <c r="AW373" s="7" t="s">
        <v>168</v>
      </c>
      <c r="AX373" s="14"/>
    </row>
    <row r="374" spans="1:50" ht="24" customHeight="1" thickTop="1" thickBot="1" x14ac:dyDescent="0.35">
      <c r="A374" s="63"/>
      <c r="B374" s="76"/>
      <c r="C374" s="25"/>
      <c r="D374" s="86"/>
      <c r="E374" s="1" t="s">
        <v>151</v>
      </c>
      <c r="F374" s="36">
        <v>2</v>
      </c>
      <c r="G374" s="86"/>
      <c r="H374" s="36" t="s">
        <v>199</v>
      </c>
      <c r="I374" s="36">
        <v>2</v>
      </c>
      <c r="J374" s="87"/>
      <c r="K374" s="38" t="s">
        <v>168</v>
      </c>
      <c r="L374" s="38">
        <v>1</v>
      </c>
      <c r="M374" s="18"/>
      <c r="O374" s="1">
        <v>3</v>
      </c>
      <c r="P374" s="1">
        <v>0</v>
      </c>
      <c r="Q374" s="1">
        <v>1</v>
      </c>
      <c r="R374" s="1">
        <v>1</v>
      </c>
      <c r="S374" s="14"/>
      <c r="U374" s="9" t="s">
        <v>171</v>
      </c>
      <c r="V374" s="10" t="s">
        <v>172</v>
      </c>
      <c r="W374" s="9">
        <v>7.67</v>
      </c>
      <c r="X374" s="9">
        <v>0.82</v>
      </c>
      <c r="Y374" s="9">
        <v>1.17</v>
      </c>
      <c r="Z374" s="9">
        <v>0.62</v>
      </c>
      <c r="AA374" s="9">
        <v>2.94</v>
      </c>
      <c r="AB374" s="9">
        <v>0.8</v>
      </c>
      <c r="AC374" s="9">
        <v>0.96</v>
      </c>
      <c r="AD374" s="9">
        <v>1.1200000000000001</v>
      </c>
      <c r="AE374" s="9">
        <v>1.05</v>
      </c>
      <c r="AF374" s="9">
        <v>1.59</v>
      </c>
      <c r="AH374" s="9" t="s">
        <v>173</v>
      </c>
      <c r="AI374" s="10" t="s">
        <v>174</v>
      </c>
      <c r="AJ374" s="9">
        <v>6.42</v>
      </c>
      <c r="AK374" s="9">
        <v>6.71</v>
      </c>
      <c r="AL374" s="9">
        <v>3</v>
      </c>
      <c r="AM374" s="9">
        <v>6.38</v>
      </c>
      <c r="AN374" s="9">
        <v>1.96</v>
      </c>
      <c r="AO374" s="9">
        <v>7.42</v>
      </c>
      <c r="AP374" s="9">
        <v>5.32</v>
      </c>
      <c r="AR374" s="9" t="s">
        <v>175</v>
      </c>
      <c r="AS374" s="10" t="s">
        <v>176</v>
      </c>
      <c r="AT374" s="9">
        <v>2.67</v>
      </c>
      <c r="AU374" s="9">
        <v>1.18</v>
      </c>
      <c r="AV374" s="9">
        <v>2.7</v>
      </c>
      <c r="AW374" s="9">
        <v>2</v>
      </c>
      <c r="AX374" s="14"/>
    </row>
    <row r="375" spans="1:50" ht="24" customHeight="1" thickTop="1" thickBot="1" x14ac:dyDescent="0.35">
      <c r="A375" s="63"/>
      <c r="B375" s="76"/>
      <c r="C375" s="25"/>
      <c r="D375" s="86"/>
      <c r="E375" s="36" t="s">
        <v>152</v>
      </c>
      <c r="F375" s="36">
        <v>2</v>
      </c>
      <c r="G375" s="86"/>
      <c r="H375" s="36" t="s">
        <v>200</v>
      </c>
      <c r="I375" s="36">
        <v>1</v>
      </c>
      <c r="J375" s="39"/>
      <c r="K375" s="39"/>
      <c r="L375" s="39"/>
      <c r="M375" s="18"/>
      <c r="O375" s="1">
        <v>4</v>
      </c>
      <c r="P375" s="1">
        <v>0</v>
      </c>
      <c r="Q375" s="1">
        <v>1</v>
      </c>
      <c r="R375" s="1">
        <v>2</v>
      </c>
      <c r="S375" s="14"/>
      <c r="U375" s="9" t="s">
        <v>179</v>
      </c>
      <c r="V375" s="10" t="s">
        <v>180</v>
      </c>
      <c r="W375" s="9">
        <v>8.4700000000000006</v>
      </c>
      <c r="X375" s="9">
        <v>0.69</v>
      </c>
      <c r="Y375" s="9">
        <v>1.01</v>
      </c>
      <c r="Z375" s="9">
        <v>0.7</v>
      </c>
      <c r="AA375" s="9">
        <v>2.5</v>
      </c>
      <c r="AB375" s="9">
        <v>0.84</v>
      </c>
      <c r="AC375" s="9">
        <v>0.91</v>
      </c>
      <c r="AD375" s="9">
        <v>1.07</v>
      </c>
      <c r="AE375" s="9">
        <v>1.27</v>
      </c>
      <c r="AF375" s="9">
        <v>2.2599999999999998</v>
      </c>
      <c r="AH375" s="11" t="s">
        <v>181</v>
      </c>
      <c r="AI375" s="12" t="s">
        <v>182</v>
      </c>
      <c r="AJ375" s="11">
        <v>6.74</v>
      </c>
      <c r="AK375" s="11">
        <v>7.16</v>
      </c>
      <c r="AL375" s="11">
        <v>3</v>
      </c>
      <c r="AM375" s="11">
        <v>7.42</v>
      </c>
      <c r="AN375" s="11">
        <v>2.2599999999999998</v>
      </c>
      <c r="AO375" s="11">
        <v>8.42</v>
      </c>
      <c r="AP375" s="11">
        <v>5.64</v>
      </c>
      <c r="AR375" s="11" t="s">
        <v>183</v>
      </c>
      <c r="AS375" s="12" t="s">
        <v>184</v>
      </c>
      <c r="AT375" s="11">
        <v>3.38</v>
      </c>
      <c r="AU375" s="11">
        <v>1.04</v>
      </c>
      <c r="AV375" s="11">
        <v>2.9</v>
      </c>
      <c r="AW375" s="11">
        <v>2</v>
      </c>
      <c r="AX375" s="14"/>
    </row>
    <row r="376" spans="1:50" ht="23.5" customHeight="1" thickTop="1" thickBot="1" x14ac:dyDescent="0.35">
      <c r="A376" s="63"/>
      <c r="B376" s="76"/>
      <c r="C376" s="25"/>
      <c r="D376" s="86"/>
      <c r="E376" s="36" t="s">
        <v>153</v>
      </c>
      <c r="F376" s="36">
        <v>1</v>
      </c>
      <c r="G376" s="86"/>
      <c r="H376" s="36" t="s">
        <v>201</v>
      </c>
      <c r="I376" s="36">
        <v>1</v>
      </c>
      <c r="J376" s="25"/>
      <c r="K376" s="25"/>
      <c r="L376" s="25"/>
      <c r="M376" s="18"/>
      <c r="O376" s="1">
        <v>5</v>
      </c>
      <c r="P376" s="1">
        <v>1</v>
      </c>
      <c r="Q376" s="1">
        <v>1</v>
      </c>
      <c r="R376" s="1">
        <v>1</v>
      </c>
      <c r="S376" s="14"/>
      <c r="U376" s="11" t="s">
        <v>187</v>
      </c>
      <c r="V376" s="12" t="s">
        <v>188</v>
      </c>
      <c r="W376" s="11">
        <v>9.25</v>
      </c>
      <c r="X376" s="11">
        <v>0.76</v>
      </c>
      <c r="Y376" s="11">
        <v>1.25</v>
      </c>
      <c r="Z376" s="11">
        <v>0.65</v>
      </c>
      <c r="AA376" s="11">
        <v>2.61</v>
      </c>
      <c r="AB376" s="11">
        <v>0.89</v>
      </c>
      <c r="AC376" s="11">
        <v>0.99</v>
      </c>
      <c r="AD376" s="11">
        <v>1.2</v>
      </c>
      <c r="AE376" s="11">
        <v>1.4</v>
      </c>
      <c r="AF376" s="11">
        <v>1.82</v>
      </c>
      <c r="AX376" s="14"/>
    </row>
    <row r="377" spans="1:50" ht="23.5" customHeight="1" thickTop="1" thickBot="1" x14ac:dyDescent="0.35">
      <c r="A377" s="63"/>
      <c r="B377" s="76"/>
      <c r="C377" s="25"/>
      <c r="D377" s="86"/>
      <c r="E377" s="1" t="s">
        <v>156</v>
      </c>
      <c r="F377" s="36">
        <v>1</v>
      </c>
      <c r="G377" s="87"/>
      <c r="H377" s="38" t="s">
        <v>164</v>
      </c>
      <c r="I377" s="38">
        <v>1</v>
      </c>
      <c r="J377" s="36"/>
      <c r="K377" s="25"/>
      <c r="L377" s="25"/>
      <c r="M377" s="18"/>
      <c r="O377" s="1">
        <v>6</v>
      </c>
      <c r="P377" s="1">
        <v>1</v>
      </c>
      <c r="Q377" s="1">
        <v>1</v>
      </c>
      <c r="R377" s="1">
        <v>1</v>
      </c>
      <c r="S377" s="14"/>
      <c r="U377" s="9"/>
      <c r="V377" s="10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X377" s="14"/>
    </row>
    <row r="378" spans="1:50" ht="23.5" customHeight="1" thickTop="1" thickBot="1" x14ac:dyDescent="0.35">
      <c r="A378" s="63"/>
      <c r="B378" s="76"/>
      <c r="C378" s="25"/>
      <c r="D378" s="87"/>
      <c r="E378" s="38" t="s">
        <v>197</v>
      </c>
      <c r="F378" s="38">
        <v>1</v>
      </c>
      <c r="G378" s="39"/>
      <c r="H378" s="39"/>
      <c r="I378" s="39"/>
      <c r="J378" s="36"/>
      <c r="K378" s="36"/>
      <c r="L378" s="25"/>
      <c r="M378" s="18"/>
      <c r="O378" s="1">
        <v>7</v>
      </c>
      <c r="P378" s="1">
        <v>1</v>
      </c>
      <c r="Q378" s="1">
        <v>1</v>
      </c>
      <c r="R378" s="1">
        <v>1</v>
      </c>
      <c r="S378" s="14"/>
      <c r="U378" s="9"/>
      <c r="V378" s="10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X378" s="14"/>
    </row>
    <row r="379" spans="1:50" ht="23.5" customHeight="1" thickTop="1" thickBot="1" x14ac:dyDescent="0.35">
      <c r="A379" s="63"/>
      <c r="B379" s="76"/>
      <c r="C379" s="25"/>
      <c r="D379" s="39"/>
      <c r="E379" s="39"/>
      <c r="F379" s="39"/>
      <c r="G379" s="25"/>
      <c r="H379" s="39"/>
      <c r="I379" s="25"/>
      <c r="J379" s="25"/>
      <c r="K379" s="36"/>
      <c r="L379" s="25"/>
      <c r="M379" s="18"/>
      <c r="O379" s="4">
        <v>8</v>
      </c>
      <c r="P379" s="4">
        <v>2</v>
      </c>
      <c r="Q379" s="4">
        <v>0</v>
      </c>
      <c r="R379" s="4">
        <v>0</v>
      </c>
      <c r="S379" s="14"/>
      <c r="AX379" s="14"/>
    </row>
    <row r="380" spans="1:50" ht="23.5" customHeight="1" thickTop="1" thickBot="1" x14ac:dyDescent="0.35">
      <c r="A380" s="63"/>
      <c r="B380" s="81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19"/>
      <c r="N380" s="15"/>
      <c r="O380" s="15"/>
      <c r="P380" s="15"/>
      <c r="Q380" s="15"/>
      <c r="R380" s="15"/>
      <c r="S380" s="16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6"/>
    </row>
    <row r="381" spans="1:50" ht="15" customHeight="1" thickTop="1" thickBot="1" x14ac:dyDescent="0.35">
      <c r="A381" s="63"/>
      <c r="B381" s="89" t="s">
        <v>96</v>
      </c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17"/>
      <c r="N381" s="24"/>
      <c r="O381" s="24"/>
      <c r="P381" s="24"/>
      <c r="Q381" s="24"/>
      <c r="R381" s="24"/>
      <c r="S381" s="1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17"/>
    </row>
    <row r="382" spans="1:50" ht="31" customHeight="1" thickTop="1" thickBot="1" x14ac:dyDescent="0.35">
      <c r="A382" s="63"/>
      <c r="B382" s="76"/>
      <c r="C382" s="24"/>
      <c r="D382" s="27" t="s">
        <v>191</v>
      </c>
      <c r="E382" s="27" t="s">
        <v>192</v>
      </c>
      <c r="F382" s="27" t="s">
        <v>193</v>
      </c>
      <c r="G382" s="27" t="s">
        <v>191</v>
      </c>
      <c r="H382" s="27" t="s">
        <v>192</v>
      </c>
      <c r="I382" s="27" t="s">
        <v>193</v>
      </c>
      <c r="J382" s="27" t="s">
        <v>191</v>
      </c>
      <c r="K382" s="27" t="s">
        <v>192</v>
      </c>
      <c r="L382" s="27" t="s">
        <v>193</v>
      </c>
      <c r="M382" s="17"/>
      <c r="N382" s="24"/>
      <c r="O382" s="82" t="s">
        <v>205</v>
      </c>
      <c r="P382" s="82" t="s">
        <v>206</v>
      </c>
      <c r="Q382" s="83"/>
      <c r="R382" s="83"/>
      <c r="S382" s="1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17"/>
    </row>
    <row r="383" spans="1:50" ht="23.5" customHeight="1" thickTop="1" thickBot="1" x14ac:dyDescent="0.35">
      <c r="A383" s="63"/>
      <c r="B383" s="76"/>
      <c r="C383" s="33"/>
      <c r="D383" s="88" t="s">
        <v>194</v>
      </c>
      <c r="E383" s="36" t="s">
        <v>148</v>
      </c>
      <c r="F383" s="36">
        <v>5</v>
      </c>
      <c r="G383" s="85" t="s">
        <v>198</v>
      </c>
      <c r="H383" s="36" t="s">
        <v>158</v>
      </c>
      <c r="I383" s="36">
        <v>2</v>
      </c>
      <c r="J383" s="85" t="s">
        <v>202</v>
      </c>
      <c r="K383" s="36" t="s">
        <v>203</v>
      </c>
      <c r="L383" s="36">
        <v>2</v>
      </c>
      <c r="M383" s="18"/>
      <c r="N383" s="13"/>
      <c r="O383" s="84"/>
      <c r="P383" s="2" t="s">
        <v>178</v>
      </c>
      <c r="Q383" s="2" t="s">
        <v>186</v>
      </c>
      <c r="R383" s="2" t="s">
        <v>190</v>
      </c>
      <c r="S383" s="14"/>
      <c r="T383" s="13"/>
      <c r="AX383" s="14"/>
    </row>
    <row r="384" spans="1:50" ht="23" customHeight="1" thickBot="1" x14ac:dyDescent="0.35">
      <c r="A384" s="63"/>
      <c r="B384" s="76"/>
      <c r="C384" s="25"/>
      <c r="D384" s="86"/>
      <c r="E384" s="36" t="s">
        <v>195</v>
      </c>
      <c r="F384" s="36">
        <v>2</v>
      </c>
      <c r="G384" s="86"/>
      <c r="H384" s="36" t="s">
        <v>159</v>
      </c>
      <c r="I384" s="36">
        <v>2</v>
      </c>
      <c r="J384" s="86"/>
      <c r="K384" s="36" t="s">
        <v>166</v>
      </c>
      <c r="L384" s="36">
        <v>2</v>
      </c>
      <c r="M384" s="18"/>
      <c r="O384" s="1">
        <v>1</v>
      </c>
      <c r="P384" s="1">
        <v>1</v>
      </c>
      <c r="Q384" s="1">
        <v>1</v>
      </c>
      <c r="R384" s="1">
        <v>0</v>
      </c>
      <c r="S384" s="14"/>
      <c r="Z384" s="23" t="s">
        <v>194</v>
      </c>
      <c r="AK384" s="23" t="s">
        <v>198</v>
      </c>
      <c r="AT384" s="23" t="s">
        <v>202</v>
      </c>
      <c r="AX384" s="14"/>
    </row>
    <row r="385" spans="1:50" ht="25" customHeight="1" thickTop="1" thickBot="1" x14ac:dyDescent="0.35">
      <c r="A385" s="63"/>
      <c r="B385" s="76"/>
      <c r="C385" s="25"/>
      <c r="D385" s="86"/>
      <c r="E385" s="36" t="s">
        <v>196</v>
      </c>
      <c r="F385" s="36">
        <v>2</v>
      </c>
      <c r="G385" s="86"/>
      <c r="H385" s="36" t="s">
        <v>160</v>
      </c>
      <c r="I385" s="36">
        <v>1</v>
      </c>
      <c r="J385" s="86"/>
      <c r="K385" s="36" t="s">
        <v>167</v>
      </c>
      <c r="L385" s="36">
        <v>2</v>
      </c>
      <c r="M385" s="18"/>
      <c r="O385" s="1">
        <v>2</v>
      </c>
      <c r="P385" s="1">
        <v>1</v>
      </c>
      <c r="Q385" s="1">
        <v>2</v>
      </c>
      <c r="R385" s="1">
        <v>1</v>
      </c>
      <c r="S385" s="14"/>
      <c r="U385" s="7" t="s">
        <v>146</v>
      </c>
      <c r="V385" s="7" t="s">
        <v>147</v>
      </c>
      <c r="W385" s="7" t="s">
        <v>148</v>
      </c>
      <c r="X385" s="7" t="s">
        <v>149</v>
      </c>
      <c r="Y385" s="7" t="s">
        <v>150</v>
      </c>
      <c r="Z385" s="8" t="s">
        <v>151</v>
      </c>
      <c r="AA385" s="7" t="s">
        <v>152</v>
      </c>
      <c r="AB385" s="7" t="s">
        <v>153</v>
      </c>
      <c r="AC385" s="7" t="s">
        <v>154</v>
      </c>
      <c r="AD385" s="7" t="s">
        <v>155</v>
      </c>
      <c r="AE385" s="8" t="s">
        <v>156</v>
      </c>
      <c r="AF385" s="7" t="s">
        <v>157</v>
      </c>
      <c r="AH385" s="7" t="s">
        <v>146</v>
      </c>
      <c r="AI385" s="7" t="s">
        <v>147</v>
      </c>
      <c r="AJ385" s="7" t="s">
        <v>158</v>
      </c>
      <c r="AK385" s="7" t="s">
        <v>159</v>
      </c>
      <c r="AL385" s="7" t="s">
        <v>160</v>
      </c>
      <c r="AM385" s="7" t="s">
        <v>161</v>
      </c>
      <c r="AN385" s="7" t="s">
        <v>162</v>
      </c>
      <c r="AO385" s="7" t="s">
        <v>163</v>
      </c>
      <c r="AP385" s="7" t="s">
        <v>164</v>
      </c>
      <c r="AR385" s="7" t="s">
        <v>146</v>
      </c>
      <c r="AS385" s="7" t="s">
        <v>147</v>
      </c>
      <c r="AT385" s="7" t="s">
        <v>165</v>
      </c>
      <c r="AU385" s="7" t="s">
        <v>166</v>
      </c>
      <c r="AV385" s="7" t="s">
        <v>167</v>
      </c>
      <c r="AW385" s="7" t="s">
        <v>168</v>
      </c>
      <c r="AX385" s="14"/>
    </row>
    <row r="386" spans="1:50" ht="24" customHeight="1" thickTop="1" thickBot="1" x14ac:dyDescent="0.35">
      <c r="A386" s="63"/>
      <c r="B386" s="76"/>
      <c r="C386" s="25"/>
      <c r="D386" s="86"/>
      <c r="E386" s="1" t="s">
        <v>151</v>
      </c>
      <c r="F386" s="36">
        <v>2</v>
      </c>
      <c r="G386" s="86"/>
      <c r="H386" s="36" t="s">
        <v>199</v>
      </c>
      <c r="I386" s="36">
        <v>2</v>
      </c>
      <c r="J386" s="87"/>
      <c r="K386" s="38" t="s">
        <v>168</v>
      </c>
      <c r="L386" s="38">
        <v>2</v>
      </c>
      <c r="M386" s="18"/>
      <c r="O386" s="1">
        <v>3</v>
      </c>
      <c r="P386" s="1">
        <v>1</v>
      </c>
      <c r="Q386" s="1">
        <v>1</v>
      </c>
      <c r="R386" s="1">
        <v>1</v>
      </c>
      <c r="S386" s="14"/>
      <c r="U386" s="9" t="s">
        <v>171</v>
      </c>
      <c r="V386" s="10" t="s">
        <v>172</v>
      </c>
      <c r="W386" s="9">
        <v>7.41</v>
      </c>
      <c r="X386" s="9">
        <v>0.7</v>
      </c>
      <c r="Y386" s="9">
        <v>1.1499999999999999</v>
      </c>
      <c r="Z386" s="9">
        <v>0.56999999999999995</v>
      </c>
      <c r="AA386" s="9">
        <v>2.5</v>
      </c>
      <c r="AB386" s="9">
        <v>0.87</v>
      </c>
      <c r="AC386" s="9">
        <v>0.95</v>
      </c>
      <c r="AD386" s="9">
        <v>1.18</v>
      </c>
      <c r="AE386" s="9">
        <v>1.32</v>
      </c>
      <c r="AF386" s="9">
        <v>2.15</v>
      </c>
      <c r="AH386" s="9" t="s">
        <v>173</v>
      </c>
      <c r="AI386" s="10" t="s">
        <v>174</v>
      </c>
      <c r="AJ386" s="9">
        <v>6.93</v>
      </c>
      <c r="AK386" s="9">
        <v>7.47</v>
      </c>
      <c r="AL386" s="9">
        <v>3</v>
      </c>
      <c r="AM386" s="9">
        <v>7.88</v>
      </c>
      <c r="AN386" s="9">
        <v>2.4700000000000002</v>
      </c>
      <c r="AO386" s="9">
        <v>8.93</v>
      </c>
      <c r="AP386" s="9">
        <v>5.93</v>
      </c>
      <c r="AR386" s="9" t="s">
        <v>175</v>
      </c>
      <c r="AS386" s="10" t="s">
        <v>176</v>
      </c>
      <c r="AT386" s="9">
        <v>3.07</v>
      </c>
      <c r="AU386" s="9">
        <v>1.1000000000000001</v>
      </c>
      <c r="AV386" s="9">
        <v>2.2999999999999998</v>
      </c>
      <c r="AW386" s="9">
        <v>2</v>
      </c>
      <c r="AX386" s="14"/>
    </row>
    <row r="387" spans="1:50" ht="24" customHeight="1" thickTop="1" thickBot="1" x14ac:dyDescent="0.35">
      <c r="A387" s="63"/>
      <c r="B387" s="76"/>
      <c r="C387" s="25"/>
      <c r="D387" s="86"/>
      <c r="E387" s="36" t="s">
        <v>152</v>
      </c>
      <c r="F387" s="36">
        <v>2</v>
      </c>
      <c r="G387" s="86"/>
      <c r="H387" s="36" t="s">
        <v>200</v>
      </c>
      <c r="I387" s="36">
        <v>1</v>
      </c>
      <c r="J387" s="39"/>
      <c r="K387" s="39"/>
      <c r="L387" s="39"/>
      <c r="M387" s="18"/>
      <c r="O387" s="1">
        <v>4</v>
      </c>
      <c r="P387" s="1">
        <v>0</v>
      </c>
      <c r="Q387" s="1">
        <v>2</v>
      </c>
      <c r="R387" s="1">
        <v>0</v>
      </c>
      <c r="S387" s="14"/>
      <c r="U387" s="9" t="s">
        <v>179</v>
      </c>
      <c r="V387" s="10" t="s">
        <v>180</v>
      </c>
      <c r="W387" s="9">
        <v>8.6999999999999993</v>
      </c>
      <c r="X387" s="9">
        <v>0.87</v>
      </c>
      <c r="Y387" s="9">
        <v>1.03</v>
      </c>
      <c r="Z387" s="9">
        <v>0.68</v>
      </c>
      <c r="AA387" s="9">
        <v>2.85</v>
      </c>
      <c r="AB387" s="9">
        <v>0.83</v>
      </c>
      <c r="AC387" s="9">
        <v>0.92</v>
      </c>
      <c r="AD387" s="9">
        <v>1</v>
      </c>
      <c r="AE387" s="9">
        <v>1.1000000000000001</v>
      </c>
      <c r="AF387" s="9">
        <v>1.69</v>
      </c>
      <c r="AH387" s="11" t="s">
        <v>181</v>
      </c>
      <c r="AI387" s="12" t="s">
        <v>182</v>
      </c>
      <c r="AJ387" s="11">
        <v>6.06</v>
      </c>
      <c r="AK387" s="11">
        <v>6.55</v>
      </c>
      <c r="AL387" s="11">
        <v>3</v>
      </c>
      <c r="AM387" s="11">
        <v>6.02</v>
      </c>
      <c r="AN387" s="11">
        <v>1.55</v>
      </c>
      <c r="AO387" s="11">
        <v>7.05</v>
      </c>
      <c r="AP387" s="11">
        <v>5.0599999999999996</v>
      </c>
      <c r="AR387" s="11" t="s">
        <v>183</v>
      </c>
      <c r="AS387" s="12" t="s">
        <v>184</v>
      </c>
      <c r="AT387" s="11">
        <v>2.81</v>
      </c>
      <c r="AU387" s="11">
        <v>1.25</v>
      </c>
      <c r="AV387" s="11">
        <v>2.5</v>
      </c>
      <c r="AW387" s="11">
        <v>2</v>
      </c>
      <c r="AX387" s="14"/>
    </row>
    <row r="388" spans="1:50" ht="23.5" customHeight="1" thickTop="1" thickBot="1" x14ac:dyDescent="0.35">
      <c r="A388" s="63"/>
      <c r="B388" s="76"/>
      <c r="C388" s="25"/>
      <c r="D388" s="86"/>
      <c r="E388" s="36" t="s">
        <v>153</v>
      </c>
      <c r="F388" s="36">
        <v>2</v>
      </c>
      <c r="G388" s="86"/>
      <c r="H388" s="36" t="s">
        <v>201</v>
      </c>
      <c r="I388" s="36">
        <v>1</v>
      </c>
      <c r="J388" s="25"/>
      <c r="K388" s="25"/>
      <c r="L388" s="25"/>
      <c r="M388" s="18"/>
      <c r="O388" s="1">
        <v>5</v>
      </c>
      <c r="P388" s="1">
        <v>1</v>
      </c>
      <c r="Q388" s="1">
        <v>1</v>
      </c>
      <c r="R388" s="1">
        <v>1</v>
      </c>
      <c r="S388" s="14"/>
      <c r="U388" s="11" t="s">
        <v>187</v>
      </c>
      <c r="V388" s="12" t="s">
        <v>188</v>
      </c>
      <c r="W388" s="11">
        <v>9.06</v>
      </c>
      <c r="X388" s="11">
        <v>0.67</v>
      </c>
      <c r="Y388" s="11">
        <v>1.2</v>
      </c>
      <c r="Z388" s="11">
        <v>0.72</v>
      </c>
      <c r="AA388" s="11">
        <v>2.5</v>
      </c>
      <c r="AB388" s="11">
        <v>0.81</v>
      </c>
      <c r="AC388" s="11">
        <v>0.98</v>
      </c>
      <c r="AD388" s="11">
        <v>1.1499999999999999</v>
      </c>
      <c r="AE388" s="11">
        <v>1.38</v>
      </c>
      <c r="AF388" s="11">
        <v>2.4300000000000002</v>
      </c>
      <c r="AX388" s="14"/>
    </row>
    <row r="389" spans="1:50" ht="23.5" customHeight="1" thickTop="1" thickBot="1" x14ac:dyDescent="0.35">
      <c r="A389" s="63"/>
      <c r="B389" s="76"/>
      <c r="C389" s="25"/>
      <c r="D389" s="86"/>
      <c r="E389" s="1" t="s">
        <v>156</v>
      </c>
      <c r="F389" s="36">
        <v>1</v>
      </c>
      <c r="G389" s="87"/>
      <c r="H389" s="38" t="s">
        <v>164</v>
      </c>
      <c r="I389" s="38">
        <v>1</v>
      </c>
      <c r="J389" s="36"/>
      <c r="K389" s="25"/>
      <c r="L389" s="25"/>
      <c r="M389" s="18"/>
      <c r="O389" s="1">
        <v>6</v>
      </c>
      <c r="P389" s="1">
        <v>2</v>
      </c>
      <c r="Q389" s="1">
        <v>1</v>
      </c>
      <c r="R389" s="1">
        <v>1</v>
      </c>
      <c r="S389" s="14"/>
      <c r="U389" s="9"/>
      <c r="V389" s="10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X389" s="14"/>
    </row>
    <row r="390" spans="1:50" ht="23.5" customHeight="1" thickTop="1" thickBot="1" x14ac:dyDescent="0.35">
      <c r="A390" s="63"/>
      <c r="B390" s="76"/>
      <c r="C390" s="25"/>
      <c r="D390" s="87"/>
      <c r="E390" s="38" t="s">
        <v>197</v>
      </c>
      <c r="F390" s="38">
        <v>1</v>
      </c>
      <c r="G390" s="39"/>
      <c r="H390" s="39"/>
      <c r="I390" s="39"/>
      <c r="J390" s="36"/>
      <c r="K390" s="36"/>
      <c r="L390" s="25"/>
      <c r="M390" s="18"/>
      <c r="O390" s="1">
        <v>7</v>
      </c>
      <c r="P390" s="1">
        <v>1</v>
      </c>
      <c r="Q390" s="1">
        <v>1</v>
      </c>
      <c r="R390" s="1">
        <v>1</v>
      </c>
      <c r="S390" s="14"/>
      <c r="U390" s="9"/>
      <c r="V390" s="10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X390" s="14"/>
    </row>
    <row r="391" spans="1:50" ht="23.5" customHeight="1" thickTop="1" thickBot="1" x14ac:dyDescent="0.35">
      <c r="A391" s="63"/>
      <c r="B391" s="76"/>
      <c r="C391" s="25"/>
      <c r="D391" s="39"/>
      <c r="E391" s="39"/>
      <c r="F391" s="39"/>
      <c r="G391" s="25"/>
      <c r="H391" s="25"/>
      <c r="I391" s="25"/>
      <c r="J391" s="25"/>
      <c r="K391" s="25"/>
      <c r="L391" s="25"/>
      <c r="M391" s="18"/>
      <c r="O391" s="4">
        <v>8</v>
      </c>
      <c r="P391" s="4">
        <v>0</v>
      </c>
      <c r="Q391" s="4">
        <v>0</v>
      </c>
      <c r="R391" s="4">
        <v>1</v>
      </c>
      <c r="S391" s="14"/>
      <c r="AX391" s="14"/>
    </row>
    <row r="392" spans="1:50" ht="23.5" customHeight="1" thickTop="1" thickBot="1" x14ac:dyDescent="0.35">
      <c r="A392" s="63"/>
      <c r="B392" s="81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19"/>
      <c r="N392" s="15"/>
      <c r="O392" s="15"/>
      <c r="P392" s="15"/>
      <c r="Q392" s="15"/>
      <c r="R392" s="15"/>
      <c r="S392" s="16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6"/>
    </row>
    <row r="393" spans="1:50" ht="15" customHeight="1" thickTop="1" thickBot="1" x14ac:dyDescent="0.35">
      <c r="A393" s="63"/>
      <c r="B393" s="89" t="s">
        <v>97</v>
      </c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17"/>
      <c r="N393" s="24"/>
      <c r="O393" s="24"/>
      <c r="P393" s="24"/>
      <c r="Q393" s="24"/>
      <c r="R393" s="24"/>
      <c r="S393" s="1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17"/>
    </row>
    <row r="394" spans="1:50" ht="31" customHeight="1" thickTop="1" thickBot="1" x14ac:dyDescent="0.35">
      <c r="A394" s="63"/>
      <c r="B394" s="76"/>
      <c r="C394" s="24"/>
      <c r="D394" s="27" t="s">
        <v>191</v>
      </c>
      <c r="E394" s="27" t="s">
        <v>192</v>
      </c>
      <c r="F394" s="27" t="s">
        <v>193</v>
      </c>
      <c r="G394" s="27" t="s">
        <v>191</v>
      </c>
      <c r="H394" s="27" t="s">
        <v>192</v>
      </c>
      <c r="I394" s="27" t="s">
        <v>193</v>
      </c>
      <c r="J394" s="27" t="s">
        <v>191</v>
      </c>
      <c r="K394" s="27" t="s">
        <v>192</v>
      </c>
      <c r="L394" s="27" t="s">
        <v>193</v>
      </c>
      <c r="M394" s="17"/>
      <c r="N394" s="24"/>
      <c r="O394" s="82" t="s">
        <v>205</v>
      </c>
      <c r="P394" s="82" t="s">
        <v>206</v>
      </c>
      <c r="Q394" s="83"/>
      <c r="R394" s="83"/>
      <c r="S394" s="1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17"/>
    </row>
    <row r="395" spans="1:50" ht="23.5" customHeight="1" thickTop="1" thickBot="1" x14ac:dyDescent="0.35">
      <c r="A395" s="63"/>
      <c r="B395" s="76"/>
      <c r="C395" s="33"/>
      <c r="D395" s="88" t="s">
        <v>194</v>
      </c>
      <c r="E395" s="36" t="s">
        <v>148</v>
      </c>
      <c r="F395" s="36">
        <v>5</v>
      </c>
      <c r="G395" s="85" t="s">
        <v>198</v>
      </c>
      <c r="H395" s="36" t="s">
        <v>158</v>
      </c>
      <c r="I395" s="36">
        <v>2</v>
      </c>
      <c r="J395" s="85" t="s">
        <v>202</v>
      </c>
      <c r="K395" s="36" t="s">
        <v>203</v>
      </c>
      <c r="L395" s="36">
        <v>2</v>
      </c>
      <c r="M395" s="18"/>
      <c r="N395" s="13"/>
      <c r="O395" s="84"/>
      <c r="P395" s="2" t="s">
        <v>178</v>
      </c>
      <c r="Q395" s="2" t="s">
        <v>186</v>
      </c>
      <c r="R395" s="2" t="s">
        <v>190</v>
      </c>
      <c r="S395" s="14"/>
      <c r="T395" s="13"/>
      <c r="AX395" s="14"/>
    </row>
    <row r="396" spans="1:50" ht="23" customHeight="1" thickBot="1" x14ac:dyDescent="0.35">
      <c r="A396" s="63"/>
      <c r="B396" s="76"/>
      <c r="C396" s="25"/>
      <c r="D396" s="86"/>
      <c r="E396" s="36" t="s">
        <v>195</v>
      </c>
      <c r="F396" s="36">
        <v>2</v>
      </c>
      <c r="G396" s="86"/>
      <c r="H396" s="36" t="s">
        <v>159</v>
      </c>
      <c r="I396" s="36">
        <v>2</v>
      </c>
      <c r="J396" s="86"/>
      <c r="K396" s="36" t="s">
        <v>166</v>
      </c>
      <c r="L396" s="36">
        <v>2</v>
      </c>
      <c r="M396" s="18"/>
      <c r="O396" s="1">
        <v>1</v>
      </c>
      <c r="P396" s="1">
        <v>1</v>
      </c>
      <c r="Q396" s="1">
        <v>1</v>
      </c>
      <c r="R396" s="1">
        <v>0</v>
      </c>
      <c r="S396" s="14"/>
      <c r="Z396" s="23" t="s">
        <v>194</v>
      </c>
      <c r="AK396" s="23" t="s">
        <v>198</v>
      </c>
      <c r="AT396" s="23" t="s">
        <v>202</v>
      </c>
      <c r="AX396" s="14"/>
    </row>
    <row r="397" spans="1:50" ht="25" customHeight="1" thickTop="1" thickBot="1" x14ac:dyDescent="0.35">
      <c r="A397" s="63"/>
      <c r="B397" s="76"/>
      <c r="C397" s="25"/>
      <c r="D397" s="86"/>
      <c r="E397" s="36" t="s">
        <v>196</v>
      </c>
      <c r="F397" s="36">
        <v>2</v>
      </c>
      <c r="G397" s="86"/>
      <c r="H397" s="36" t="s">
        <v>160</v>
      </c>
      <c r="I397" s="36">
        <v>1</v>
      </c>
      <c r="J397" s="86"/>
      <c r="K397" s="36" t="s">
        <v>167</v>
      </c>
      <c r="L397" s="36">
        <v>2</v>
      </c>
      <c r="M397" s="18"/>
      <c r="O397" s="1">
        <v>2</v>
      </c>
      <c r="P397" s="1">
        <v>0</v>
      </c>
      <c r="Q397" s="1">
        <v>2</v>
      </c>
      <c r="R397" s="1">
        <v>1</v>
      </c>
      <c r="S397" s="14"/>
      <c r="U397" s="7" t="s">
        <v>146</v>
      </c>
      <c r="V397" s="7" t="s">
        <v>147</v>
      </c>
      <c r="W397" s="7" t="s">
        <v>148</v>
      </c>
      <c r="X397" s="7" t="s">
        <v>149</v>
      </c>
      <c r="Y397" s="7" t="s">
        <v>150</v>
      </c>
      <c r="Z397" s="8" t="s">
        <v>151</v>
      </c>
      <c r="AA397" s="7" t="s">
        <v>152</v>
      </c>
      <c r="AB397" s="7" t="s">
        <v>153</v>
      </c>
      <c r="AC397" s="7" t="s">
        <v>154</v>
      </c>
      <c r="AD397" s="7" t="s">
        <v>155</v>
      </c>
      <c r="AE397" s="8" t="s">
        <v>156</v>
      </c>
      <c r="AF397" s="7" t="s">
        <v>157</v>
      </c>
      <c r="AH397" s="7" t="s">
        <v>146</v>
      </c>
      <c r="AI397" s="7" t="s">
        <v>147</v>
      </c>
      <c r="AJ397" s="7" t="s">
        <v>158</v>
      </c>
      <c r="AK397" s="7" t="s">
        <v>159</v>
      </c>
      <c r="AL397" s="7" t="s">
        <v>160</v>
      </c>
      <c r="AM397" s="7" t="s">
        <v>161</v>
      </c>
      <c r="AN397" s="7" t="s">
        <v>162</v>
      </c>
      <c r="AO397" s="7" t="s">
        <v>163</v>
      </c>
      <c r="AP397" s="7" t="s">
        <v>164</v>
      </c>
      <c r="AR397" s="7" t="s">
        <v>146</v>
      </c>
      <c r="AS397" s="7" t="s">
        <v>147</v>
      </c>
      <c r="AT397" s="7" t="s">
        <v>165</v>
      </c>
      <c r="AU397" s="7" t="s">
        <v>166</v>
      </c>
      <c r="AV397" s="7" t="s">
        <v>167</v>
      </c>
      <c r="AW397" s="7" t="s">
        <v>168</v>
      </c>
      <c r="AX397" s="14"/>
    </row>
    <row r="398" spans="1:50" ht="24" customHeight="1" thickTop="1" thickBot="1" x14ac:dyDescent="0.35">
      <c r="A398" s="63"/>
      <c r="B398" s="76"/>
      <c r="C398" s="25"/>
      <c r="D398" s="86"/>
      <c r="E398" s="1" t="s">
        <v>151</v>
      </c>
      <c r="F398" s="36">
        <v>2</v>
      </c>
      <c r="G398" s="86"/>
      <c r="H398" s="36" t="s">
        <v>199</v>
      </c>
      <c r="I398" s="36">
        <v>2</v>
      </c>
      <c r="J398" s="87"/>
      <c r="K398" s="38" t="s">
        <v>168</v>
      </c>
      <c r="L398" s="38">
        <v>2</v>
      </c>
      <c r="M398" s="18"/>
      <c r="O398" s="1">
        <v>3</v>
      </c>
      <c r="P398" s="1">
        <v>0</v>
      </c>
      <c r="Q398" s="1">
        <v>1</v>
      </c>
      <c r="R398" s="1">
        <v>1</v>
      </c>
      <c r="S398" s="14"/>
      <c r="U398" s="9" t="s">
        <v>171</v>
      </c>
      <c r="V398" s="10" t="s">
        <v>172</v>
      </c>
      <c r="W398" s="9">
        <v>7.93</v>
      </c>
      <c r="X398" s="9">
        <v>0.75</v>
      </c>
      <c r="Y398" s="9">
        <v>1.1299999999999999</v>
      </c>
      <c r="Z398" s="9">
        <v>0.69</v>
      </c>
      <c r="AA398" s="9">
        <v>2.69</v>
      </c>
      <c r="AB398" s="9">
        <v>0.85</v>
      </c>
      <c r="AC398" s="9">
        <v>0.97</v>
      </c>
      <c r="AD398" s="9">
        <v>1.05</v>
      </c>
      <c r="AE398" s="9">
        <v>1.02</v>
      </c>
      <c r="AF398" s="9">
        <v>1.77</v>
      </c>
      <c r="AH398" s="9" t="s">
        <v>173</v>
      </c>
      <c r="AI398" s="10" t="s">
        <v>174</v>
      </c>
      <c r="AJ398" s="9">
        <v>6.33</v>
      </c>
      <c r="AK398" s="9">
        <v>6.79</v>
      </c>
      <c r="AL398" s="9">
        <v>3</v>
      </c>
      <c r="AM398" s="9">
        <v>6.91</v>
      </c>
      <c r="AN398" s="9">
        <v>1.79</v>
      </c>
      <c r="AO398" s="9">
        <v>7.25</v>
      </c>
      <c r="AP398" s="9">
        <v>5.33</v>
      </c>
      <c r="AR398" s="9" t="s">
        <v>175</v>
      </c>
      <c r="AS398" s="10" t="s">
        <v>176</v>
      </c>
      <c r="AT398" s="9">
        <v>3.35</v>
      </c>
      <c r="AU398" s="9">
        <v>1.05</v>
      </c>
      <c r="AV398" s="9">
        <v>2.85</v>
      </c>
      <c r="AW398" s="9">
        <v>2</v>
      </c>
      <c r="AX398" s="14"/>
    </row>
    <row r="399" spans="1:50" ht="24" customHeight="1" thickTop="1" thickBot="1" x14ac:dyDescent="0.35">
      <c r="A399" s="63"/>
      <c r="B399" s="76"/>
      <c r="C399" s="25"/>
      <c r="D399" s="86"/>
      <c r="E399" s="36" t="s">
        <v>152</v>
      </c>
      <c r="F399" s="36">
        <v>2</v>
      </c>
      <c r="G399" s="86"/>
      <c r="H399" s="36" t="s">
        <v>200</v>
      </c>
      <c r="I399" s="36">
        <v>1</v>
      </c>
      <c r="J399" s="39"/>
      <c r="K399" s="39"/>
      <c r="L399" s="39"/>
      <c r="M399" s="18"/>
      <c r="O399" s="1">
        <v>4</v>
      </c>
      <c r="P399" s="1">
        <v>0</v>
      </c>
      <c r="Q399" s="1">
        <v>2</v>
      </c>
      <c r="R399" s="1">
        <v>1</v>
      </c>
      <c r="S399" s="14"/>
      <c r="U399" s="9" t="s">
        <v>179</v>
      </c>
      <c r="V399" s="10" t="s">
        <v>180</v>
      </c>
      <c r="W399" s="9">
        <v>8.2899999999999991</v>
      </c>
      <c r="X399" s="9">
        <v>0.65</v>
      </c>
      <c r="Y399" s="9">
        <v>1.07</v>
      </c>
      <c r="Z399" s="9">
        <v>0.59</v>
      </c>
      <c r="AA399" s="9">
        <v>2.5</v>
      </c>
      <c r="AB399" s="9">
        <v>0.89</v>
      </c>
      <c r="AC399" s="9">
        <v>0.93</v>
      </c>
      <c r="AD399" s="9">
        <v>1.19</v>
      </c>
      <c r="AE399" s="9">
        <v>1.25</v>
      </c>
      <c r="AF399" s="9">
        <v>2.39</v>
      </c>
      <c r="AH399" s="11" t="s">
        <v>181</v>
      </c>
      <c r="AI399" s="12" t="s">
        <v>182</v>
      </c>
      <c r="AJ399" s="11">
        <v>6.85</v>
      </c>
      <c r="AK399" s="11">
        <v>7.35</v>
      </c>
      <c r="AL399" s="11">
        <v>3</v>
      </c>
      <c r="AM399" s="11">
        <v>7.57</v>
      </c>
      <c r="AN399" s="11">
        <v>2.29</v>
      </c>
      <c r="AO399" s="11">
        <v>8.57</v>
      </c>
      <c r="AP399" s="11">
        <v>5.85</v>
      </c>
      <c r="AR399" s="11" t="s">
        <v>183</v>
      </c>
      <c r="AS399" s="12" t="s">
        <v>184</v>
      </c>
      <c r="AT399" s="11">
        <v>2.5299999999999998</v>
      </c>
      <c r="AU399" s="11">
        <v>1.1200000000000001</v>
      </c>
      <c r="AV399" s="11">
        <v>2.25</v>
      </c>
      <c r="AW399" s="11">
        <v>2</v>
      </c>
      <c r="AX399" s="14"/>
    </row>
    <row r="400" spans="1:50" ht="23.5" customHeight="1" thickTop="1" thickBot="1" x14ac:dyDescent="0.35">
      <c r="A400" s="63"/>
      <c r="B400" s="76"/>
      <c r="C400" s="25"/>
      <c r="D400" s="86"/>
      <c r="E400" s="36" t="s">
        <v>153</v>
      </c>
      <c r="F400" s="36">
        <v>2</v>
      </c>
      <c r="G400" s="86"/>
      <c r="H400" s="36" t="s">
        <v>201</v>
      </c>
      <c r="I400" s="36">
        <v>1</v>
      </c>
      <c r="J400" s="25"/>
      <c r="K400" s="25"/>
      <c r="L400" s="25"/>
      <c r="M400" s="18"/>
      <c r="O400" s="1">
        <v>5</v>
      </c>
      <c r="P400" s="1">
        <v>1</v>
      </c>
      <c r="Q400" s="1">
        <v>1</v>
      </c>
      <c r="R400" s="1">
        <v>1</v>
      </c>
      <c r="S400" s="14"/>
      <c r="U400" s="11" t="s">
        <v>187</v>
      </c>
      <c r="V400" s="12" t="s">
        <v>188</v>
      </c>
      <c r="W400" s="11">
        <v>9.16</v>
      </c>
      <c r="X400" s="11">
        <v>0.9</v>
      </c>
      <c r="Y400" s="11">
        <v>1.25</v>
      </c>
      <c r="Z400" s="11">
        <v>0.75</v>
      </c>
      <c r="AA400" s="11">
        <v>2.77</v>
      </c>
      <c r="AB400" s="11">
        <v>0.82</v>
      </c>
      <c r="AC400" s="11">
        <v>0.91</v>
      </c>
      <c r="AD400" s="11">
        <v>1.2</v>
      </c>
      <c r="AE400" s="11">
        <v>1.35</v>
      </c>
      <c r="AF400" s="11">
        <v>1.54</v>
      </c>
      <c r="AX400" s="14"/>
    </row>
    <row r="401" spans="1:50" ht="23.5" customHeight="1" thickTop="1" thickBot="1" x14ac:dyDescent="0.35">
      <c r="A401" s="63"/>
      <c r="B401" s="76"/>
      <c r="C401" s="25"/>
      <c r="D401" s="86"/>
      <c r="E401" s="1" t="s">
        <v>156</v>
      </c>
      <c r="F401" s="36">
        <v>1</v>
      </c>
      <c r="G401" s="87"/>
      <c r="H401" s="38" t="s">
        <v>164</v>
      </c>
      <c r="I401" s="38">
        <v>1</v>
      </c>
      <c r="J401" s="36"/>
      <c r="K401" s="25"/>
      <c r="L401" s="25"/>
      <c r="M401" s="18"/>
      <c r="O401" s="1">
        <v>6</v>
      </c>
      <c r="P401" s="1">
        <v>2</v>
      </c>
      <c r="Q401" s="1">
        <v>1</v>
      </c>
      <c r="R401" s="1">
        <v>1</v>
      </c>
      <c r="S401" s="14"/>
      <c r="U401" s="9"/>
      <c r="V401" s="10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X401" s="14"/>
    </row>
    <row r="402" spans="1:50" ht="23.5" customHeight="1" thickTop="1" thickBot="1" x14ac:dyDescent="0.35">
      <c r="A402" s="63"/>
      <c r="B402" s="76"/>
      <c r="C402" s="25"/>
      <c r="D402" s="87"/>
      <c r="E402" s="38" t="s">
        <v>197</v>
      </c>
      <c r="F402" s="38">
        <v>1</v>
      </c>
      <c r="G402" s="39"/>
      <c r="H402" s="39"/>
      <c r="I402" s="39"/>
      <c r="J402" s="36"/>
      <c r="K402" s="36"/>
      <c r="L402" s="25"/>
      <c r="M402" s="18"/>
      <c r="O402" s="1">
        <v>7</v>
      </c>
      <c r="P402" s="1">
        <v>1</v>
      </c>
      <c r="Q402" s="1">
        <v>1</v>
      </c>
      <c r="R402" s="1">
        <v>1</v>
      </c>
      <c r="S402" s="14"/>
      <c r="U402" s="9"/>
      <c r="V402" s="1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X402" s="14"/>
    </row>
    <row r="403" spans="1:50" ht="23.5" customHeight="1" thickTop="1" thickBot="1" x14ac:dyDescent="0.35">
      <c r="A403" s="63"/>
      <c r="B403" s="76"/>
      <c r="C403" s="25"/>
      <c r="D403" s="39"/>
      <c r="E403" s="39"/>
      <c r="F403" s="39"/>
      <c r="G403" s="25"/>
      <c r="H403" s="25"/>
      <c r="I403" s="25"/>
      <c r="J403" s="25"/>
      <c r="K403" s="25"/>
      <c r="L403" s="25"/>
      <c r="M403" s="18"/>
      <c r="O403" s="4">
        <v>8</v>
      </c>
      <c r="P403" s="4">
        <v>2</v>
      </c>
      <c r="Q403" s="4">
        <v>0</v>
      </c>
      <c r="R403" s="4">
        <v>2</v>
      </c>
      <c r="S403" s="14"/>
      <c r="AX403" s="14"/>
    </row>
    <row r="404" spans="1:50" ht="23.5" customHeight="1" thickTop="1" thickBot="1" x14ac:dyDescent="0.35">
      <c r="A404" s="64"/>
      <c r="B404" s="81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19"/>
      <c r="N404" s="15"/>
      <c r="O404" s="15"/>
      <c r="P404" s="15"/>
      <c r="Q404" s="15"/>
      <c r="R404" s="15"/>
      <c r="S404" s="16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6"/>
    </row>
    <row r="405" spans="1:50" ht="15" customHeight="1" thickTop="1" thickBot="1" x14ac:dyDescent="0.35">
      <c r="A405" s="90">
        <v>5</v>
      </c>
      <c r="B405" s="89" t="s">
        <v>98</v>
      </c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17"/>
      <c r="N405" s="24"/>
      <c r="O405" s="24"/>
      <c r="P405" s="24"/>
      <c r="Q405" s="24"/>
      <c r="R405" s="24"/>
      <c r="S405" s="1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17"/>
    </row>
    <row r="406" spans="1:50" ht="31" customHeight="1" thickTop="1" thickBot="1" x14ac:dyDescent="0.35">
      <c r="A406" s="63"/>
      <c r="B406" s="76"/>
      <c r="C406" s="24"/>
      <c r="D406" s="27" t="s">
        <v>191</v>
      </c>
      <c r="E406" s="27" t="s">
        <v>192</v>
      </c>
      <c r="F406" s="27" t="s">
        <v>193</v>
      </c>
      <c r="G406" s="27" t="s">
        <v>191</v>
      </c>
      <c r="H406" s="27" t="s">
        <v>192</v>
      </c>
      <c r="I406" s="27" t="s">
        <v>193</v>
      </c>
      <c r="J406" s="27" t="s">
        <v>191</v>
      </c>
      <c r="K406" s="27" t="s">
        <v>192</v>
      </c>
      <c r="L406" s="27" t="s">
        <v>193</v>
      </c>
      <c r="M406" s="17"/>
      <c r="N406" s="24"/>
      <c r="O406" s="82" t="s">
        <v>205</v>
      </c>
      <c r="P406" s="82" t="s">
        <v>206</v>
      </c>
      <c r="Q406" s="83"/>
      <c r="R406" s="83"/>
      <c r="S406" s="1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17"/>
    </row>
    <row r="407" spans="1:50" ht="23.5" customHeight="1" thickTop="1" thickBot="1" x14ac:dyDescent="0.35">
      <c r="A407" s="63"/>
      <c r="B407" s="76"/>
      <c r="C407" s="33"/>
      <c r="D407" s="88" t="s">
        <v>194</v>
      </c>
      <c r="E407" s="36" t="s">
        <v>148</v>
      </c>
      <c r="F407" s="36">
        <v>5</v>
      </c>
      <c r="G407" s="85" t="s">
        <v>198</v>
      </c>
      <c r="H407" s="36" t="s">
        <v>158</v>
      </c>
      <c r="I407" s="36">
        <v>2</v>
      </c>
      <c r="J407" s="85" t="s">
        <v>202</v>
      </c>
      <c r="K407" s="36" t="s">
        <v>203</v>
      </c>
      <c r="L407" s="36">
        <v>2</v>
      </c>
      <c r="M407" s="18"/>
      <c r="N407" s="13"/>
      <c r="O407" s="84"/>
      <c r="P407" s="2" t="s">
        <v>178</v>
      </c>
      <c r="Q407" s="2" t="s">
        <v>186</v>
      </c>
      <c r="R407" s="2" t="s">
        <v>190</v>
      </c>
      <c r="S407" s="14"/>
      <c r="T407" s="13"/>
      <c r="AX407" s="14"/>
    </row>
    <row r="408" spans="1:50" ht="23" customHeight="1" thickBot="1" x14ac:dyDescent="0.35">
      <c r="A408" s="63"/>
      <c r="B408" s="76"/>
      <c r="C408" s="25"/>
      <c r="D408" s="86"/>
      <c r="E408" s="36" t="s">
        <v>195</v>
      </c>
      <c r="F408" s="36">
        <v>2</v>
      </c>
      <c r="G408" s="86"/>
      <c r="H408" s="36" t="s">
        <v>159</v>
      </c>
      <c r="I408" s="36">
        <v>1</v>
      </c>
      <c r="J408" s="86"/>
      <c r="K408" s="36" t="s">
        <v>166</v>
      </c>
      <c r="L408" s="36">
        <v>2</v>
      </c>
      <c r="M408" s="18"/>
      <c r="O408" s="1">
        <v>1</v>
      </c>
      <c r="P408" s="1">
        <v>1</v>
      </c>
      <c r="Q408" s="1">
        <v>0</v>
      </c>
      <c r="R408" s="1">
        <v>2</v>
      </c>
      <c r="S408" s="14"/>
      <c r="Z408" s="23" t="s">
        <v>194</v>
      </c>
      <c r="AK408" s="23" t="s">
        <v>198</v>
      </c>
      <c r="AT408" s="23" t="s">
        <v>202</v>
      </c>
      <c r="AX408" s="14"/>
    </row>
    <row r="409" spans="1:50" ht="25" customHeight="1" thickTop="1" thickBot="1" x14ac:dyDescent="0.35">
      <c r="A409" s="63"/>
      <c r="B409" s="76"/>
      <c r="C409" s="25"/>
      <c r="D409" s="86"/>
      <c r="E409" s="36" t="s">
        <v>196</v>
      </c>
      <c r="F409" s="36">
        <v>2</v>
      </c>
      <c r="G409" s="86"/>
      <c r="H409" s="36" t="s">
        <v>160</v>
      </c>
      <c r="I409" s="36">
        <v>1</v>
      </c>
      <c r="J409" s="86"/>
      <c r="K409" s="36" t="s">
        <v>167</v>
      </c>
      <c r="L409" s="36">
        <v>1</v>
      </c>
      <c r="M409" s="18"/>
      <c r="O409" s="1">
        <v>2</v>
      </c>
      <c r="P409" s="1">
        <v>2</v>
      </c>
      <c r="Q409" s="1">
        <v>1</v>
      </c>
      <c r="R409" s="1">
        <v>1</v>
      </c>
      <c r="S409" s="14"/>
      <c r="U409" s="7" t="s">
        <v>146</v>
      </c>
      <c r="V409" s="7" t="s">
        <v>147</v>
      </c>
      <c r="W409" s="7" t="s">
        <v>148</v>
      </c>
      <c r="X409" s="7" t="s">
        <v>149</v>
      </c>
      <c r="Y409" s="7" t="s">
        <v>150</v>
      </c>
      <c r="Z409" s="8" t="s">
        <v>151</v>
      </c>
      <c r="AA409" s="7" t="s">
        <v>152</v>
      </c>
      <c r="AB409" s="7" t="s">
        <v>153</v>
      </c>
      <c r="AC409" s="7" t="s">
        <v>154</v>
      </c>
      <c r="AD409" s="7" t="s">
        <v>155</v>
      </c>
      <c r="AE409" s="8" t="s">
        <v>156</v>
      </c>
      <c r="AF409" s="7" t="s">
        <v>157</v>
      </c>
      <c r="AH409" s="7" t="s">
        <v>146</v>
      </c>
      <c r="AI409" s="7" t="s">
        <v>147</v>
      </c>
      <c r="AJ409" s="7" t="s">
        <v>158</v>
      </c>
      <c r="AK409" s="7" t="s">
        <v>159</v>
      </c>
      <c r="AL409" s="7" t="s">
        <v>160</v>
      </c>
      <c r="AM409" s="7" t="s">
        <v>161</v>
      </c>
      <c r="AN409" s="7" t="s">
        <v>162</v>
      </c>
      <c r="AO409" s="7" t="s">
        <v>163</v>
      </c>
      <c r="AP409" s="7" t="s">
        <v>164</v>
      </c>
      <c r="AR409" s="7" t="s">
        <v>146</v>
      </c>
      <c r="AS409" s="7" t="s">
        <v>147</v>
      </c>
      <c r="AT409" s="7" t="s">
        <v>165</v>
      </c>
      <c r="AU409" s="7" t="s">
        <v>166</v>
      </c>
      <c r="AV409" s="7" t="s">
        <v>167</v>
      </c>
      <c r="AW409" s="7" t="s">
        <v>168</v>
      </c>
      <c r="AX409" s="14"/>
    </row>
    <row r="410" spans="1:50" ht="24" customHeight="1" thickTop="1" thickBot="1" x14ac:dyDescent="0.35">
      <c r="A410" s="63"/>
      <c r="B410" s="76"/>
      <c r="C410" s="25"/>
      <c r="D410" s="86"/>
      <c r="E410" s="1" t="s">
        <v>151</v>
      </c>
      <c r="F410" s="36">
        <v>1</v>
      </c>
      <c r="G410" s="86"/>
      <c r="H410" s="36" t="s">
        <v>199</v>
      </c>
      <c r="I410" s="36">
        <v>2</v>
      </c>
      <c r="J410" s="87"/>
      <c r="K410" s="38" t="s">
        <v>168</v>
      </c>
      <c r="L410" s="38">
        <v>1</v>
      </c>
      <c r="M410" s="18"/>
      <c r="O410" s="1">
        <v>3</v>
      </c>
      <c r="P410" s="1">
        <v>0</v>
      </c>
      <c r="Q410" s="1">
        <v>1</v>
      </c>
      <c r="R410" s="1">
        <v>1</v>
      </c>
      <c r="S410" s="14"/>
      <c r="U410" s="9" t="s">
        <v>171</v>
      </c>
      <c r="V410" s="10" t="s">
        <v>172</v>
      </c>
      <c r="W410" s="9">
        <v>7.07</v>
      </c>
      <c r="X410" s="9">
        <v>0.81</v>
      </c>
      <c r="Y410" s="9">
        <v>1.18</v>
      </c>
      <c r="Z410" s="9">
        <v>0.63</v>
      </c>
      <c r="AA410" s="9">
        <v>2.5</v>
      </c>
      <c r="AB410" s="9">
        <v>0.84</v>
      </c>
      <c r="AC410" s="9">
        <v>0.94</v>
      </c>
      <c r="AD410" s="9">
        <v>1.1200000000000001</v>
      </c>
      <c r="AE410" s="9">
        <v>1.17</v>
      </c>
      <c r="AF410" s="9">
        <v>2.0099999999999998</v>
      </c>
      <c r="AH410" s="9" t="s">
        <v>173</v>
      </c>
      <c r="AI410" s="10" t="s">
        <v>174</v>
      </c>
      <c r="AJ410" s="9">
        <v>6.13</v>
      </c>
      <c r="AK410" s="9">
        <v>6.51</v>
      </c>
      <c r="AL410" s="9">
        <v>3</v>
      </c>
      <c r="AM410" s="9">
        <v>6.09</v>
      </c>
      <c r="AN410" s="9">
        <v>1.51</v>
      </c>
      <c r="AO410" s="9">
        <v>7.06</v>
      </c>
      <c r="AP410" s="9">
        <v>5.03</v>
      </c>
      <c r="AR410" s="9" t="s">
        <v>175</v>
      </c>
      <c r="AS410" s="10" t="s">
        <v>176</v>
      </c>
      <c r="AT410" s="9">
        <v>2.75</v>
      </c>
      <c r="AU410" s="9">
        <v>1.08</v>
      </c>
      <c r="AV410" s="9">
        <v>2.4</v>
      </c>
      <c r="AW410" s="9">
        <v>2</v>
      </c>
      <c r="AX410" s="14"/>
    </row>
    <row r="411" spans="1:50" ht="24" customHeight="1" thickTop="1" thickBot="1" x14ac:dyDescent="0.35">
      <c r="A411" s="63"/>
      <c r="B411" s="76"/>
      <c r="C411" s="25"/>
      <c r="D411" s="86"/>
      <c r="E411" s="36" t="s">
        <v>152</v>
      </c>
      <c r="F411" s="36">
        <v>1</v>
      </c>
      <c r="G411" s="86"/>
      <c r="H411" s="36" t="s">
        <v>200</v>
      </c>
      <c r="I411" s="36">
        <v>1</v>
      </c>
      <c r="J411" s="39"/>
      <c r="K411" s="39"/>
      <c r="L411" s="39"/>
      <c r="M411" s="18"/>
      <c r="O411" s="1">
        <v>4</v>
      </c>
      <c r="P411" s="1">
        <v>1</v>
      </c>
      <c r="Q411" s="1">
        <v>0</v>
      </c>
      <c r="R411" s="1">
        <v>1</v>
      </c>
      <c r="S411" s="14"/>
      <c r="U411" s="9" t="s">
        <v>179</v>
      </c>
      <c r="V411" s="10" t="s">
        <v>180</v>
      </c>
      <c r="W411" s="9">
        <v>8.68</v>
      </c>
      <c r="X411" s="9">
        <v>0.72</v>
      </c>
      <c r="Y411" s="9">
        <v>1.04</v>
      </c>
      <c r="Z411" s="9">
        <v>0.75</v>
      </c>
      <c r="AA411" s="9">
        <v>2.9</v>
      </c>
      <c r="AB411" s="9">
        <v>0.8</v>
      </c>
      <c r="AC411" s="9">
        <v>0.98</v>
      </c>
      <c r="AD411" s="9">
        <v>1.03</v>
      </c>
      <c r="AE411" s="9">
        <v>1.3</v>
      </c>
      <c r="AF411" s="9">
        <v>1.62</v>
      </c>
      <c r="AH411" s="11" t="s">
        <v>181</v>
      </c>
      <c r="AI411" s="12" t="s">
        <v>182</v>
      </c>
      <c r="AJ411" s="11">
        <v>6.98</v>
      </c>
      <c r="AK411" s="11">
        <v>7.49</v>
      </c>
      <c r="AL411" s="11">
        <v>3</v>
      </c>
      <c r="AM411" s="11">
        <v>7.97</v>
      </c>
      <c r="AN411" s="11">
        <v>2.4900000000000002</v>
      </c>
      <c r="AO411" s="11">
        <v>8.9499999999999993</v>
      </c>
      <c r="AP411" s="11">
        <v>5.98</v>
      </c>
      <c r="AR411" s="11" t="s">
        <v>183</v>
      </c>
      <c r="AS411" s="12" t="s">
        <v>184</v>
      </c>
      <c r="AT411" s="11">
        <v>3.2</v>
      </c>
      <c r="AU411" s="11">
        <v>1.1499999999999999</v>
      </c>
      <c r="AV411" s="11">
        <v>2.65</v>
      </c>
      <c r="AW411" s="11">
        <v>2</v>
      </c>
      <c r="AX411" s="14"/>
    </row>
    <row r="412" spans="1:50" ht="23.5" customHeight="1" thickTop="1" thickBot="1" x14ac:dyDescent="0.35">
      <c r="A412" s="63"/>
      <c r="B412" s="76"/>
      <c r="C412" s="25"/>
      <c r="D412" s="86"/>
      <c r="E412" s="36" t="s">
        <v>153</v>
      </c>
      <c r="F412" s="36">
        <v>1</v>
      </c>
      <c r="G412" s="86"/>
      <c r="H412" s="36" t="s">
        <v>201</v>
      </c>
      <c r="I412" s="36">
        <v>1</v>
      </c>
      <c r="J412" s="25"/>
      <c r="K412" s="25"/>
      <c r="L412" s="25"/>
      <c r="M412" s="18"/>
      <c r="O412" s="1">
        <v>5</v>
      </c>
      <c r="P412" s="1">
        <v>1</v>
      </c>
      <c r="Q412" s="1">
        <v>1</v>
      </c>
      <c r="R412" s="1">
        <v>0</v>
      </c>
      <c r="S412" s="14"/>
      <c r="U412" s="11" t="s">
        <v>187</v>
      </c>
      <c r="V412" s="12" t="s">
        <v>188</v>
      </c>
      <c r="W412" s="11">
        <v>9.2100000000000009</v>
      </c>
      <c r="X412" s="11">
        <v>0.68</v>
      </c>
      <c r="Y412" s="11">
        <v>1.23</v>
      </c>
      <c r="Z412" s="11">
        <v>0.61</v>
      </c>
      <c r="AA412" s="11">
        <v>2.65</v>
      </c>
      <c r="AB412" s="11">
        <v>0.88</v>
      </c>
      <c r="AC412" s="11">
        <v>0.95</v>
      </c>
      <c r="AD412" s="11">
        <v>1.2</v>
      </c>
      <c r="AE412" s="11">
        <v>1.4</v>
      </c>
      <c r="AF412" s="11">
        <v>2.48</v>
      </c>
      <c r="AX412" s="14"/>
    </row>
    <row r="413" spans="1:50" ht="23.5" customHeight="1" thickTop="1" thickBot="1" x14ac:dyDescent="0.35">
      <c r="A413" s="63"/>
      <c r="B413" s="76"/>
      <c r="C413" s="25"/>
      <c r="D413" s="86"/>
      <c r="E413" s="1" t="s">
        <v>156</v>
      </c>
      <c r="F413" s="36">
        <v>1</v>
      </c>
      <c r="G413" s="87"/>
      <c r="H413" s="38" t="s">
        <v>164</v>
      </c>
      <c r="I413" s="38">
        <v>1</v>
      </c>
      <c r="J413" s="36"/>
      <c r="K413" s="25"/>
      <c r="L413" s="25"/>
      <c r="M413" s="18"/>
      <c r="O413" s="4">
        <v>6</v>
      </c>
      <c r="P413" s="4">
        <v>0</v>
      </c>
      <c r="Q413" s="4">
        <v>1</v>
      </c>
      <c r="R413" s="4">
        <v>1</v>
      </c>
      <c r="S413" s="14"/>
      <c r="U413" s="9"/>
      <c r="V413" s="10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X413" s="14"/>
    </row>
    <row r="414" spans="1:50" ht="23.5" customHeight="1" thickTop="1" thickBot="1" x14ac:dyDescent="0.35">
      <c r="A414" s="63"/>
      <c r="B414" s="76"/>
      <c r="C414" s="25"/>
      <c r="D414" s="87"/>
      <c r="E414" s="38" t="s">
        <v>197</v>
      </c>
      <c r="F414" s="38">
        <v>1</v>
      </c>
      <c r="G414" s="39"/>
      <c r="H414" s="39"/>
      <c r="I414" s="39"/>
      <c r="J414" s="36"/>
      <c r="K414" s="36"/>
      <c r="L414" s="25"/>
      <c r="M414" s="18"/>
      <c r="O414" s="1"/>
      <c r="P414" s="1"/>
      <c r="Q414" s="1"/>
      <c r="R414" s="1"/>
      <c r="S414" s="14"/>
      <c r="U414" s="9"/>
      <c r="V414" s="10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X414" s="14"/>
    </row>
    <row r="415" spans="1:50" ht="23" customHeight="1" thickTop="1" x14ac:dyDescent="0.3">
      <c r="A415" s="63"/>
      <c r="B415" s="76"/>
      <c r="C415" s="25"/>
      <c r="D415" s="39"/>
      <c r="E415" s="39"/>
      <c r="F415" s="39"/>
      <c r="G415" s="25"/>
      <c r="H415" s="25"/>
      <c r="I415" s="25"/>
      <c r="J415" s="25"/>
      <c r="K415" s="25"/>
      <c r="L415" s="25"/>
      <c r="M415" s="18"/>
      <c r="S415" s="14"/>
      <c r="AX415" s="14"/>
    </row>
    <row r="416" spans="1:50" ht="23" customHeight="1" thickBot="1" x14ac:dyDescent="0.35">
      <c r="A416" s="63"/>
      <c r="B416" s="81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19"/>
      <c r="N416" s="15"/>
      <c r="O416" s="15"/>
      <c r="P416" s="15"/>
      <c r="Q416" s="15"/>
      <c r="R416" s="15"/>
      <c r="S416" s="16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6"/>
    </row>
    <row r="417" spans="1:50" ht="15" customHeight="1" thickTop="1" thickBot="1" x14ac:dyDescent="0.35">
      <c r="A417" s="63"/>
      <c r="B417" s="89" t="s">
        <v>99</v>
      </c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17"/>
      <c r="N417" s="24"/>
      <c r="O417" s="24"/>
      <c r="P417" s="24"/>
      <c r="Q417" s="24"/>
      <c r="R417" s="24"/>
      <c r="S417" s="1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17"/>
    </row>
    <row r="418" spans="1:50" ht="31" customHeight="1" thickTop="1" thickBot="1" x14ac:dyDescent="0.35">
      <c r="A418" s="63"/>
      <c r="B418" s="76"/>
      <c r="C418" s="24"/>
      <c r="D418" s="27" t="s">
        <v>191</v>
      </c>
      <c r="E418" s="27" t="s">
        <v>192</v>
      </c>
      <c r="F418" s="27" t="s">
        <v>193</v>
      </c>
      <c r="G418" s="27" t="s">
        <v>191</v>
      </c>
      <c r="H418" s="27" t="s">
        <v>192</v>
      </c>
      <c r="I418" s="27" t="s">
        <v>193</v>
      </c>
      <c r="J418" s="27" t="s">
        <v>191</v>
      </c>
      <c r="K418" s="27" t="s">
        <v>192</v>
      </c>
      <c r="L418" s="27" t="s">
        <v>193</v>
      </c>
      <c r="M418" s="17"/>
      <c r="N418" s="24"/>
      <c r="O418" s="82" t="s">
        <v>205</v>
      </c>
      <c r="P418" s="82" t="s">
        <v>206</v>
      </c>
      <c r="Q418" s="83"/>
      <c r="R418" s="83"/>
      <c r="S418" s="1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17"/>
    </row>
    <row r="419" spans="1:50" ht="23.5" customHeight="1" thickTop="1" thickBot="1" x14ac:dyDescent="0.35">
      <c r="A419" s="63"/>
      <c r="B419" s="76"/>
      <c r="C419" s="33"/>
      <c r="D419" s="88" t="s">
        <v>194</v>
      </c>
      <c r="E419" s="36" t="s">
        <v>148</v>
      </c>
      <c r="F419" s="36">
        <v>5</v>
      </c>
      <c r="G419" s="85" t="s">
        <v>198</v>
      </c>
      <c r="H419" s="36" t="s">
        <v>158</v>
      </c>
      <c r="I419" s="36">
        <v>2</v>
      </c>
      <c r="J419" s="85" t="s">
        <v>202</v>
      </c>
      <c r="K419" s="36" t="s">
        <v>203</v>
      </c>
      <c r="L419" s="36">
        <v>2</v>
      </c>
      <c r="M419" s="18"/>
      <c r="N419" s="13"/>
      <c r="O419" s="84"/>
      <c r="P419" s="2" t="s">
        <v>178</v>
      </c>
      <c r="Q419" s="2" t="s">
        <v>186</v>
      </c>
      <c r="R419" s="2" t="s">
        <v>190</v>
      </c>
      <c r="S419" s="14"/>
      <c r="T419" s="13"/>
      <c r="AX419" s="14"/>
    </row>
    <row r="420" spans="1:50" ht="23" customHeight="1" thickBot="1" x14ac:dyDescent="0.35">
      <c r="A420" s="63"/>
      <c r="B420" s="76"/>
      <c r="C420" s="25"/>
      <c r="D420" s="86"/>
      <c r="E420" s="36" t="s">
        <v>195</v>
      </c>
      <c r="F420" s="36">
        <v>2</v>
      </c>
      <c r="G420" s="86"/>
      <c r="H420" s="36" t="s">
        <v>159</v>
      </c>
      <c r="I420" s="36">
        <v>1</v>
      </c>
      <c r="J420" s="86"/>
      <c r="K420" s="36" t="s">
        <v>166</v>
      </c>
      <c r="L420" s="36">
        <v>2</v>
      </c>
      <c r="M420" s="18"/>
      <c r="O420" s="1">
        <v>1</v>
      </c>
      <c r="P420" s="1">
        <v>0</v>
      </c>
      <c r="Q420" s="1">
        <v>1</v>
      </c>
      <c r="R420" s="1">
        <v>0</v>
      </c>
      <c r="S420" s="14"/>
      <c r="Z420" s="23" t="s">
        <v>194</v>
      </c>
      <c r="AK420" s="23" t="s">
        <v>198</v>
      </c>
      <c r="AT420" s="23" t="s">
        <v>202</v>
      </c>
      <c r="AX420" s="14"/>
    </row>
    <row r="421" spans="1:50" ht="25" customHeight="1" thickTop="1" thickBot="1" x14ac:dyDescent="0.35">
      <c r="A421" s="63"/>
      <c r="B421" s="76"/>
      <c r="C421" s="25"/>
      <c r="D421" s="86"/>
      <c r="E421" s="36" t="s">
        <v>196</v>
      </c>
      <c r="F421" s="36">
        <v>2</v>
      </c>
      <c r="G421" s="86"/>
      <c r="H421" s="36" t="s">
        <v>159</v>
      </c>
      <c r="I421" s="36">
        <v>1</v>
      </c>
      <c r="J421" s="86"/>
      <c r="K421" s="36" t="s">
        <v>167</v>
      </c>
      <c r="L421" s="36">
        <v>1</v>
      </c>
      <c r="M421" s="18"/>
      <c r="O421" s="1">
        <v>2</v>
      </c>
      <c r="P421" s="1">
        <v>1</v>
      </c>
      <c r="Q421" s="1">
        <v>2</v>
      </c>
      <c r="R421" s="1">
        <v>1</v>
      </c>
      <c r="S421" s="14"/>
      <c r="U421" s="7" t="s">
        <v>146</v>
      </c>
      <c r="V421" s="7" t="s">
        <v>147</v>
      </c>
      <c r="W421" s="7" t="s">
        <v>148</v>
      </c>
      <c r="X421" s="7" t="s">
        <v>149</v>
      </c>
      <c r="Y421" s="7" t="s">
        <v>150</v>
      </c>
      <c r="Z421" s="8" t="s">
        <v>151</v>
      </c>
      <c r="AA421" s="7" t="s">
        <v>152</v>
      </c>
      <c r="AB421" s="7" t="s">
        <v>153</v>
      </c>
      <c r="AC421" s="7" t="s">
        <v>154</v>
      </c>
      <c r="AD421" s="7" t="s">
        <v>155</v>
      </c>
      <c r="AE421" s="8" t="s">
        <v>156</v>
      </c>
      <c r="AF421" s="7" t="s">
        <v>157</v>
      </c>
      <c r="AH421" s="7" t="s">
        <v>146</v>
      </c>
      <c r="AI421" s="7" t="s">
        <v>147</v>
      </c>
      <c r="AJ421" s="7" t="s">
        <v>158</v>
      </c>
      <c r="AK421" s="7" t="s">
        <v>159</v>
      </c>
      <c r="AL421" s="7" t="s">
        <v>160</v>
      </c>
      <c r="AM421" s="7" t="s">
        <v>161</v>
      </c>
      <c r="AN421" s="7" t="s">
        <v>162</v>
      </c>
      <c r="AO421" s="7" t="s">
        <v>163</v>
      </c>
      <c r="AP421" s="7" t="s">
        <v>164</v>
      </c>
      <c r="AR421" s="7" t="s">
        <v>146</v>
      </c>
      <c r="AS421" s="7" t="s">
        <v>147</v>
      </c>
      <c r="AT421" s="7" t="s">
        <v>165</v>
      </c>
      <c r="AU421" s="7" t="s">
        <v>166</v>
      </c>
      <c r="AV421" s="7" t="s">
        <v>167</v>
      </c>
      <c r="AW421" s="7" t="s">
        <v>168</v>
      </c>
      <c r="AX421" s="14"/>
    </row>
    <row r="422" spans="1:50" ht="24" customHeight="1" thickTop="1" thickBot="1" x14ac:dyDescent="0.35">
      <c r="A422" s="63"/>
      <c r="B422" s="76"/>
      <c r="C422" s="25"/>
      <c r="D422" s="86"/>
      <c r="E422" s="1" t="s">
        <v>151</v>
      </c>
      <c r="F422" s="36">
        <v>1</v>
      </c>
      <c r="G422" s="86"/>
      <c r="H422" s="36" t="s">
        <v>199</v>
      </c>
      <c r="I422" s="36">
        <v>2</v>
      </c>
      <c r="J422" s="87"/>
      <c r="K422" s="38" t="s">
        <v>168</v>
      </c>
      <c r="L422" s="38">
        <v>1</v>
      </c>
      <c r="M422" s="18"/>
      <c r="O422" s="1">
        <v>3</v>
      </c>
      <c r="P422" s="1">
        <v>0</v>
      </c>
      <c r="Q422" s="1">
        <v>1</v>
      </c>
      <c r="R422" s="1">
        <v>1</v>
      </c>
      <c r="S422" s="14"/>
      <c r="U422" s="9" t="s">
        <v>171</v>
      </c>
      <c r="V422" s="10" t="s">
        <v>172</v>
      </c>
      <c r="W422" s="9">
        <v>7.55</v>
      </c>
      <c r="X422" s="9">
        <v>0.79</v>
      </c>
      <c r="Y422" s="9">
        <v>1.1100000000000001</v>
      </c>
      <c r="Z422" s="9">
        <v>0.61</v>
      </c>
      <c r="AA422" s="9">
        <v>2.74</v>
      </c>
      <c r="AB422" s="9">
        <v>0.87</v>
      </c>
      <c r="AC422" s="9">
        <v>0.99</v>
      </c>
      <c r="AD422" s="9">
        <v>1.1499999999999999</v>
      </c>
      <c r="AE422" s="9">
        <v>1.08</v>
      </c>
      <c r="AF422" s="9">
        <v>1.88</v>
      </c>
      <c r="AH422" s="9" t="s">
        <v>173</v>
      </c>
      <c r="AI422" s="10" t="s">
        <v>174</v>
      </c>
      <c r="AJ422" s="9">
        <v>6.6</v>
      </c>
      <c r="AK422" s="9">
        <v>6.86</v>
      </c>
      <c r="AL422" s="9">
        <v>3</v>
      </c>
      <c r="AM422" s="9">
        <v>6.48</v>
      </c>
      <c r="AN422" s="9">
        <v>1.86</v>
      </c>
      <c r="AO422" s="9">
        <v>7.69</v>
      </c>
      <c r="AP422" s="9">
        <v>5.47</v>
      </c>
      <c r="AR422" s="9" t="s">
        <v>175</v>
      </c>
      <c r="AS422" s="10" t="s">
        <v>176</v>
      </c>
      <c r="AT422" s="9">
        <v>2.92</v>
      </c>
      <c r="AU422" s="9">
        <v>1.2</v>
      </c>
      <c r="AV422" s="9">
        <v>2.1800000000000002</v>
      </c>
      <c r="AW422" s="9">
        <v>2</v>
      </c>
      <c r="AX422" s="14"/>
    </row>
    <row r="423" spans="1:50" ht="24" customHeight="1" thickTop="1" thickBot="1" x14ac:dyDescent="0.35">
      <c r="A423" s="63"/>
      <c r="B423" s="76"/>
      <c r="C423" s="25"/>
      <c r="D423" s="86"/>
      <c r="E423" s="36" t="s">
        <v>152</v>
      </c>
      <c r="F423" s="36">
        <v>1</v>
      </c>
      <c r="G423" s="86"/>
      <c r="H423" s="36" t="s">
        <v>200</v>
      </c>
      <c r="I423" s="36">
        <v>1</v>
      </c>
      <c r="J423" s="39"/>
      <c r="K423" s="39"/>
      <c r="L423" s="39"/>
      <c r="M423" s="18"/>
      <c r="O423" s="1">
        <v>4</v>
      </c>
      <c r="P423" s="1">
        <v>2</v>
      </c>
      <c r="Q423" s="1">
        <v>0</v>
      </c>
      <c r="R423" s="1">
        <v>0</v>
      </c>
      <c r="S423" s="14"/>
      <c r="U423" s="9" t="s">
        <v>179</v>
      </c>
      <c r="V423" s="10" t="s">
        <v>180</v>
      </c>
      <c r="W423" s="9">
        <v>8.3800000000000008</v>
      </c>
      <c r="X423" s="9">
        <v>0.65</v>
      </c>
      <c r="Y423" s="9">
        <v>1.02</v>
      </c>
      <c r="Z423" s="9">
        <v>0.67</v>
      </c>
      <c r="AA423" s="9">
        <v>2.5</v>
      </c>
      <c r="AB423" s="9">
        <v>0.83</v>
      </c>
      <c r="AC423" s="9">
        <v>0.92</v>
      </c>
      <c r="AD423" s="9">
        <v>1</v>
      </c>
      <c r="AE423" s="9">
        <v>1.22</v>
      </c>
      <c r="AF423" s="9">
        <v>2.21</v>
      </c>
      <c r="AH423" s="11" t="s">
        <v>181</v>
      </c>
      <c r="AI423" s="12" t="s">
        <v>182</v>
      </c>
      <c r="AJ423" s="11">
        <v>6.75</v>
      </c>
      <c r="AK423" s="11">
        <v>7.24</v>
      </c>
      <c r="AL423" s="11">
        <v>3</v>
      </c>
      <c r="AM423" s="11">
        <v>7.28</v>
      </c>
      <c r="AN423" s="11">
        <v>2.1800000000000002</v>
      </c>
      <c r="AO423" s="11">
        <v>8.2799999999999994</v>
      </c>
      <c r="AP423" s="11">
        <v>5.65</v>
      </c>
      <c r="AR423" s="11" t="s">
        <v>183</v>
      </c>
      <c r="AS423" s="12" t="s">
        <v>184</v>
      </c>
      <c r="AT423" s="11">
        <v>3.47</v>
      </c>
      <c r="AU423" s="11">
        <v>1.02</v>
      </c>
      <c r="AV423" s="11">
        <v>2.75</v>
      </c>
      <c r="AW423" s="11">
        <v>2</v>
      </c>
      <c r="AX423" s="14"/>
    </row>
    <row r="424" spans="1:50" ht="23.5" customHeight="1" thickTop="1" thickBot="1" x14ac:dyDescent="0.35">
      <c r="A424" s="63"/>
      <c r="B424" s="76"/>
      <c r="C424" s="25"/>
      <c r="D424" s="86"/>
      <c r="E424" s="36" t="s">
        <v>153</v>
      </c>
      <c r="F424" s="36">
        <v>1</v>
      </c>
      <c r="G424" s="86"/>
      <c r="H424" s="36" t="s">
        <v>201</v>
      </c>
      <c r="I424" s="36">
        <v>1</v>
      </c>
      <c r="J424" s="25"/>
      <c r="K424" s="25"/>
      <c r="L424" s="25"/>
      <c r="M424" s="18"/>
      <c r="O424" s="1">
        <v>5</v>
      </c>
      <c r="P424" s="1">
        <v>0</v>
      </c>
      <c r="Q424" s="1">
        <v>1</v>
      </c>
      <c r="R424" s="1">
        <v>1</v>
      </c>
      <c r="S424" s="14"/>
      <c r="U424" s="11" t="s">
        <v>187</v>
      </c>
      <c r="V424" s="12" t="s">
        <v>188</v>
      </c>
      <c r="W424" s="11">
        <v>9.09</v>
      </c>
      <c r="X424" s="11">
        <v>0.85</v>
      </c>
      <c r="Y424" s="11">
        <v>1.25</v>
      </c>
      <c r="Z424" s="11">
        <v>0.56999999999999995</v>
      </c>
      <c r="AA424" s="11">
        <v>2.82</v>
      </c>
      <c r="AB424" s="11">
        <v>0.81</v>
      </c>
      <c r="AC424" s="11">
        <v>0.93</v>
      </c>
      <c r="AD424" s="11">
        <v>1.1499999999999999</v>
      </c>
      <c r="AE424" s="11">
        <v>1.35</v>
      </c>
      <c r="AF424" s="11">
        <v>1.7</v>
      </c>
      <c r="AX424" s="14"/>
    </row>
    <row r="425" spans="1:50" ht="23.5" customHeight="1" thickTop="1" thickBot="1" x14ac:dyDescent="0.35">
      <c r="A425" s="63"/>
      <c r="B425" s="76"/>
      <c r="C425" s="25"/>
      <c r="D425" s="86"/>
      <c r="E425" s="1" t="s">
        <v>156</v>
      </c>
      <c r="F425" s="36">
        <v>1</v>
      </c>
      <c r="G425" s="87"/>
      <c r="H425" s="38" t="s">
        <v>164</v>
      </c>
      <c r="I425" s="38">
        <v>1</v>
      </c>
      <c r="J425" s="36"/>
      <c r="K425" s="25"/>
      <c r="L425" s="25"/>
      <c r="M425" s="18"/>
      <c r="O425" s="4">
        <v>6</v>
      </c>
      <c r="P425" s="4">
        <v>2</v>
      </c>
      <c r="Q425" s="4">
        <v>2</v>
      </c>
      <c r="R425" s="4">
        <v>2</v>
      </c>
      <c r="S425" s="14"/>
      <c r="U425" s="9"/>
      <c r="V425" s="10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X425" s="14"/>
    </row>
    <row r="426" spans="1:50" ht="23.5" customHeight="1" thickTop="1" thickBot="1" x14ac:dyDescent="0.35">
      <c r="A426" s="63"/>
      <c r="B426" s="76"/>
      <c r="C426" s="25"/>
      <c r="D426" s="87"/>
      <c r="E426" s="38" t="s">
        <v>197</v>
      </c>
      <c r="F426" s="38">
        <v>1</v>
      </c>
      <c r="G426" s="39"/>
      <c r="H426" s="39"/>
      <c r="I426" s="39"/>
      <c r="J426" s="36"/>
      <c r="K426" s="36"/>
      <c r="L426" s="25"/>
      <c r="M426" s="18"/>
      <c r="O426" s="1"/>
      <c r="P426" s="1"/>
      <c r="Q426" s="1"/>
      <c r="R426" s="1"/>
      <c r="S426" s="14"/>
      <c r="U426" s="9"/>
      <c r="V426" s="10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X426" s="14"/>
    </row>
    <row r="427" spans="1:50" ht="23" customHeight="1" thickTop="1" x14ac:dyDescent="0.3">
      <c r="A427" s="63"/>
      <c r="B427" s="76"/>
      <c r="C427" s="25"/>
      <c r="D427" s="39"/>
      <c r="E427" s="39"/>
      <c r="F427" s="39"/>
      <c r="G427" s="25"/>
      <c r="H427" s="25"/>
      <c r="I427" s="25"/>
      <c r="J427" s="25"/>
      <c r="K427" s="25"/>
      <c r="L427" s="25"/>
      <c r="M427" s="18"/>
      <c r="O427" s="1"/>
      <c r="P427" s="1"/>
      <c r="Q427" s="1"/>
      <c r="R427" s="1"/>
      <c r="S427" s="14"/>
      <c r="AX427" s="14"/>
    </row>
    <row r="428" spans="1:50" ht="23" customHeight="1" thickBot="1" x14ac:dyDescent="0.35">
      <c r="A428" s="63"/>
      <c r="B428" s="81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19"/>
      <c r="N428" s="15"/>
      <c r="O428" s="15"/>
      <c r="P428" s="15"/>
      <c r="Q428" s="15"/>
      <c r="R428" s="15"/>
      <c r="S428" s="16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6"/>
    </row>
    <row r="429" spans="1:50" ht="15" customHeight="1" thickTop="1" thickBot="1" x14ac:dyDescent="0.35">
      <c r="A429" s="63"/>
      <c r="B429" s="89" t="s">
        <v>100</v>
      </c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17"/>
      <c r="N429" s="24"/>
      <c r="O429" s="24"/>
      <c r="P429" s="24"/>
      <c r="Q429" s="24"/>
      <c r="R429" s="24"/>
      <c r="S429" s="1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17"/>
    </row>
    <row r="430" spans="1:50" ht="31" customHeight="1" thickTop="1" thickBot="1" x14ac:dyDescent="0.35">
      <c r="A430" s="63"/>
      <c r="B430" s="76"/>
      <c r="C430" s="24"/>
      <c r="D430" s="27" t="s">
        <v>191</v>
      </c>
      <c r="E430" s="27" t="s">
        <v>192</v>
      </c>
      <c r="F430" s="27" t="s">
        <v>193</v>
      </c>
      <c r="G430" s="27" t="s">
        <v>191</v>
      </c>
      <c r="H430" s="27" t="s">
        <v>192</v>
      </c>
      <c r="I430" s="27" t="s">
        <v>193</v>
      </c>
      <c r="J430" s="27" t="s">
        <v>191</v>
      </c>
      <c r="K430" s="27" t="s">
        <v>192</v>
      </c>
      <c r="L430" s="27" t="s">
        <v>193</v>
      </c>
      <c r="M430" s="17"/>
      <c r="N430" s="24"/>
      <c r="O430" s="82" t="s">
        <v>205</v>
      </c>
      <c r="P430" s="82" t="s">
        <v>206</v>
      </c>
      <c r="Q430" s="83"/>
      <c r="R430" s="83"/>
      <c r="S430" s="1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17"/>
    </row>
    <row r="431" spans="1:50" ht="23.5" customHeight="1" thickTop="1" thickBot="1" x14ac:dyDescent="0.35">
      <c r="A431" s="63"/>
      <c r="B431" s="76"/>
      <c r="C431" s="33"/>
      <c r="D431" s="88" t="s">
        <v>194</v>
      </c>
      <c r="E431" s="36" t="s">
        <v>148</v>
      </c>
      <c r="F431" s="36">
        <v>5</v>
      </c>
      <c r="G431" s="85" t="s">
        <v>198</v>
      </c>
      <c r="H431" s="36" t="s">
        <v>158</v>
      </c>
      <c r="I431" s="36">
        <v>2</v>
      </c>
      <c r="J431" s="85" t="s">
        <v>202</v>
      </c>
      <c r="K431" s="36" t="s">
        <v>203</v>
      </c>
      <c r="L431" s="36">
        <v>2</v>
      </c>
      <c r="M431" s="18"/>
      <c r="N431" s="13"/>
      <c r="O431" s="84"/>
      <c r="P431" s="2" t="s">
        <v>178</v>
      </c>
      <c r="Q431" s="2" t="s">
        <v>186</v>
      </c>
      <c r="R431" s="2" t="s">
        <v>190</v>
      </c>
      <c r="S431" s="14"/>
      <c r="T431" s="13"/>
      <c r="AX431" s="14"/>
    </row>
    <row r="432" spans="1:50" ht="23" customHeight="1" thickBot="1" x14ac:dyDescent="0.35">
      <c r="A432" s="63"/>
      <c r="B432" s="76"/>
      <c r="C432" s="25"/>
      <c r="D432" s="86"/>
      <c r="E432" s="36" t="s">
        <v>195</v>
      </c>
      <c r="F432" s="36">
        <v>2</v>
      </c>
      <c r="G432" s="86"/>
      <c r="H432" s="36" t="s">
        <v>159</v>
      </c>
      <c r="I432" s="36">
        <v>1</v>
      </c>
      <c r="J432" s="86"/>
      <c r="K432" s="36" t="s">
        <v>166</v>
      </c>
      <c r="L432" s="36">
        <v>2</v>
      </c>
      <c r="M432" s="18"/>
      <c r="O432" s="1">
        <v>1</v>
      </c>
      <c r="P432" s="1">
        <v>3</v>
      </c>
      <c r="Q432" s="1">
        <v>1</v>
      </c>
      <c r="R432" s="1">
        <v>0</v>
      </c>
      <c r="S432" s="14"/>
      <c r="Z432" s="23" t="s">
        <v>194</v>
      </c>
      <c r="AK432" s="23" t="s">
        <v>198</v>
      </c>
      <c r="AT432" s="23" t="s">
        <v>202</v>
      </c>
      <c r="AX432" s="14"/>
    </row>
    <row r="433" spans="1:50" ht="25" customHeight="1" thickTop="1" thickBot="1" x14ac:dyDescent="0.35">
      <c r="A433" s="63"/>
      <c r="B433" s="76"/>
      <c r="C433" s="25"/>
      <c r="D433" s="86"/>
      <c r="E433" s="36" t="s">
        <v>196</v>
      </c>
      <c r="F433" s="36">
        <v>2</v>
      </c>
      <c r="G433" s="86"/>
      <c r="H433" s="36" t="s">
        <v>160</v>
      </c>
      <c r="I433" s="36">
        <v>1</v>
      </c>
      <c r="J433" s="86"/>
      <c r="K433" s="36" t="s">
        <v>167</v>
      </c>
      <c r="L433" s="36">
        <v>1</v>
      </c>
      <c r="M433" s="18"/>
      <c r="O433" s="1">
        <v>2</v>
      </c>
      <c r="P433" s="1">
        <v>1</v>
      </c>
      <c r="Q433" s="1">
        <v>2</v>
      </c>
      <c r="R433" s="1">
        <v>0</v>
      </c>
      <c r="S433" s="14"/>
      <c r="U433" s="7" t="s">
        <v>146</v>
      </c>
      <c r="V433" s="7" t="s">
        <v>147</v>
      </c>
      <c r="W433" s="7" t="s">
        <v>148</v>
      </c>
      <c r="X433" s="7" t="s">
        <v>149</v>
      </c>
      <c r="Y433" s="7" t="s">
        <v>150</v>
      </c>
      <c r="Z433" s="8" t="s">
        <v>151</v>
      </c>
      <c r="AA433" s="7" t="s">
        <v>152</v>
      </c>
      <c r="AB433" s="7" t="s">
        <v>153</v>
      </c>
      <c r="AC433" s="7" t="s">
        <v>154</v>
      </c>
      <c r="AD433" s="7" t="s">
        <v>155</v>
      </c>
      <c r="AE433" s="8" t="s">
        <v>156</v>
      </c>
      <c r="AF433" s="7" t="s">
        <v>157</v>
      </c>
      <c r="AH433" s="7" t="s">
        <v>146</v>
      </c>
      <c r="AI433" s="7" t="s">
        <v>147</v>
      </c>
      <c r="AJ433" s="7" t="s">
        <v>158</v>
      </c>
      <c r="AK433" s="7" t="s">
        <v>159</v>
      </c>
      <c r="AL433" s="7" t="s">
        <v>160</v>
      </c>
      <c r="AM433" s="7" t="s">
        <v>161</v>
      </c>
      <c r="AN433" s="7" t="s">
        <v>162</v>
      </c>
      <c r="AO433" s="7" t="s">
        <v>163</v>
      </c>
      <c r="AP433" s="7" t="s">
        <v>164</v>
      </c>
      <c r="AR433" s="7" t="s">
        <v>146</v>
      </c>
      <c r="AS433" s="7" t="s">
        <v>147</v>
      </c>
      <c r="AT433" s="7" t="s">
        <v>165</v>
      </c>
      <c r="AU433" s="7" t="s">
        <v>166</v>
      </c>
      <c r="AV433" s="7" t="s">
        <v>167</v>
      </c>
      <c r="AW433" s="7" t="s">
        <v>168</v>
      </c>
      <c r="AX433" s="14"/>
    </row>
    <row r="434" spans="1:50" ht="24" customHeight="1" thickTop="1" thickBot="1" x14ac:dyDescent="0.35">
      <c r="A434" s="63"/>
      <c r="B434" s="76"/>
      <c r="C434" s="25"/>
      <c r="D434" s="86"/>
      <c r="E434" s="1" t="s">
        <v>151</v>
      </c>
      <c r="F434" s="36">
        <v>2</v>
      </c>
      <c r="G434" s="86"/>
      <c r="H434" s="36" t="s">
        <v>199</v>
      </c>
      <c r="I434" s="36">
        <v>2</v>
      </c>
      <c r="J434" s="87"/>
      <c r="K434" s="38" t="s">
        <v>168</v>
      </c>
      <c r="L434" s="38">
        <v>1</v>
      </c>
      <c r="M434" s="18"/>
      <c r="O434" s="1">
        <v>3</v>
      </c>
      <c r="P434" s="1">
        <v>1</v>
      </c>
      <c r="Q434" s="1">
        <v>1</v>
      </c>
      <c r="R434" s="1">
        <v>1</v>
      </c>
      <c r="S434" s="14"/>
      <c r="U434" s="9" t="s">
        <v>171</v>
      </c>
      <c r="V434" s="10" t="s">
        <v>172</v>
      </c>
      <c r="W434" s="9">
        <v>7.71</v>
      </c>
      <c r="X434" s="9">
        <v>0.76</v>
      </c>
      <c r="Y434" s="9">
        <v>1.19</v>
      </c>
      <c r="Z434" s="9">
        <v>0.72</v>
      </c>
      <c r="AA434" s="9">
        <v>2.5</v>
      </c>
      <c r="AB434" s="9">
        <v>0.85</v>
      </c>
      <c r="AC434" s="9">
        <v>0.91</v>
      </c>
      <c r="AD434" s="9">
        <v>1.2</v>
      </c>
      <c r="AE434" s="9">
        <v>1.1299999999999999</v>
      </c>
      <c r="AF434" s="9">
        <v>2.34</v>
      </c>
      <c r="AH434" s="9" t="s">
        <v>173</v>
      </c>
      <c r="AI434" s="10" t="s">
        <v>174</v>
      </c>
      <c r="AJ434" s="9">
        <v>6.2</v>
      </c>
      <c r="AK434" s="9">
        <v>6.69</v>
      </c>
      <c r="AL434" s="9">
        <v>3</v>
      </c>
      <c r="AM434" s="9">
        <v>6.95</v>
      </c>
      <c r="AN434" s="9">
        <v>1.69</v>
      </c>
      <c r="AO434" s="9">
        <v>7.38</v>
      </c>
      <c r="AP434" s="9">
        <v>5.2</v>
      </c>
      <c r="AR434" s="9" t="s">
        <v>175</v>
      </c>
      <c r="AS434" s="10" t="s">
        <v>176</v>
      </c>
      <c r="AT434" s="9">
        <v>2.61</v>
      </c>
      <c r="AU434" s="9">
        <v>1.17</v>
      </c>
      <c r="AV434" s="9">
        <v>2.95</v>
      </c>
      <c r="AW434" s="9">
        <v>2</v>
      </c>
      <c r="AX434" s="14"/>
    </row>
    <row r="435" spans="1:50" ht="24" customHeight="1" thickTop="1" thickBot="1" x14ac:dyDescent="0.35">
      <c r="A435" s="63"/>
      <c r="B435" s="76"/>
      <c r="C435" s="25"/>
      <c r="D435" s="86"/>
      <c r="E435" s="36" t="s">
        <v>152</v>
      </c>
      <c r="F435" s="36">
        <v>1</v>
      </c>
      <c r="G435" s="86"/>
      <c r="H435" s="36" t="s">
        <v>200</v>
      </c>
      <c r="I435" s="36">
        <v>1</v>
      </c>
      <c r="J435" s="39"/>
      <c r="K435" s="39"/>
      <c r="L435" s="39"/>
      <c r="M435" s="18"/>
      <c r="O435" s="1">
        <v>4</v>
      </c>
      <c r="P435" s="1">
        <v>1</v>
      </c>
      <c r="Q435" s="1">
        <v>0</v>
      </c>
      <c r="R435" s="1">
        <v>0</v>
      </c>
      <c r="S435" s="14"/>
      <c r="U435" s="9" t="s">
        <v>179</v>
      </c>
      <c r="V435" s="10" t="s">
        <v>180</v>
      </c>
      <c r="W435" s="9">
        <v>8.16</v>
      </c>
      <c r="X435" s="9">
        <v>0.83</v>
      </c>
      <c r="Y435" s="9">
        <v>1.01</v>
      </c>
      <c r="Z435" s="9">
        <v>0.57999999999999996</v>
      </c>
      <c r="AA435" s="9">
        <v>2.68</v>
      </c>
      <c r="AB435" s="9">
        <v>0.89</v>
      </c>
      <c r="AC435" s="9">
        <v>0.97</v>
      </c>
      <c r="AD435" s="9">
        <v>1.07</v>
      </c>
      <c r="AE435" s="9">
        <v>1.28</v>
      </c>
      <c r="AF435" s="9">
        <v>1.65</v>
      </c>
      <c r="AH435" s="11" t="s">
        <v>181</v>
      </c>
      <c r="AI435" s="12" t="s">
        <v>182</v>
      </c>
      <c r="AJ435" s="11">
        <v>6.89</v>
      </c>
      <c r="AK435" s="11">
        <v>7.37</v>
      </c>
      <c r="AL435" s="11">
        <v>3</v>
      </c>
      <c r="AM435" s="11">
        <v>7.79</v>
      </c>
      <c r="AN435" s="11">
        <v>2.39</v>
      </c>
      <c r="AO435" s="11">
        <v>8.77</v>
      </c>
      <c r="AP435" s="11">
        <v>5.79</v>
      </c>
      <c r="AR435" s="11" t="s">
        <v>183</v>
      </c>
      <c r="AS435" s="12" t="s">
        <v>184</v>
      </c>
      <c r="AT435" s="11">
        <v>3.12</v>
      </c>
      <c r="AU435" s="11">
        <v>1.07</v>
      </c>
      <c r="AV435" s="11">
        <v>2.35</v>
      </c>
      <c r="AW435" s="11">
        <v>2</v>
      </c>
      <c r="AX435" s="14"/>
    </row>
    <row r="436" spans="1:50" ht="23.5" customHeight="1" thickTop="1" thickBot="1" x14ac:dyDescent="0.35">
      <c r="A436" s="63"/>
      <c r="B436" s="76"/>
      <c r="C436" s="25"/>
      <c r="D436" s="86"/>
      <c r="E436" s="36" t="s">
        <v>153</v>
      </c>
      <c r="F436" s="36">
        <v>1</v>
      </c>
      <c r="G436" s="86"/>
      <c r="H436" s="36" t="s">
        <v>201</v>
      </c>
      <c r="I436" s="36">
        <v>1</v>
      </c>
      <c r="J436" s="25"/>
      <c r="K436" s="25"/>
      <c r="L436" s="25"/>
      <c r="M436" s="18"/>
      <c r="O436" s="1">
        <v>5</v>
      </c>
      <c r="P436" s="1">
        <v>0</v>
      </c>
      <c r="Q436" s="1">
        <v>1</v>
      </c>
      <c r="R436" s="1">
        <v>1</v>
      </c>
      <c r="S436" s="14"/>
      <c r="U436" s="11" t="s">
        <v>187</v>
      </c>
      <c r="V436" s="12" t="s">
        <v>188</v>
      </c>
      <c r="W436" s="11">
        <v>9.14</v>
      </c>
      <c r="X436" s="11">
        <v>0.65</v>
      </c>
      <c r="Y436" s="11">
        <v>1.2</v>
      </c>
      <c r="Z436" s="11">
        <v>0.75</v>
      </c>
      <c r="AA436" s="11">
        <v>2.95</v>
      </c>
      <c r="AB436" s="11">
        <v>0.82</v>
      </c>
      <c r="AC436" s="11">
        <v>0.98</v>
      </c>
      <c r="AD436" s="11">
        <v>1.2</v>
      </c>
      <c r="AE436" s="11">
        <v>1.32</v>
      </c>
      <c r="AF436" s="11">
        <v>2.5</v>
      </c>
      <c r="AX436" s="14"/>
    </row>
    <row r="437" spans="1:50" ht="23.5" customHeight="1" thickTop="1" thickBot="1" x14ac:dyDescent="0.35">
      <c r="A437" s="63"/>
      <c r="B437" s="76"/>
      <c r="C437" s="25"/>
      <c r="D437" s="86"/>
      <c r="E437" s="1" t="s">
        <v>156</v>
      </c>
      <c r="F437" s="36">
        <v>1</v>
      </c>
      <c r="G437" s="87"/>
      <c r="H437" s="38" t="s">
        <v>164</v>
      </c>
      <c r="I437" s="38">
        <v>1</v>
      </c>
      <c r="J437" s="36"/>
      <c r="K437" s="25"/>
      <c r="L437" s="25"/>
      <c r="M437" s="18"/>
      <c r="O437" s="4">
        <v>6</v>
      </c>
      <c r="P437" s="4">
        <v>1</v>
      </c>
      <c r="Q437" s="4">
        <v>1</v>
      </c>
      <c r="R437" s="4">
        <v>2</v>
      </c>
      <c r="S437" s="14"/>
      <c r="U437" s="9"/>
      <c r="V437" s="10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X437" s="14"/>
    </row>
    <row r="438" spans="1:50" ht="23.5" customHeight="1" thickTop="1" thickBot="1" x14ac:dyDescent="0.35">
      <c r="A438" s="63"/>
      <c r="B438" s="76"/>
      <c r="C438" s="25"/>
      <c r="D438" s="87"/>
      <c r="E438" s="38" t="s">
        <v>197</v>
      </c>
      <c r="F438" s="38">
        <v>1</v>
      </c>
      <c r="G438" s="39"/>
      <c r="H438" s="39"/>
      <c r="I438" s="39"/>
      <c r="J438" s="36"/>
      <c r="K438" s="36"/>
      <c r="L438" s="25"/>
      <c r="M438" s="18"/>
      <c r="O438" s="1"/>
      <c r="P438" s="1"/>
      <c r="Q438" s="1"/>
      <c r="R438" s="1"/>
      <c r="S438" s="14"/>
      <c r="U438" s="9"/>
      <c r="V438" s="10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X438" s="14"/>
    </row>
    <row r="439" spans="1:50" ht="23" customHeight="1" thickTop="1" x14ac:dyDescent="0.3">
      <c r="A439" s="63"/>
      <c r="B439" s="76"/>
      <c r="C439" s="25"/>
      <c r="D439" s="39"/>
      <c r="E439" s="39"/>
      <c r="F439" s="39"/>
      <c r="G439" s="25"/>
      <c r="H439" s="25"/>
      <c r="I439" s="25"/>
      <c r="J439" s="25"/>
      <c r="K439" s="25"/>
      <c r="L439" s="25"/>
      <c r="M439" s="18"/>
      <c r="O439" s="1"/>
      <c r="P439" s="1"/>
      <c r="Q439" s="1"/>
      <c r="R439" s="1"/>
      <c r="S439" s="14"/>
      <c r="AX439" s="14"/>
    </row>
    <row r="440" spans="1:50" ht="23" customHeight="1" thickBot="1" x14ac:dyDescent="0.35">
      <c r="A440" s="63"/>
      <c r="B440" s="81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19"/>
      <c r="N440" s="15"/>
      <c r="O440" s="15"/>
      <c r="P440" s="15"/>
      <c r="Q440" s="15"/>
      <c r="R440" s="15"/>
      <c r="S440" s="16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6"/>
    </row>
    <row r="441" spans="1:50" ht="15" customHeight="1" thickTop="1" thickBot="1" x14ac:dyDescent="0.35">
      <c r="A441" s="63"/>
      <c r="B441" s="89" t="s">
        <v>101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17"/>
      <c r="N441" s="24"/>
      <c r="O441" s="24"/>
      <c r="P441" s="24"/>
      <c r="Q441" s="24"/>
      <c r="R441" s="24"/>
      <c r="S441" s="1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17"/>
    </row>
    <row r="442" spans="1:50" ht="31" customHeight="1" thickTop="1" thickBot="1" x14ac:dyDescent="0.35">
      <c r="A442" s="63"/>
      <c r="B442" s="76"/>
      <c r="C442" s="24"/>
      <c r="D442" s="27" t="s">
        <v>191</v>
      </c>
      <c r="E442" s="27" t="s">
        <v>192</v>
      </c>
      <c r="F442" s="27" t="s">
        <v>193</v>
      </c>
      <c r="G442" s="27" t="s">
        <v>191</v>
      </c>
      <c r="H442" s="27" t="s">
        <v>192</v>
      </c>
      <c r="I442" s="27" t="s">
        <v>193</v>
      </c>
      <c r="J442" s="27" t="s">
        <v>191</v>
      </c>
      <c r="K442" s="27" t="s">
        <v>192</v>
      </c>
      <c r="L442" s="27" t="s">
        <v>193</v>
      </c>
      <c r="M442" s="17"/>
      <c r="N442" s="24"/>
      <c r="O442" s="82" t="s">
        <v>205</v>
      </c>
      <c r="P442" s="82" t="s">
        <v>206</v>
      </c>
      <c r="Q442" s="83"/>
      <c r="R442" s="83"/>
      <c r="S442" s="1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17"/>
    </row>
    <row r="443" spans="1:50" ht="23.5" customHeight="1" thickTop="1" thickBot="1" x14ac:dyDescent="0.35">
      <c r="A443" s="63"/>
      <c r="B443" s="76"/>
      <c r="C443" s="33"/>
      <c r="D443" s="88" t="s">
        <v>194</v>
      </c>
      <c r="E443" s="36" t="s">
        <v>148</v>
      </c>
      <c r="F443" s="36">
        <v>5</v>
      </c>
      <c r="G443" s="85" t="s">
        <v>198</v>
      </c>
      <c r="H443" s="36" t="s">
        <v>158</v>
      </c>
      <c r="I443" s="36">
        <v>2</v>
      </c>
      <c r="J443" s="85" t="s">
        <v>202</v>
      </c>
      <c r="K443" s="36" t="s">
        <v>203</v>
      </c>
      <c r="L443" s="36">
        <v>2</v>
      </c>
      <c r="M443" s="18"/>
      <c r="N443" s="13"/>
      <c r="O443" s="84"/>
      <c r="P443" s="2" t="s">
        <v>178</v>
      </c>
      <c r="Q443" s="2" t="s">
        <v>186</v>
      </c>
      <c r="R443" s="2" t="s">
        <v>190</v>
      </c>
      <c r="S443" s="14"/>
      <c r="T443" s="13"/>
      <c r="AX443" s="14"/>
    </row>
    <row r="444" spans="1:50" ht="23" customHeight="1" thickBot="1" x14ac:dyDescent="0.35">
      <c r="A444" s="63"/>
      <c r="B444" s="76"/>
      <c r="C444" s="25"/>
      <c r="D444" s="86"/>
      <c r="E444" s="36" t="s">
        <v>195</v>
      </c>
      <c r="F444" s="36">
        <v>2</v>
      </c>
      <c r="G444" s="86"/>
      <c r="H444" s="36" t="s">
        <v>159</v>
      </c>
      <c r="I444" s="36">
        <v>1</v>
      </c>
      <c r="J444" s="86"/>
      <c r="K444" s="36" t="s">
        <v>166</v>
      </c>
      <c r="L444" s="36">
        <v>2</v>
      </c>
      <c r="M444" s="18"/>
      <c r="O444" s="1">
        <v>1</v>
      </c>
      <c r="P444" s="1">
        <v>1</v>
      </c>
      <c r="Q444" s="1">
        <v>0</v>
      </c>
      <c r="R444" s="1">
        <v>2</v>
      </c>
      <c r="S444" s="14"/>
      <c r="Z444" s="23" t="s">
        <v>194</v>
      </c>
      <c r="AK444" s="23" t="s">
        <v>198</v>
      </c>
      <c r="AT444" s="23" t="s">
        <v>202</v>
      </c>
      <c r="AX444" s="14"/>
    </row>
    <row r="445" spans="1:50" ht="25" customHeight="1" thickTop="1" thickBot="1" x14ac:dyDescent="0.35">
      <c r="A445" s="63"/>
      <c r="B445" s="76"/>
      <c r="C445" s="25"/>
      <c r="D445" s="86"/>
      <c r="E445" s="36" t="s">
        <v>196</v>
      </c>
      <c r="F445" s="36">
        <v>2</v>
      </c>
      <c r="G445" s="86"/>
      <c r="H445" s="36" t="s">
        <v>160</v>
      </c>
      <c r="I445" s="36">
        <v>1</v>
      </c>
      <c r="J445" s="86"/>
      <c r="K445" s="36" t="s">
        <v>167</v>
      </c>
      <c r="L445" s="36">
        <v>1</v>
      </c>
      <c r="M445" s="18"/>
      <c r="O445" s="1">
        <v>2</v>
      </c>
      <c r="P445" s="1">
        <v>2</v>
      </c>
      <c r="Q445" s="1">
        <v>1</v>
      </c>
      <c r="R445" s="1">
        <v>1</v>
      </c>
      <c r="S445" s="14"/>
      <c r="U445" s="7" t="s">
        <v>146</v>
      </c>
      <c r="V445" s="7" t="s">
        <v>147</v>
      </c>
      <c r="W445" s="7" t="s">
        <v>148</v>
      </c>
      <c r="X445" s="7" t="s">
        <v>149</v>
      </c>
      <c r="Y445" s="7" t="s">
        <v>150</v>
      </c>
      <c r="Z445" s="8" t="s">
        <v>151</v>
      </c>
      <c r="AA445" s="7" t="s">
        <v>152</v>
      </c>
      <c r="AB445" s="7" t="s">
        <v>153</v>
      </c>
      <c r="AC445" s="7" t="s">
        <v>154</v>
      </c>
      <c r="AD445" s="7" t="s">
        <v>155</v>
      </c>
      <c r="AE445" s="8" t="s">
        <v>156</v>
      </c>
      <c r="AF445" s="7" t="s">
        <v>157</v>
      </c>
      <c r="AH445" s="7" t="s">
        <v>146</v>
      </c>
      <c r="AI445" s="7" t="s">
        <v>147</v>
      </c>
      <c r="AJ445" s="7" t="s">
        <v>158</v>
      </c>
      <c r="AK445" s="7" t="s">
        <v>159</v>
      </c>
      <c r="AL445" s="7" t="s">
        <v>160</v>
      </c>
      <c r="AM445" s="7" t="s">
        <v>161</v>
      </c>
      <c r="AN445" s="7" t="s">
        <v>162</v>
      </c>
      <c r="AO445" s="7" t="s">
        <v>163</v>
      </c>
      <c r="AP445" s="7" t="s">
        <v>164</v>
      </c>
      <c r="AR445" s="7" t="s">
        <v>146</v>
      </c>
      <c r="AS445" s="7" t="s">
        <v>147</v>
      </c>
      <c r="AT445" s="7" t="s">
        <v>165</v>
      </c>
      <c r="AU445" s="7" t="s">
        <v>166</v>
      </c>
      <c r="AV445" s="7" t="s">
        <v>167</v>
      </c>
      <c r="AW445" s="7" t="s">
        <v>168</v>
      </c>
      <c r="AX445" s="14"/>
    </row>
    <row r="446" spans="1:50" ht="24" customHeight="1" thickTop="1" thickBot="1" x14ac:dyDescent="0.35">
      <c r="A446" s="63"/>
      <c r="B446" s="76"/>
      <c r="C446" s="25"/>
      <c r="D446" s="86"/>
      <c r="E446" s="1" t="s">
        <v>151</v>
      </c>
      <c r="F446" s="36">
        <v>2</v>
      </c>
      <c r="G446" s="86"/>
      <c r="H446" s="36" t="s">
        <v>199</v>
      </c>
      <c r="I446" s="36">
        <v>2</v>
      </c>
      <c r="J446" s="87"/>
      <c r="K446" s="38" t="s">
        <v>168</v>
      </c>
      <c r="L446" s="38">
        <v>1</v>
      </c>
      <c r="M446" s="18"/>
      <c r="O446" s="1">
        <v>3</v>
      </c>
      <c r="P446" s="1">
        <v>2</v>
      </c>
      <c r="Q446" s="1">
        <v>1</v>
      </c>
      <c r="R446" s="1">
        <v>1</v>
      </c>
      <c r="S446" s="14"/>
      <c r="U446" s="9" t="s">
        <v>171</v>
      </c>
      <c r="V446" s="10" t="s">
        <v>172</v>
      </c>
      <c r="W446" s="9">
        <v>7.29</v>
      </c>
      <c r="X446" s="9">
        <v>0.82</v>
      </c>
      <c r="Y446" s="9">
        <v>1.1399999999999999</v>
      </c>
      <c r="Z446" s="9">
        <v>0.65</v>
      </c>
      <c r="AA446" s="9">
        <v>2.5</v>
      </c>
      <c r="AB446" s="9">
        <v>0.8</v>
      </c>
      <c r="AC446" s="9">
        <v>0.96</v>
      </c>
      <c r="AD446" s="9">
        <v>1.1000000000000001</v>
      </c>
      <c r="AE446" s="9">
        <v>1.05</v>
      </c>
      <c r="AF446" s="9">
        <v>1.56</v>
      </c>
      <c r="AH446" s="9" t="s">
        <v>173</v>
      </c>
      <c r="AI446" s="10" t="s">
        <v>174</v>
      </c>
      <c r="AJ446" s="9">
        <v>6.44</v>
      </c>
      <c r="AK446" s="9">
        <v>6.73</v>
      </c>
      <c r="AL446" s="9">
        <v>3</v>
      </c>
      <c r="AM446" s="9">
        <v>6.37</v>
      </c>
      <c r="AN446" s="9">
        <v>1.94</v>
      </c>
      <c r="AO446" s="9">
        <v>7.57</v>
      </c>
      <c r="AP446" s="9">
        <v>5.34</v>
      </c>
      <c r="AR446" s="9" t="s">
        <v>175</v>
      </c>
      <c r="AS446" s="10" t="s">
        <v>176</v>
      </c>
      <c r="AT446" s="9">
        <v>3.3</v>
      </c>
      <c r="AU446" s="9">
        <v>1.1100000000000001</v>
      </c>
      <c r="AV446" s="9">
        <v>2.5499999999999998</v>
      </c>
      <c r="AW446" s="9">
        <v>2</v>
      </c>
      <c r="AX446" s="14"/>
    </row>
    <row r="447" spans="1:50" ht="24" customHeight="1" thickTop="1" thickBot="1" x14ac:dyDescent="0.35">
      <c r="A447" s="63"/>
      <c r="B447" s="76"/>
      <c r="C447" s="25"/>
      <c r="D447" s="86"/>
      <c r="E447" s="36" t="s">
        <v>152</v>
      </c>
      <c r="F447" s="36">
        <v>1</v>
      </c>
      <c r="G447" s="86"/>
      <c r="H447" s="36" t="s">
        <v>200</v>
      </c>
      <c r="I447" s="36">
        <v>1</v>
      </c>
      <c r="J447" s="39"/>
      <c r="K447" s="39"/>
      <c r="L447" s="39"/>
      <c r="M447" s="18"/>
      <c r="O447" s="1">
        <v>4</v>
      </c>
      <c r="P447" s="1">
        <v>0</v>
      </c>
      <c r="Q447" s="1">
        <v>2</v>
      </c>
      <c r="R447" s="1">
        <v>0</v>
      </c>
      <c r="S447" s="14"/>
      <c r="U447" s="9" t="s">
        <v>179</v>
      </c>
      <c r="V447" s="10" t="s">
        <v>180</v>
      </c>
      <c r="W447" s="9">
        <v>8.83</v>
      </c>
      <c r="X447" s="9">
        <v>0.73</v>
      </c>
      <c r="Y447" s="9">
        <v>1.06</v>
      </c>
      <c r="Z447" s="9">
        <v>0.64</v>
      </c>
      <c r="AA447" s="9">
        <v>2.89</v>
      </c>
      <c r="AB447" s="9">
        <v>0.84</v>
      </c>
      <c r="AC447" s="9">
        <v>0.93</v>
      </c>
      <c r="AD447" s="9">
        <v>1.18</v>
      </c>
      <c r="AE447" s="9">
        <v>1.37</v>
      </c>
      <c r="AF447" s="9">
        <v>2.12</v>
      </c>
      <c r="AH447" s="11" t="s">
        <v>181</v>
      </c>
      <c r="AI447" s="12" t="s">
        <v>182</v>
      </c>
      <c r="AJ447" s="11">
        <v>6.78</v>
      </c>
      <c r="AK447" s="11">
        <v>7.11</v>
      </c>
      <c r="AL447" s="11">
        <v>3</v>
      </c>
      <c r="AM447" s="11">
        <v>7.49</v>
      </c>
      <c r="AN447" s="11">
        <v>2.21</v>
      </c>
      <c r="AO447" s="11">
        <v>8.4700000000000006</v>
      </c>
      <c r="AP447" s="11">
        <v>5.65</v>
      </c>
      <c r="AR447" s="11" t="s">
        <v>183</v>
      </c>
      <c r="AS447" s="12" t="s">
        <v>184</v>
      </c>
      <c r="AT447" s="11">
        <v>2.57</v>
      </c>
      <c r="AU447" s="11">
        <v>1.22</v>
      </c>
      <c r="AV447" s="11">
        <v>2.2000000000000002</v>
      </c>
      <c r="AW447" s="11">
        <v>2</v>
      </c>
      <c r="AX447" s="14"/>
    </row>
    <row r="448" spans="1:50" ht="23.5" customHeight="1" thickTop="1" thickBot="1" x14ac:dyDescent="0.35">
      <c r="A448" s="63"/>
      <c r="B448" s="76"/>
      <c r="C448" s="25"/>
      <c r="D448" s="86"/>
      <c r="E448" s="36" t="s">
        <v>153</v>
      </c>
      <c r="F448" s="36">
        <v>1</v>
      </c>
      <c r="G448" s="86"/>
      <c r="H448" s="36" t="s">
        <v>201</v>
      </c>
      <c r="I448" s="36">
        <v>1</v>
      </c>
      <c r="J448" s="25"/>
      <c r="K448" s="25"/>
      <c r="L448" s="25"/>
      <c r="M448" s="18"/>
      <c r="O448" s="1">
        <v>5</v>
      </c>
      <c r="P448" s="1">
        <v>1</v>
      </c>
      <c r="Q448" s="1">
        <v>1</v>
      </c>
      <c r="R448" s="1">
        <v>1</v>
      </c>
      <c r="S448" s="14"/>
      <c r="U448" s="11" t="s">
        <v>187</v>
      </c>
      <c r="V448" s="12" t="s">
        <v>188</v>
      </c>
      <c r="W448" s="11">
        <v>9.25</v>
      </c>
      <c r="X448" s="11">
        <v>0.7</v>
      </c>
      <c r="Y448" s="11">
        <v>1.25</v>
      </c>
      <c r="Z448" s="11">
        <v>0.71</v>
      </c>
      <c r="AA448" s="11">
        <v>2.5</v>
      </c>
      <c r="AB448" s="11">
        <v>0.86</v>
      </c>
      <c r="AC448" s="11">
        <v>0.95</v>
      </c>
      <c r="AD448" s="11">
        <v>1.2</v>
      </c>
      <c r="AE448" s="11">
        <v>1.4</v>
      </c>
      <c r="AF448" s="11">
        <v>1.9</v>
      </c>
      <c r="AX448" s="14"/>
    </row>
    <row r="449" spans="1:50" ht="23.5" customHeight="1" thickTop="1" thickBot="1" x14ac:dyDescent="0.35">
      <c r="A449" s="63"/>
      <c r="B449" s="76"/>
      <c r="C449" s="25"/>
      <c r="D449" s="86"/>
      <c r="E449" s="1" t="s">
        <v>156</v>
      </c>
      <c r="F449" s="36">
        <v>1</v>
      </c>
      <c r="G449" s="87"/>
      <c r="H449" s="38" t="s">
        <v>164</v>
      </c>
      <c r="I449" s="38">
        <v>1</v>
      </c>
      <c r="J449" s="36"/>
      <c r="K449" s="25"/>
      <c r="L449" s="25"/>
      <c r="M449" s="18"/>
      <c r="O449" s="4">
        <v>6</v>
      </c>
      <c r="P449" s="4">
        <v>0</v>
      </c>
      <c r="Q449" s="4">
        <v>1</v>
      </c>
      <c r="R449" s="4">
        <v>2</v>
      </c>
      <c r="S449" s="14"/>
      <c r="U449" s="9"/>
      <c r="V449" s="10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X449" s="14"/>
    </row>
    <row r="450" spans="1:50" ht="23.5" customHeight="1" thickTop="1" thickBot="1" x14ac:dyDescent="0.35">
      <c r="A450" s="63"/>
      <c r="B450" s="76"/>
      <c r="C450" s="25"/>
      <c r="D450" s="87"/>
      <c r="E450" s="38" t="s">
        <v>197</v>
      </c>
      <c r="F450" s="38">
        <v>1</v>
      </c>
      <c r="G450" s="39"/>
      <c r="H450" s="39"/>
      <c r="I450" s="39"/>
      <c r="J450" s="36"/>
      <c r="K450" s="36"/>
      <c r="L450" s="25"/>
      <c r="M450" s="18"/>
      <c r="S450" s="14"/>
      <c r="U450" s="9"/>
      <c r="V450" s="10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X450" s="14"/>
    </row>
    <row r="451" spans="1:50" ht="23" customHeight="1" thickTop="1" x14ac:dyDescent="0.3">
      <c r="A451" s="63"/>
      <c r="B451" s="76"/>
      <c r="C451" s="25"/>
      <c r="D451" s="39"/>
      <c r="E451" s="39"/>
      <c r="F451" s="39"/>
      <c r="G451" s="25"/>
      <c r="H451" s="25"/>
      <c r="I451" s="25"/>
      <c r="J451" s="25"/>
      <c r="K451" s="25"/>
      <c r="L451" s="25"/>
      <c r="M451" s="18"/>
      <c r="O451" s="1"/>
      <c r="P451" s="1"/>
      <c r="Q451" s="1"/>
      <c r="R451" s="1"/>
      <c r="S451" s="14"/>
      <c r="AX451" s="14"/>
    </row>
    <row r="452" spans="1:50" ht="23" customHeight="1" thickBot="1" x14ac:dyDescent="0.35">
      <c r="A452" s="63"/>
      <c r="B452" s="81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19"/>
      <c r="N452" s="15"/>
      <c r="O452" s="15"/>
      <c r="P452" s="15"/>
      <c r="Q452" s="15"/>
      <c r="R452" s="15"/>
      <c r="S452" s="16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6"/>
    </row>
    <row r="453" spans="1:50" ht="15" customHeight="1" thickTop="1" thickBot="1" x14ac:dyDescent="0.35">
      <c r="A453" s="63"/>
      <c r="B453" s="89" t="s">
        <v>102</v>
      </c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17"/>
      <c r="N453" s="24"/>
      <c r="O453" s="24"/>
      <c r="P453" s="24"/>
      <c r="Q453" s="24"/>
      <c r="R453" s="24"/>
      <c r="S453" s="1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17"/>
    </row>
    <row r="454" spans="1:50" ht="31" customHeight="1" thickTop="1" thickBot="1" x14ac:dyDescent="0.35">
      <c r="A454" s="63"/>
      <c r="B454" s="76"/>
      <c r="C454" s="24"/>
      <c r="D454" s="27" t="s">
        <v>191</v>
      </c>
      <c r="E454" s="27" t="s">
        <v>192</v>
      </c>
      <c r="F454" s="27" t="s">
        <v>193</v>
      </c>
      <c r="G454" s="27" t="s">
        <v>191</v>
      </c>
      <c r="H454" s="27" t="s">
        <v>192</v>
      </c>
      <c r="I454" s="27" t="s">
        <v>193</v>
      </c>
      <c r="J454" s="27" t="s">
        <v>191</v>
      </c>
      <c r="K454" s="27" t="s">
        <v>192</v>
      </c>
      <c r="L454" s="27" t="s">
        <v>193</v>
      </c>
      <c r="M454" s="17"/>
      <c r="N454" s="24"/>
      <c r="O454" s="82" t="s">
        <v>205</v>
      </c>
      <c r="P454" s="82" t="s">
        <v>206</v>
      </c>
      <c r="Q454" s="83"/>
      <c r="R454" s="83"/>
      <c r="S454" s="1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17"/>
    </row>
    <row r="455" spans="1:50" ht="23.5" customHeight="1" thickTop="1" thickBot="1" x14ac:dyDescent="0.35">
      <c r="A455" s="63"/>
      <c r="B455" s="76"/>
      <c r="C455" s="33"/>
      <c r="D455" s="88" t="s">
        <v>194</v>
      </c>
      <c r="E455" s="36" t="s">
        <v>148</v>
      </c>
      <c r="F455" s="36">
        <v>5</v>
      </c>
      <c r="G455" s="85" t="s">
        <v>198</v>
      </c>
      <c r="H455" s="36" t="s">
        <v>158</v>
      </c>
      <c r="I455" s="36">
        <v>2</v>
      </c>
      <c r="J455" s="85" t="s">
        <v>202</v>
      </c>
      <c r="K455" s="36" t="s">
        <v>203</v>
      </c>
      <c r="L455" s="36">
        <v>2</v>
      </c>
      <c r="M455" s="18"/>
      <c r="N455" s="13"/>
      <c r="O455" s="84"/>
      <c r="P455" s="2" t="s">
        <v>178</v>
      </c>
      <c r="Q455" s="2" t="s">
        <v>186</v>
      </c>
      <c r="R455" s="2" t="s">
        <v>190</v>
      </c>
      <c r="S455" s="14"/>
      <c r="T455" s="13"/>
      <c r="AX455" s="14"/>
    </row>
    <row r="456" spans="1:50" ht="23" customHeight="1" thickBot="1" x14ac:dyDescent="0.35">
      <c r="A456" s="63"/>
      <c r="B456" s="76"/>
      <c r="C456" s="25"/>
      <c r="D456" s="86"/>
      <c r="E456" s="36" t="s">
        <v>195</v>
      </c>
      <c r="F456" s="36">
        <v>2</v>
      </c>
      <c r="G456" s="86"/>
      <c r="H456" s="36" t="s">
        <v>159</v>
      </c>
      <c r="I456" s="36">
        <v>2</v>
      </c>
      <c r="J456" s="86"/>
      <c r="K456" s="36" t="s">
        <v>166</v>
      </c>
      <c r="L456" s="36">
        <v>2</v>
      </c>
      <c r="M456" s="18"/>
      <c r="O456" s="1">
        <v>1</v>
      </c>
      <c r="P456" s="1">
        <v>1</v>
      </c>
      <c r="Q456" s="1">
        <v>0</v>
      </c>
      <c r="R456" s="1">
        <v>1</v>
      </c>
      <c r="S456" s="14"/>
      <c r="Z456" s="23" t="s">
        <v>194</v>
      </c>
      <c r="AK456" s="23" t="s">
        <v>198</v>
      </c>
      <c r="AT456" s="23" t="s">
        <v>202</v>
      </c>
      <c r="AX456" s="14"/>
    </row>
    <row r="457" spans="1:50" ht="25" customHeight="1" thickTop="1" thickBot="1" x14ac:dyDescent="0.35">
      <c r="A457" s="63"/>
      <c r="B457" s="76"/>
      <c r="C457" s="25"/>
      <c r="D457" s="86"/>
      <c r="E457" s="36" t="s">
        <v>196</v>
      </c>
      <c r="F457" s="36">
        <v>2</v>
      </c>
      <c r="G457" s="86"/>
      <c r="H457" s="36" t="s">
        <v>160</v>
      </c>
      <c r="I457" s="36">
        <v>1</v>
      </c>
      <c r="J457" s="86"/>
      <c r="K457" s="36" t="s">
        <v>167</v>
      </c>
      <c r="L457" s="36">
        <v>2</v>
      </c>
      <c r="M457" s="18"/>
      <c r="O457" s="1">
        <v>2</v>
      </c>
      <c r="P457" s="1">
        <v>1</v>
      </c>
      <c r="Q457" s="1">
        <v>2</v>
      </c>
      <c r="R457" s="1">
        <v>1</v>
      </c>
      <c r="S457" s="14"/>
      <c r="U457" s="7" t="s">
        <v>146</v>
      </c>
      <c r="V457" s="7" t="s">
        <v>147</v>
      </c>
      <c r="W457" s="7" t="s">
        <v>148</v>
      </c>
      <c r="X457" s="7" t="s">
        <v>149</v>
      </c>
      <c r="Y457" s="7" t="s">
        <v>150</v>
      </c>
      <c r="Z457" s="8" t="s">
        <v>151</v>
      </c>
      <c r="AA457" s="7" t="s">
        <v>152</v>
      </c>
      <c r="AB457" s="7" t="s">
        <v>153</v>
      </c>
      <c r="AC457" s="7" t="s">
        <v>154</v>
      </c>
      <c r="AD457" s="7" t="s">
        <v>155</v>
      </c>
      <c r="AE457" s="8" t="s">
        <v>156</v>
      </c>
      <c r="AF457" s="7" t="s">
        <v>157</v>
      </c>
      <c r="AH457" s="7" t="s">
        <v>146</v>
      </c>
      <c r="AI457" s="7" t="s">
        <v>147</v>
      </c>
      <c r="AJ457" s="7" t="s">
        <v>158</v>
      </c>
      <c r="AK457" s="7" t="s">
        <v>159</v>
      </c>
      <c r="AL457" s="7" t="s">
        <v>160</v>
      </c>
      <c r="AM457" s="7" t="s">
        <v>161</v>
      </c>
      <c r="AN457" s="7" t="s">
        <v>162</v>
      </c>
      <c r="AO457" s="7" t="s">
        <v>163</v>
      </c>
      <c r="AP457" s="7" t="s">
        <v>164</v>
      </c>
      <c r="AR457" s="7" t="s">
        <v>146</v>
      </c>
      <c r="AS457" s="7" t="s">
        <v>147</v>
      </c>
      <c r="AT457" s="7" t="s">
        <v>165</v>
      </c>
      <c r="AU457" s="7" t="s">
        <v>166</v>
      </c>
      <c r="AV457" s="7" t="s">
        <v>167</v>
      </c>
      <c r="AW457" s="7" t="s">
        <v>168</v>
      </c>
      <c r="AX457" s="14"/>
    </row>
    <row r="458" spans="1:50" ht="24" customHeight="1" thickTop="1" thickBot="1" x14ac:dyDescent="0.35">
      <c r="A458" s="63"/>
      <c r="B458" s="76"/>
      <c r="C458" s="25"/>
      <c r="D458" s="86"/>
      <c r="E458" s="1" t="s">
        <v>151</v>
      </c>
      <c r="F458" s="36">
        <v>2</v>
      </c>
      <c r="G458" s="86"/>
      <c r="H458" s="36" t="s">
        <v>199</v>
      </c>
      <c r="I458" s="36">
        <v>2</v>
      </c>
      <c r="J458" s="87"/>
      <c r="K458" s="38" t="s">
        <v>168</v>
      </c>
      <c r="L458" s="38">
        <v>1</v>
      </c>
      <c r="M458" s="18"/>
      <c r="O458" s="1">
        <v>3</v>
      </c>
      <c r="P458" s="1">
        <v>1</v>
      </c>
      <c r="Q458" s="1">
        <v>1</v>
      </c>
      <c r="R458" s="1">
        <v>1</v>
      </c>
      <c r="S458" s="14"/>
      <c r="U458" s="9" t="s">
        <v>171</v>
      </c>
      <c r="V458" s="10" t="s">
        <v>172</v>
      </c>
      <c r="W458" s="9">
        <v>7.18</v>
      </c>
      <c r="X458" s="9">
        <v>0.67</v>
      </c>
      <c r="Y458" s="9">
        <v>1.1000000000000001</v>
      </c>
      <c r="Z458" s="9">
        <v>0.68</v>
      </c>
      <c r="AA458" s="9">
        <v>2.78</v>
      </c>
      <c r="AB458" s="9">
        <v>0.87</v>
      </c>
      <c r="AC458" s="9">
        <v>0.94</v>
      </c>
      <c r="AD458" s="9">
        <v>1.05</v>
      </c>
      <c r="AE458" s="9">
        <v>1.25</v>
      </c>
      <c r="AF458" s="9">
        <v>2.23</v>
      </c>
      <c r="AH458" s="9" t="s">
        <v>173</v>
      </c>
      <c r="AI458" s="10" t="s">
        <v>174</v>
      </c>
      <c r="AJ458" s="9">
        <v>6.16</v>
      </c>
      <c r="AK458" s="9">
        <v>6.59</v>
      </c>
      <c r="AL458" s="9">
        <v>3</v>
      </c>
      <c r="AM458" s="9">
        <v>6.15</v>
      </c>
      <c r="AN458" s="9">
        <v>1.59</v>
      </c>
      <c r="AO458" s="9">
        <v>7.19</v>
      </c>
      <c r="AP458" s="9">
        <v>5.16</v>
      </c>
      <c r="AR458" s="9" t="s">
        <v>175</v>
      </c>
      <c r="AS458" s="10" t="s">
        <v>176</v>
      </c>
      <c r="AT458" s="9">
        <v>2.85</v>
      </c>
      <c r="AU458" s="9">
        <v>1.0900000000000001</v>
      </c>
      <c r="AV458" s="9">
        <v>2.8</v>
      </c>
      <c r="AW458" s="9">
        <v>2</v>
      </c>
      <c r="AX458" s="14"/>
    </row>
    <row r="459" spans="1:50" ht="24" customHeight="1" thickTop="1" thickBot="1" x14ac:dyDescent="0.35">
      <c r="A459" s="63"/>
      <c r="B459" s="76"/>
      <c r="C459" s="25"/>
      <c r="D459" s="86"/>
      <c r="E459" s="36" t="s">
        <v>152</v>
      </c>
      <c r="F459" s="36">
        <v>2</v>
      </c>
      <c r="G459" s="86"/>
      <c r="H459" s="36" t="s">
        <v>200</v>
      </c>
      <c r="I459" s="36">
        <v>1</v>
      </c>
      <c r="J459" s="39"/>
      <c r="K459" s="39"/>
      <c r="L459" s="39"/>
      <c r="M459" s="18"/>
      <c r="O459" s="1">
        <v>4</v>
      </c>
      <c r="P459" s="1">
        <v>1</v>
      </c>
      <c r="Q459" s="1">
        <v>0</v>
      </c>
      <c r="R459" s="1">
        <v>2</v>
      </c>
      <c r="S459" s="14"/>
      <c r="U459" s="9" t="s">
        <v>179</v>
      </c>
      <c r="V459" s="10" t="s">
        <v>180</v>
      </c>
      <c r="W459" s="9">
        <v>8.5399999999999991</v>
      </c>
      <c r="X459" s="9">
        <v>0.9</v>
      </c>
      <c r="Y459" s="9">
        <v>1.03</v>
      </c>
      <c r="Z459" s="9">
        <v>0.56999999999999995</v>
      </c>
      <c r="AA459" s="9">
        <v>2.5</v>
      </c>
      <c r="AB459" s="9">
        <v>0.81</v>
      </c>
      <c r="AC459" s="9">
        <v>0.99</v>
      </c>
      <c r="AD459" s="9">
        <v>1</v>
      </c>
      <c r="AE459" s="9">
        <v>1.1000000000000001</v>
      </c>
      <c r="AF459" s="9">
        <v>1.68</v>
      </c>
      <c r="AH459" s="11" t="s">
        <v>181</v>
      </c>
      <c r="AI459" s="12" t="s">
        <v>182</v>
      </c>
      <c r="AJ459" s="11">
        <v>6.93</v>
      </c>
      <c r="AK459" s="11">
        <v>7.41</v>
      </c>
      <c r="AL459" s="11">
        <v>3</v>
      </c>
      <c r="AM459" s="11">
        <v>7.84</v>
      </c>
      <c r="AN459" s="11">
        <v>2.41</v>
      </c>
      <c r="AO459" s="11">
        <v>8.81</v>
      </c>
      <c r="AP459" s="11">
        <v>5.93</v>
      </c>
      <c r="AR459" s="11" t="s">
        <v>183</v>
      </c>
      <c r="AS459" s="12" t="s">
        <v>184</v>
      </c>
      <c r="AT459" s="11">
        <v>3.25</v>
      </c>
      <c r="AU459" s="11">
        <v>1.1399999999999999</v>
      </c>
      <c r="AV459" s="11">
        <v>2.4</v>
      </c>
      <c r="AW459" s="11">
        <v>2</v>
      </c>
      <c r="AX459" s="14"/>
    </row>
    <row r="460" spans="1:50" ht="23.5" customHeight="1" thickTop="1" thickBot="1" x14ac:dyDescent="0.35">
      <c r="A460" s="63"/>
      <c r="B460" s="76"/>
      <c r="C460" s="25"/>
      <c r="D460" s="86"/>
      <c r="E460" s="36" t="s">
        <v>153</v>
      </c>
      <c r="F460" s="36">
        <v>1</v>
      </c>
      <c r="G460" s="86"/>
      <c r="H460" s="36" t="s">
        <v>201</v>
      </c>
      <c r="I460" s="36">
        <v>1</v>
      </c>
      <c r="J460" s="25"/>
      <c r="K460" s="25"/>
      <c r="L460" s="25"/>
      <c r="M460" s="18"/>
      <c r="O460" s="1">
        <v>5</v>
      </c>
      <c r="P460" s="1">
        <v>1</v>
      </c>
      <c r="Q460" s="1">
        <v>1</v>
      </c>
      <c r="R460" s="1">
        <v>1</v>
      </c>
      <c r="S460" s="14"/>
      <c r="U460" s="11" t="s">
        <v>187</v>
      </c>
      <c r="V460" s="12" t="s">
        <v>188</v>
      </c>
      <c r="W460" s="11">
        <v>9.11</v>
      </c>
      <c r="X460" s="11">
        <v>0.78</v>
      </c>
      <c r="Y460" s="11">
        <v>1.23</v>
      </c>
      <c r="Z460" s="11">
        <v>0.75</v>
      </c>
      <c r="AA460" s="11">
        <v>2.63</v>
      </c>
      <c r="AB460" s="11">
        <v>0.88</v>
      </c>
      <c r="AC460" s="11">
        <v>0.91</v>
      </c>
      <c r="AD460" s="11">
        <v>1.2</v>
      </c>
      <c r="AE460" s="11">
        <v>1.38</v>
      </c>
      <c r="AF460" s="11">
        <v>2.4500000000000002</v>
      </c>
      <c r="AX460" s="14"/>
    </row>
    <row r="461" spans="1:50" ht="23.5" customHeight="1" thickTop="1" thickBot="1" x14ac:dyDescent="0.35">
      <c r="A461" s="63"/>
      <c r="B461" s="76"/>
      <c r="C461" s="25"/>
      <c r="D461" s="86"/>
      <c r="E461" s="1" t="s">
        <v>156</v>
      </c>
      <c r="F461" s="36">
        <v>1</v>
      </c>
      <c r="G461" s="87"/>
      <c r="H461" s="38" t="s">
        <v>164</v>
      </c>
      <c r="I461" s="38">
        <v>1</v>
      </c>
      <c r="J461" s="36"/>
      <c r="K461" s="25"/>
      <c r="L461" s="25"/>
      <c r="M461" s="18"/>
      <c r="O461" s="1">
        <v>6</v>
      </c>
      <c r="P461" s="1">
        <v>0</v>
      </c>
      <c r="Q461" s="1">
        <v>1</v>
      </c>
      <c r="R461" s="1">
        <v>1</v>
      </c>
      <c r="S461" s="14"/>
      <c r="U461" s="9"/>
      <c r="V461" s="10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X461" s="14"/>
    </row>
    <row r="462" spans="1:50" ht="23.5" customHeight="1" thickTop="1" thickBot="1" x14ac:dyDescent="0.35">
      <c r="A462" s="63"/>
      <c r="B462" s="76"/>
      <c r="C462" s="25"/>
      <c r="D462" s="87"/>
      <c r="E462" s="38" t="s">
        <v>197</v>
      </c>
      <c r="F462" s="38">
        <v>1</v>
      </c>
      <c r="G462" s="39"/>
      <c r="H462" s="39"/>
      <c r="I462" s="39"/>
      <c r="J462" s="36"/>
      <c r="K462" s="36"/>
      <c r="L462" s="25"/>
      <c r="M462" s="18"/>
      <c r="O462" s="1">
        <v>7</v>
      </c>
      <c r="P462" s="1">
        <v>1</v>
      </c>
      <c r="Q462" s="1">
        <v>0</v>
      </c>
      <c r="R462" s="1">
        <v>0</v>
      </c>
      <c r="S462" s="14"/>
      <c r="U462" s="9"/>
      <c r="V462" s="10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X462" s="14"/>
    </row>
    <row r="463" spans="1:50" ht="23.5" customHeight="1" thickTop="1" thickBot="1" x14ac:dyDescent="0.35">
      <c r="A463" s="63"/>
      <c r="B463" s="76"/>
      <c r="C463" s="25"/>
      <c r="D463" s="39"/>
      <c r="E463" s="39"/>
      <c r="F463" s="39"/>
      <c r="G463" s="25"/>
      <c r="H463" s="25"/>
      <c r="I463" s="25"/>
      <c r="J463" s="25"/>
      <c r="K463" s="25"/>
      <c r="L463" s="25"/>
      <c r="M463" s="18"/>
      <c r="O463" s="4">
        <v>8</v>
      </c>
      <c r="P463" s="4">
        <v>2</v>
      </c>
      <c r="Q463" s="4">
        <v>0</v>
      </c>
      <c r="R463" s="4">
        <v>0</v>
      </c>
      <c r="S463" s="14"/>
      <c r="AX463" s="14"/>
    </row>
    <row r="464" spans="1:50" ht="23.5" customHeight="1" thickTop="1" thickBot="1" x14ac:dyDescent="0.35">
      <c r="A464" s="63"/>
      <c r="B464" s="81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19"/>
      <c r="N464" s="15"/>
      <c r="O464" s="15"/>
      <c r="P464" s="15"/>
      <c r="Q464" s="15"/>
      <c r="R464" s="15"/>
      <c r="S464" s="16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6"/>
    </row>
    <row r="465" spans="1:50" ht="15" customHeight="1" thickTop="1" thickBot="1" x14ac:dyDescent="0.35">
      <c r="A465" s="63"/>
      <c r="B465" s="89" t="s">
        <v>103</v>
      </c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17"/>
      <c r="N465" s="24"/>
      <c r="O465" s="24"/>
      <c r="P465" s="24"/>
      <c r="Q465" s="24"/>
      <c r="R465" s="24"/>
      <c r="S465" s="1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17"/>
    </row>
    <row r="466" spans="1:50" ht="31" customHeight="1" thickTop="1" thickBot="1" x14ac:dyDescent="0.35">
      <c r="A466" s="63"/>
      <c r="B466" s="76"/>
      <c r="C466" s="24"/>
      <c r="D466" s="27" t="s">
        <v>191</v>
      </c>
      <c r="E466" s="27" t="s">
        <v>192</v>
      </c>
      <c r="F466" s="27" t="s">
        <v>193</v>
      </c>
      <c r="G466" s="27" t="s">
        <v>191</v>
      </c>
      <c r="H466" s="27" t="s">
        <v>192</v>
      </c>
      <c r="I466" s="27" t="s">
        <v>193</v>
      </c>
      <c r="J466" s="27" t="s">
        <v>191</v>
      </c>
      <c r="K466" s="27" t="s">
        <v>192</v>
      </c>
      <c r="L466" s="27" t="s">
        <v>193</v>
      </c>
      <c r="M466" s="17"/>
      <c r="N466" s="24"/>
      <c r="O466" s="82" t="s">
        <v>205</v>
      </c>
      <c r="P466" s="82" t="s">
        <v>206</v>
      </c>
      <c r="Q466" s="83"/>
      <c r="R466" s="83"/>
      <c r="S466" s="1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17"/>
    </row>
    <row r="467" spans="1:50" ht="23.5" customHeight="1" thickTop="1" thickBot="1" x14ac:dyDescent="0.35">
      <c r="A467" s="63"/>
      <c r="B467" s="76"/>
      <c r="C467" s="33"/>
      <c r="D467" s="88" t="s">
        <v>194</v>
      </c>
      <c r="E467" s="36" t="s">
        <v>148</v>
      </c>
      <c r="F467" s="36">
        <v>5</v>
      </c>
      <c r="G467" s="85" t="s">
        <v>198</v>
      </c>
      <c r="H467" s="36" t="s">
        <v>158</v>
      </c>
      <c r="I467" s="36">
        <v>2</v>
      </c>
      <c r="J467" s="85" t="s">
        <v>202</v>
      </c>
      <c r="K467" s="36" t="s">
        <v>203</v>
      </c>
      <c r="L467" s="36">
        <v>2</v>
      </c>
      <c r="M467" s="18"/>
      <c r="N467" s="13"/>
      <c r="O467" s="84"/>
      <c r="P467" s="2" t="s">
        <v>178</v>
      </c>
      <c r="Q467" s="2" t="s">
        <v>186</v>
      </c>
      <c r="R467" s="2" t="s">
        <v>190</v>
      </c>
      <c r="S467" s="14"/>
      <c r="T467" s="13"/>
      <c r="AX467" s="14"/>
    </row>
    <row r="468" spans="1:50" ht="23" customHeight="1" thickBot="1" x14ac:dyDescent="0.35">
      <c r="A468" s="63"/>
      <c r="B468" s="76"/>
      <c r="C468" s="25"/>
      <c r="D468" s="86"/>
      <c r="E468" s="36" t="s">
        <v>195</v>
      </c>
      <c r="F468" s="36">
        <v>2</v>
      </c>
      <c r="G468" s="86"/>
      <c r="H468" s="36" t="s">
        <v>159</v>
      </c>
      <c r="I468" s="36">
        <v>2</v>
      </c>
      <c r="J468" s="86"/>
      <c r="K468" s="36" t="s">
        <v>166</v>
      </c>
      <c r="L468" s="36">
        <v>2</v>
      </c>
      <c r="M468" s="18"/>
      <c r="O468" s="1">
        <v>1</v>
      </c>
      <c r="P468" s="1">
        <v>1</v>
      </c>
      <c r="Q468" s="1">
        <v>0</v>
      </c>
      <c r="R468" s="1">
        <v>1</v>
      </c>
      <c r="S468" s="14"/>
      <c r="Z468" s="23" t="s">
        <v>194</v>
      </c>
      <c r="AK468" s="23" t="s">
        <v>198</v>
      </c>
      <c r="AT468" s="23" t="s">
        <v>202</v>
      </c>
      <c r="AX468" s="14"/>
    </row>
    <row r="469" spans="1:50" ht="25" customHeight="1" thickTop="1" thickBot="1" x14ac:dyDescent="0.35">
      <c r="A469" s="63"/>
      <c r="B469" s="76"/>
      <c r="C469" s="25"/>
      <c r="D469" s="86"/>
      <c r="E469" s="36" t="s">
        <v>196</v>
      </c>
      <c r="F469" s="36">
        <v>2</v>
      </c>
      <c r="G469" s="86"/>
      <c r="H469" s="36" t="s">
        <v>160</v>
      </c>
      <c r="I469" s="36">
        <v>1</v>
      </c>
      <c r="J469" s="86"/>
      <c r="K469" s="36" t="s">
        <v>167</v>
      </c>
      <c r="L469" s="36">
        <v>2</v>
      </c>
      <c r="M469" s="18"/>
      <c r="O469" s="1">
        <v>2</v>
      </c>
      <c r="P469" s="1">
        <v>1</v>
      </c>
      <c r="Q469" s="1">
        <v>2</v>
      </c>
      <c r="R469" s="1">
        <v>1</v>
      </c>
      <c r="S469" s="14"/>
      <c r="U469" s="7" t="s">
        <v>146</v>
      </c>
      <c r="V469" s="7" t="s">
        <v>147</v>
      </c>
      <c r="W469" s="7" t="s">
        <v>148</v>
      </c>
      <c r="X469" s="7" t="s">
        <v>149</v>
      </c>
      <c r="Y469" s="7" t="s">
        <v>150</v>
      </c>
      <c r="Z469" s="8" t="s">
        <v>151</v>
      </c>
      <c r="AA469" s="7" t="s">
        <v>152</v>
      </c>
      <c r="AB469" s="7" t="s">
        <v>153</v>
      </c>
      <c r="AC469" s="7" t="s">
        <v>154</v>
      </c>
      <c r="AD469" s="7" t="s">
        <v>155</v>
      </c>
      <c r="AE469" s="8" t="s">
        <v>156</v>
      </c>
      <c r="AF469" s="7" t="s">
        <v>157</v>
      </c>
      <c r="AH469" s="7" t="s">
        <v>146</v>
      </c>
      <c r="AI469" s="7" t="s">
        <v>147</v>
      </c>
      <c r="AJ469" s="7" t="s">
        <v>158</v>
      </c>
      <c r="AK469" s="7" t="s">
        <v>159</v>
      </c>
      <c r="AL469" s="7" t="s">
        <v>160</v>
      </c>
      <c r="AM469" s="7" t="s">
        <v>161</v>
      </c>
      <c r="AN469" s="7" t="s">
        <v>162</v>
      </c>
      <c r="AO469" s="7" t="s">
        <v>163</v>
      </c>
      <c r="AP469" s="7" t="s">
        <v>164</v>
      </c>
      <c r="AR469" s="7" t="s">
        <v>146</v>
      </c>
      <c r="AS469" s="7" t="s">
        <v>147</v>
      </c>
      <c r="AT469" s="7" t="s">
        <v>165</v>
      </c>
      <c r="AU469" s="7" t="s">
        <v>166</v>
      </c>
      <c r="AV469" s="7" t="s">
        <v>167</v>
      </c>
      <c r="AW469" s="7" t="s">
        <v>168</v>
      </c>
      <c r="AX469" s="14"/>
    </row>
    <row r="470" spans="1:50" ht="24" customHeight="1" thickTop="1" thickBot="1" x14ac:dyDescent="0.35">
      <c r="A470" s="63"/>
      <c r="B470" s="76"/>
      <c r="C470" s="25"/>
      <c r="D470" s="86"/>
      <c r="E470" s="1" t="s">
        <v>151</v>
      </c>
      <c r="F470" s="36">
        <v>2</v>
      </c>
      <c r="G470" s="86"/>
      <c r="H470" s="36" t="s">
        <v>199</v>
      </c>
      <c r="I470" s="36">
        <v>2</v>
      </c>
      <c r="J470" s="87"/>
      <c r="K470" s="38" t="s">
        <v>168</v>
      </c>
      <c r="L470" s="38">
        <v>1</v>
      </c>
      <c r="M470" s="18"/>
      <c r="O470" s="1">
        <v>3</v>
      </c>
      <c r="P470" s="1">
        <v>0</v>
      </c>
      <c r="Q470" s="1">
        <v>1</v>
      </c>
      <c r="R470" s="1">
        <v>1</v>
      </c>
      <c r="S470" s="14"/>
      <c r="U470" s="9" t="s">
        <v>171</v>
      </c>
      <c r="V470" s="10" t="s">
        <v>172</v>
      </c>
      <c r="W470" s="9">
        <v>7.85</v>
      </c>
      <c r="X470" s="9">
        <v>0.74</v>
      </c>
      <c r="Y470" s="9">
        <v>1.1599999999999999</v>
      </c>
      <c r="Z470" s="9">
        <v>0.62</v>
      </c>
      <c r="AA470" s="9">
        <v>2.5</v>
      </c>
      <c r="AB470" s="9">
        <v>0.83</v>
      </c>
      <c r="AC470" s="9">
        <v>0.97</v>
      </c>
      <c r="AD470" s="9">
        <v>1.1200000000000001</v>
      </c>
      <c r="AE470" s="9">
        <v>1.02</v>
      </c>
      <c r="AF470" s="9">
        <v>1.74</v>
      </c>
      <c r="AH470" s="9" t="s">
        <v>173</v>
      </c>
      <c r="AI470" s="10" t="s">
        <v>174</v>
      </c>
      <c r="AJ470" s="9">
        <v>6.51</v>
      </c>
      <c r="AK470" s="9">
        <v>6.85</v>
      </c>
      <c r="AL470" s="9">
        <v>3</v>
      </c>
      <c r="AM470" s="9">
        <v>6.51</v>
      </c>
      <c r="AN470" s="9">
        <v>1.85</v>
      </c>
      <c r="AO470" s="9">
        <v>7.51</v>
      </c>
      <c r="AP470" s="9">
        <v>5.41</v>
      </c>
      <c r="AR470" s="9" t="s">
        <v>175</v>
      </c>
      <c r="AS470" s="10" t="s">
        <v>176</v>
      </c>
      <c r="AT470" s="9">
        <v>3.18</v>
      </c>
      <c r="AU470" s="9">
        <v>1.1299999999999999</v>
      </c>
      <c r="AV470" s="9">
        <v>2.65</v>
      </c>
      <c r="AW470" s="9">
        <v>2</v>
      </c>
      <c r="AX470" s="14"/>
    </row>
    <row r="471" spans="1:50" ht="24" customHeight="1" thickTop="1" thickBot="1" x14ac:dyDescent="0.35">
      <c r="A471" s="63"/>
      <c r="B471" s="76"/>
      <c r="C471" s="25"/>
      <c r="D471" s="86"/>
      <c r="E471" s="36" t="s">
        <v>152</v>
      </c>
      <c r="F471" s="36">
        <v>2</v>
      </c>
      <c r="G471" s="86"/>
      <c r="H471" s="36" t="s">
        <v>200</v>
      </c>
      <c r="I471" s="36">
        <v>1</v>
      </c>
      <c r="J471" s="39"/>
      <c r="K471" s="39"/>
      <c r="L471" s="39"/>
      <c r="M471" s="18"/>
      <c r="O471" s="1">
        <v>4</v>
      </c>
      <c r="P471" s="1">
        <v>0</v>
      </c>
      <c r="Q471" s="1">
        <v>1</v>
      </c>
      <c r="R471" s="1">
        <v>2</v>
      </c>
      <c r="S471" s="14"/>
      <c r="U471" s="9" t="s">
        <v>179</v>
      </c>
      <c r="V471" s="10" t="s">
        <v>180</v>
      </c>
      <c r="W471" s="9">
        <v>8.24</v>
      </c>
      <c r="X471" s="9">
        <v>0.69</v>
      </c>
      <c r="Y471" s="9">
        <v>1.07</v>
      </c>
      <c r="Z471" s="9">
        <v>0.7</v>
      </c>
      <c r="AA471" s="9">
        <v>2.97</v>
      </c>
      <c r="AB471" s="9">
        <v>0.89</v>
      </c>
      <c r="AC471" s="9">
        <v>0.92</v>
      </c>
      <c r="AD471" s="9">
        <v>1.03</v>
      </c>
      <c r="AE471" s="9">
        <v>1.22</v>
      </c>
      <c r="AF471" s="9">
        <v>2.36</v>
      </c>
      <c r="AH471" s="11" t="s">
        <v>181</v>
      </c>
      <c r="AI471" s="12" t="s">
        <v>182</v>
      </c>
      <c r="AJ471" s="11">
        <v>6.81</v>
      </c>
      <c r="AK471" s="11">
        <v>7.26</v>
      </c>
      <c r="AL471" s="11">
        <v>3</v>
      </c>
      <c r="AM471" s="11">
        <v>7.51</v>
      </c>
      <c r="AN471" s="11">
        <v>2.16</v>
      </c>
      <c r="AO471" s="11">
        <v>8.51</v>
      </c>
      <c r="AP471" s="11">
        <v>5.71</v>
      </c>
      <c r="AR471" s="11" t="s">
        <v>183</v>
      </c>
      <c r="AS471" s="12" t="s">
        <v>184</v>
      </c>
      <c r="AT471" s="11">
        <v>2.76</v>
      </c>
      <c r="AU471" s="11">
        <v>1.03</v>
      </c>
      <c r="AV471" s="11">
        <v>2.15</v>
      </c>
      <c r="AW471" s="11">
        <v>2</v>
      </c>
      <c r="AX471" s="14"/>
    </row>
    <row r="472" spans="1:50" ht="23.5" customHeight="1" thickTop="1" thickBot="1" x14ac:dyDescent="0.35">
      <c r="A472" s="63"/>
      <c r="B472" s="76"/>
      <c r="C472" s="25"/>
      <c r="D472" s="86"/>
      <c r="E472" s="36" t="s">
        <v>153</v>
      </c>
      <c r="F472" s="36">
        <v>1</v>
      </c>
      <c r="G472" s="86"/>
      <c r="H472" s="36" t="s">
        <v>201</v>
      </c>
      <c r="I472" s="36">
        <v>1</v>
      </c>
      <c r="J472" s="25"/>
      <c r="K472" s="25"/>
      <c r="L472" s="25"/>
      <c r="M472" s="18"/>
      <c r="O472" s="1">
        <v>5</v>
      </c>
      <c r="P472" s="1">
        <v>1</v>
      </c>
      <c r="Q472" s="1">
        <v>1</v>
      </c>
      <c r="R472" s="1">
        <v>1</v>
      </c>
      <c r="S472" s="14"/>
      <c r="U472" s="11" t="s">
        <v>187</v>
      </c>
      <c r="V472" s="12" t="s">
        <v>188</v>
      </c>
      <c r="W472" s="11">
        <v>9.01</v>
      </c>
      <c r="X472" s="11">
        <v>0.85</v>
      </c>
      <c r="Y472" s="11">
        <v>1.25</v>
      </c>
      <c r="Z472" s="11">
        <v>0.69</v>
      </c>
      <c r="AA472" s="11">
        <v>2.69</v>
      </c>
      <c r="AB472" s="11">
        <v>0.8</v>
      </c>
      <c r="AC472" s="11">
        <v>0.95</v>
      </c>
      <c r="AD472" s="11">
        <v>1.1499999999999999</v>
      </c>
      <c r="AE472" s="11">
        <v>1.35</v>
      </c>
      <c r="AF472" s="11">
        <v>1.5</v>
      </c>
      <c r="AX472" s="14"/>
    </row>
    <row r="473" spans="1:50" ht="23.5" customHeight="1" thickTop="1" thickBot="1" x14ac:dyDescent="0.35">
      <c r="A473" s="63"/>
      <c r="B473" s="76"/>
      <c r="C473" s="25"/>
      <c r="D473" s="86"/>
      <c r="E473" s="1" t="s">
        <v>156</v>
      </c>
      <c r="F473" s="36">
        <v>1</v>
      </c>
      <c r="G473" s="87"/>
      <c r="H473" s="38" t="s">
        <v>164</v>
      </c>
      <c r="I473" s="38">
        <v>1</v>
      </c>
      <c r="J473" s="36"/>
      <c r="K473" s="25"/>
      <c r="L473" s="25"/>
      <c r="M473" s="18"/>
      <c r="O473" s="1">
        <v>6</v>
      </c>
      <c r="P473" s="1">
        <v>0</v>
      </c>
      <c r="Q473" s="1">
        <v>1</v>
      </c>
      <c r="R473" s="1">
        <v>1</v>
      </c>
      <c r="S473" s="14"/>
      <c r="U473" s="9"/>
      <c r="V473" s="10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X473" s="14"/>
    </row>
    <row r="474" spans="1:50" ht="23.5" customHeight="1" thickTop="1" thickBot="1" x14ac:dyDescent="0.35">
      <c r="A474" s="63"/>
      <c r="B474" s="76"/>
      <c r="C474" s="25"/>
      <c r="D474" s="87"/>
      <c r="E474" s="38" t="s">
        <v>197</v>
      </c>
      <c r="F474" s="38">
        <v>1</v>
      </c>
      <c r="G474" s="39"/>
      <c r="H474" s="39"/>
      <c r="I474" s="39"/>
      <c r="J474" s="36"/>
      <c r="K474" s="36"/>
      <c r="L474" s="25"/>
      <c r="M474" s="18"/>
      <c r="O474" s="1">
        <v>7</v>
      </c>
      <c r="P474" s="1">
        <v>1</v>
      </c>
      <c r="Q474" s="1">
        <v>1</v>
      </c>
      <c r="R474" s="1">
        <v>1</v>
      </c>
      <c r="S474" s="14"/>
      <c r="U474" s="9"/>
      <c r="V474" s="10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X474" s="14"/>
    </row>
    <row r="475" spans="1:50" ht="23.5" customHeight="1" thickTop="1" thickBot="1" x14ac:dyDescent="0.35">
      <c r="A475" s="63"/>
      <c r="B475" s="76"/>
      <c r="C475" s="25"/>
      <c r="D475" s="39"/>
      <c r="E475" s="39"/>
      <c r="F475" s="39"/>
      <c r="G475" s="25"/>
      <c r="H475" s="39"/>
      <c r="I475" s="25"/>
      <c r="J475" s="25"/>
      <c r="K475" s="36"/>
      <c r="L475" s="25"/>
      <c r="M475" s="18"/>
      <c r="O475" s="4">
        <v>8</v>
      </c>
      <c r="P475" s="4">
        <v>2</v>
      </c>
      <c r="Q475" s="4">
        <v>0</v>
      </c>
      <c r="R475" s="4">
        <v>0</v>
      </c>
      <c r="S475" s="14"/>
      <c r="AX475" s="14"/>
    </row>
    <row r="476" spans="1:50" ht="23.5" customHeight="1" thickTop="1" thickBot="1" x14ac:dyDescent="0.35">
      <c r="A476" s="63"/>
      <c r="B476" s="81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19"/>
      <c r="N476" s="15"/>
      <c r="O476" s="15"/>
      <c r="P476" s="15"/>
      <c r="Q476" s="15"/>
      <c r="R476" s="15"/>
      <c r="S476" s="16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6"/>
    </row>
    <row r="477" spans="1:50" ht="15" customHeight="1" thickTop="1" thickBot="1" x14ac:dyDescent="0.35">
      <c r="A477" s="63"/>
      <c r="B477" s="89" t="s">
        <v>104</v>
      </c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17"/>
      <c r="N477" s="24"/>
      <c r="O477" s="24"/>
      <c r="P477" s="24"/>
      <c r="Q477" s="24"/>
      <c r="R477" s="24"/>
      <c r="S477" s="1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17"/>
    </row>
    <row r="478" spans="1:50" ht="31" customHeight="1" thickTop="1" thickBot="1" x14ac:dyDescent="0.35">
      <c r="A478" s="63"/>
      <c r="B478" s="76"/>
      <c r="C478" s="24"/>
      <c r="D478" s="27" t="s">
        <v>191</v>
      </c>
      <c r="E478" s="27" t="s">
        <v>192</v>
      </c>
      <c r="F478" s="27" t="s">
        <v>193</v>
      </c>
      <c r="G478" s="27" t="s">
        <v>191</v>
      </c>
      <c r="H478" s="27" t="s">
        <v>192</v>
      </c>
      <c r="I478" s="27" t="s">
        <v>193</v>
      </c>
      <c r="J478" s="27" t="s">
        <v>191</v>
      </c>
      <c r="K478" s="27" t="s">
        <v>192</v>
      </c>
      <c r="L478" s="27" t="s">
        <v>193</v>
      </c>
      <c r="M478" s="17"/>
      <c r="N478" s="24"/>
      <c r="O478" s="82" t="s">
        <v>205</v>
      </c>
      <c r="P478" s="82" t="s">
        <v>206</v>
      </c>
      <c r="Q478" s="83"/>
      <c r="R478" s="83"/>
      <c r="S478" s="1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17"/>
    </row>
    <row r="479" spans="1:50" ht="23.5" customHeight="1" thickTop="1" thickBot="1" x14ac:dyDescent="0.35">
      <c r="A479" s="63"/>
      <c r="B479" s="76"/>
      <c r="C479" s="33"/>
      <c r="D479" s="88" t="s">
        <v>194</v>
      </c>
      <c r="E479" s="36" t="s">
        <v>148</v>
      </c>
      <c r="F479" s="36">
        <v>5</v>
      </c>
      <c r="G479" s="85" t="s">
        <v>198</v>
      </c>
      <c r="H479" s="36" t="s">
        <v>158</v>
      </c>
      <c r="I479" s="36">
        <v>2</v>
      </c>
      <c r="J479" s="85" t="s">
        <v>202</v>
      </c>
      <c r="K479" s="36" t="s">
        <v>203</v>
      </c>
      <c r="L479" s="36">
        <v>2</v>
      </c>
      <c r="M479" s="18"/>
      <c r="N479" s="13"/>
      <c r="O479" s="84"/>
      <c r="P479" s="2" t="s">
        <v>178</v>
      </c>
      <c r="Q479" s="2" t="s">
        <v>186</v>
      </c>
      <c r="R479" s="2" t="s">
        <v>190</v>
      </c>
      <c r="S479" s="14"/>
      <c r="T479" s="13"/>
      <c r="AX479" s="14"/>
    </row>
    <row r="480" spans="1:50" ht="23" customHeight="1" thickBot="1" x14ac:dyDescent="0.35">
      <c r="A480" s="63"/>
      <c r="B480" s="76"/>
      <c r="C480" s="25"/>
      <c r="D480" s="86"/>
      <c r="E480" s="36" t="s">
        <v>195</v>
      </c>
      <c r="F480" s="36">
        <v>2</v>
      </c>
      <c r="G480" s="86"/>
      <c r="H480" s="36" t="s">
        <v>159</v>
      </c>
      <c r="I480" s="36">
        <v>2</v>
      </c>
      <c r="J480" s="86"/>
      <c r="K480" s="36" t="s">
        <v>166</v>
      </c>
      <c r="L480" s="36">
        <v>2</v>
      </c>
      <c r="M480" s="18"/>
      <c r="O480" s="1">
        <v>1</v>
      </c>
      <c r="P480" s="1">
        <v>0</v>
      </c>
      <c r="Q480" s="1">
        <v>0</v>
      </c>
      <c r="R480" s="1">
        <v>1</v>
      </c>
      <c r="S480" s="14"/>
      <c r="Z480" s="23" t="s">
        <v>194</v>
      </c>
      <c r="AK480" s="23" t="s">
        <v>198</v>
      </c>
      <c r="AT480" s="23" t="s">
        <v>202</v>
      </c>
      <c r="AX480" s="14"/>
    </row>
    <row r="481" spans="1:50" ht="25" customHeight="1" thickTop="1" thickBot="1" x14ac:dyDescent="0.35">
      <c r="A481" s="63"/>
      <c r="B481" s="76"/>
      <c r="C481" s="25"/>
      <c r="D481" s="86"/>
      <c r="E481" s="36" t="s">
        <v>196</v>
      </c>
      <c r="F481" s="36">
        <v>2</v>
      </c>
      <c r="G481" s="86"/>
      <c r="H481" s="36" t="s">
        <v>160</v>
      </c>
      <c r="I481" s="36">
        <v>1</v>
      </c>
      <c r="J481" s="86"/>
      <c r="K481" s="36" t="s">
        <v>167</v>
      </c>
      <c r="L481" s="36">
        <v>2</v>
      </c>
      <c r="M481" s="18"/>
      <c r="O481" s="1">
        <v>2</v>
      </c>
      <c r="P481" s="1">
        <v>1</v>
      </c>
      <c r="Q481" s="1">
        <v>0</v>
      </c>
      <c r="R481" s="1">
        <v>1</v>
      </c>
      <c r="S481" s="14"/>
      <c r="U481" s="7" t="s">
        <v>146</v>
      </c>
      <c r="V481" s="7" t="s">
        <v>147</v>
      </c>
      <c r="W481" s="7" t="s">
        <v>148</v>
      </c>
      <c r="X481" s="7" t="s">
        <v>149</v>
      </c>
      <c r="Y481" s="7" t="s">
        <v>150</v>
      </c>
      <c r="Z481" s="8" t="s">
        <v>151</v>
      </c>
      <c r="AA481" s="7" t="s">
        <v>152</v>
      </c>
      <c r="AB481" s="7" t="s">
        <v>153</v>
      </c>
      <c r="AC481" s="7" t="s">
        <v>154</v>
      </c>
      <c r="AD481" s="7" t="s">
        <v>155</v>
      </c>
      <c r="AE481" s="8" t="s">
        <v>156</v>
      </c>
      <c r="AF481" s="7" t="s">
        <v>157</v>
      </c>
      <c r="AH481" s="7" t="s">
        <v>146</v>
      </c>
      <c r="AI481" s="7" t="s">
        <v>147</v>
      </c>
      <c r="AJ481" s="7" t="s">
        <v>158</v>
      </c>
      <c r="AK481" s="7" t="s">
        <v>159</v>
      </c>
      <c r="AL481" s="7" t="s">
        <v>160</v>
      </c>
      <c r="AM481" s="7" t="s">
        <v>161</v>
      </c>
      <c r="AN481" s="7" t="s">
        <v>162</v>
      </c>
      <c r="AO481" s="7" t="s">
        <v>163</v>
      </c>
      <c r="AP481" s="7" t="s">
        <v>164</v>
      </c>
      <c r="AR481" s="7" t="s">
        <v>146</v>
      </c>
      <c r="AS481" s="7" t="s">
        <v>147</v>
      </c>
      <c r="AT481" s="7" t="s">
        <v>165</v>
      </c>
      <c r="AU481" s="7" t="s">
        <v>166</v>
      </c>
      <c r="AV481" s="7" t="s">
        <v>167</v>
      </c>
      <c r="AW481" s="7" t="s">
        <v>168</v>
      </c>
      <c r="AX481" s="14"/>
    </row>
    <row r="482" spans="1:50" ht="24" customHeight="1" thickTop="1" thickBot="1" x14ac:dyDescent="0.35">
      <c r="A482" s="63"/>
      <c r="B482" s="76"/>
      <c r="C482" s="25"/>
      <c r="D482" s="86"/>
      <c r="E482" s="1" t="s">
        <v>151</v>
      </c>
      <c r="F482" s="36">
        <v>2</v>
      </c>
      <c r="G482" s="86"/>
      <c r="H482" s="36" t="s">
        <v>199</v>
      </c>
      <c r="I482" s="36">
        <v>2</v>
      </c>
      <c r="J482" s="87"/>
      <c r="K482" s="38" t="s">
        <v>168</v>
      </c>
      <c r="L482" s="38">
        <v>2</v>
      </c>
      <c r="M482" s="18"/>
      <c r="O482" s="1">
        <v>3</v>
      </c>
      <c r="P482" s="1">
        <v>2</v>
      </c>
      <c r="Q482" s="1">
        <v>1</v>
      </c>
      <c r="R482" s="1">
        <v>1</v>
      </c>
      <c r="S482" s="14"/>
      <c r="U482" s="9" t="s">
        <v>171</v>
      </c>
      <c r="V482" s="10" t="s">
        <v>172</v>
      </c>
      <c r="W482" s="9">
        <v>7.39</v>
      </c>
      <c r="X482" s="9">
        <v>0.71</v>
      </c>
      <c r="Y482" s="9">
        <v>1.1200000000000001</v>
      </c>
      <c r="Z482" s="9">
        <v>0.59</v>
      </c>
      <c r="AA482" s="9">
        <v>2.86</v>
      </c>
      <c r="AB482" s="9">
        <v>0.85</v>
      </c>
      <c r="AC482" s="9">
        <v>0.93</v>
      </c>
      <c r="AD482" s="9">
        <v>1.1499999999999999</v>
      </c>
      <c r="AE482" s="9">
        <v>1.3</v>
      </c>
      <c r="AF482" s="9">
        <v>2.06</v>
      </c>
      <c r="AH482" s="9" t="s">
        <v>173</v>
      </c>
      <c r="AI482" s="10" t="s">
        <v>174</v>
      </c>
      <c r="AJ482" s="9">
        <v>6.26</v>
      </c>
      <c r="AK482" s="9">
        <v>6.61</v>
      </c>
      <c r="AL482" s="9">
        <v>3</v>
      </c>
      <c r="AM482" s="9">
        <v>6.81</v>
      </c>
      <c r="AN482" s="9">
        <v>1.61</v>
      </c>
      <c r="AO482" s="9">
        <v>7.26</v>
      </c>
      <c r="AP482" s="9">
        <v>5.26</v>
      </c>
      <c r="AR482" s="9" t="s">
        <v>175</v>
      </c>
      <c r="AS482" s="10" t="s">
        <v>176</v>
      </c>
      <c r="AT482" s="9">
        <v>2.99</v>
      </c>
      <c r="AU482" s="9">
        <v>1.21</v>
      </c>
      <c r="AV482" s="9">
        <v>2.75</v>
      </c>
      <c r="AW482" s="9">
        <v>2</v>
      </c>
      <c r="AX482" s="14"/>
    </row>
    <row r="483" spans="1:50" ht="24" customHeight="1" thickTop="1" thickBot="1" x14ac:dyDescent="0.35">
      <c r="A483" s="63"/>
      <c r="B483" s="76"/>
      <c r="C483" s="25"/>
      <c r="D483" s="86"/>
      <c r="E483" s="36" t="s">
        <v>152</v>
      </c>
      <c r="F483" s="36">
        <v>2</v>
      </c>
      <c r="G483" s="86"/>
      <c r="H483" s="36" t="s">
        <v>200</v>
      </c>
      <c r="I483" s="36">
        <v>1</v>
      </c>
      <c r="J483" s="39"/>
      <c r="K483" s="39"/>
      <c r="L483" s="39"/>
      <c r="M483" s="18"/>
      <c r="O483" s="1">
        <v>4</v>
      </c>
      <c r="P483" s="1">
        <v>0</v>
      </c>
      <c r="Q483" s="1">
        <v>2</v>
      </c>
      <c r="R483" s="1">
        <v>2</v>
      </c>
      <c r="S483" s="14"/>
      <c r="U483" s="9" t="s">
        <v>179</v>
      </c>
      <c r="V483" s="10" t="s">
        <v>180</v>
      </c>
      <c r="W483" s="9">
        <v>8.74</v>
      </c>
      <c r="X483" s="9">
        <v>0.87</v>
      </c>
      <c r="Y483" s="9">
        <v>1.01</v>
      </c>
      <c r="Z483" s="9">
        <v>0.61</v>
      </c>
      <c r="AA483" s="9">
        <v>2.5</v>
      </c>
      <c r="AB483" s="9">
        <v>0.82</v>
      </c>
      <c r="AC483" s="9">
        <v>0.98</v>
      </c>
      <c r="AD483" s="9">
        <v>1</v>
      </c>
      <c r="AE483" s="9">
        <v>1.17</v>
      </c>
      <c r="AF483" s="9">
        <v>1.63</v>
      </c>
      <c r="AH483" s="11" t="s">
        <v>181</v>
      </c>
      <c r="AI483" s="12" t="s">
        <v>182</v>
      </c>
      <c r="AJ483" s="11">
        <v>6.83</v>
      </c>
      <c r="AK483" s="11">
        <v>7.31</v>
      </c>
      <c r="AL483" s="11">
        <v>3</v>
      </c>
      <c r="AM483" s="11">
        <v>7.71</v>
      </c>
      <c r="AN483" s="11">
        <v>2.31</v>
      </c>
      <c r="AO483" s="11">
        <v>8.7100000000000009</v>
      </c>
      <c r="AP483" s="11">
        <v>5.76</v>
      </c>
      <c r="AR483" s="11" t="s">
        <v>183</v>
      </c>
      <c r="AS483" s="12" t="s">
        <v>184</v>
      </c>
      <c r="AT483" s="11">
        <v>3.33</v>
      </c>
      <c r="AU483" s="11">
        <v>1.06</v>
      </c>
      <c r="AV483" s="11">
        <v>2.35</v>
      </c>
      <c r="AW483" s="11">
        <v>2</v>
      </c>
      <c r="AX483" s="14"/>
    </row>
    <row r="484" spans="1:50" ht="23.5" customHeight="1" thickTop="1" thickBot="1" x14ac:dyDescent="0.35">
      <c r="A484" s="63"/>
      <c r="B484" s="76"/>
      <c r="C484" s="25"/>
      <c r="D484" s="86"/>
      <c r="E484" s="36" t="s">
        <v>153</v>
      </c>
      <c r="F484" s="36">
        <v>2</v>
      </c>
      <c r="G484" s="86"/>
      <c r="H484" s="36" t="s">
        <v>201</v>
      </c>
      <c r="I484" s="36">
        <v>1</v>
      </c>
      <c r="J484" s="25"/>
      <c r="K484" s="25"/>
      <c r="L484" s="25"/>
      <c r="M484" s="18"/>
      <c r="O484" s="1">
        <v>5</v>
      </c>
      <c r="P484" s="1">
        <v>1</v>
      </c>
      <c r="Q484" s="1">
        <v>1</v>
      </c>
      <c r="R484" s="1">
        <v>1</v>
      </c>
      <c r="S484" s="14"/>
      <c r="U484" s="11" t="s">
        <v>187</v>
      </c>
      <c r="V484" s="12" t="s">
        <v>188</v>
      </c>
      <c r="W484" s="11">
        <v>9.2200000000000006</v>
      </c>
      <c r="X484" s="11">
        <v>0.65</v>
      </c>
      <c r="Y484" s="11">
        <v>1.21</v>
      </c>
      <c r="Z484" s="11">
        <v>0.72</v>
      </c>
      <c r="AA484" s="11">
        <v>2.5</v>
      </c>
      <c r="AB484" s="11">
        <v>0.86</v>
      </c>
      <c r="AC484" s="11">
        <v>0.91</v>
      </c>
      <c r="AD484" s="11">
        <v>1.2</v>
      </c>
      <c r="AE484" s="11">
        <v>1.4</v>
      </c>
      <c r="AF484" s="11">
        <v>2.25</v>
      </c>
      <c r="AX484" s="14"/>
    </row>
    <row r="485" spans="1:50" ht="23.5" customHeight="1" thickTop="1" thickBot="1" x14ac:dyDescent="0.35">
      <c r="A485" s="63"/>
      <c r="B485" s="76"/>
      <c r="C485" s="25"/>
      <c r="D485" s="86"/>
      <c r="E485" s="1" t="s">
        <v>156</v>
      </c>
      <c r="F485" s="36">
        <v>1</v>
      </c>
      <c r="G485" s="87"/>
      <c r="H485" s="38" t="s">
        <v>164</v>
      </c>
      <c r="I485" s="38">
        <v>1</v>
      </c>
      <c r="J485" s="36"/>
      <c r="K485" s="25"/>
      <c r="L485" s="25"/>
      <c r="M485" s="18"/>
      <c r="O485" s="1">
        <v>6</v>
      </c>
      <c r="P485" s="1">
        <v>2</v>
      </c>
      <c r="Q485" s="1">
        <v>1</v>
      </c>
      <c r="R485" s="1">
        <v>1</v>
      </c>
      <c r="S485" s="14"/>
      <c r="U485" s="9"/>
      <c r="V485" s="10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X485" s="14"/>
    </row>
    <row r="486" spans="1:50" ht="23.5" customHeight="1" thickTop="1" thickBot="1" x14ac:dyDescent="0.35">
      <c r="A486" s="63"/>
      <c r="B486" s="76"/>
      <c r="C486" s="25"/>
      <c r="D486" s="87"/>
      <c r="E486" s="38" t="s">
        <v>197</v>
      </c>
      <c r="F486" s="38">
        <v>1</v>
      </c>
      <c r="G486" s="39"/>
      <c r="H486" s="39"/>
      <c r="I486" s="39"/>
      <c r="J486" s="36"/>
      <c r="K486" s="36"/>
      <c r="L486" s="25"/>
      <c r="M486" s="18"/>
      <c r="O486" s="1">
        <v>7</v>
      </c>
      <c r="P486" s="1">
        <v>1</v>
      </c>
      <c r="Q486" s="1">
        <v>1</v>
      </c>
      <c r="R486" s="1">
        <v>1</v>
      </c>
      <c r="S486" s="14"/>
      <c r="U486" s="9"/>
      <c r="V486" s="10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X486" s="14"/>
    </row>
    <row r="487" spans="1:50" ht="23.5" customHeight="1" thickTop="1" thickBot="1" x14ac:dyDescent="0.35">
      <c r="A487" s="63"/>
      <c r="B487" s="76"/>
      <c r="C487" s="25"/>
      <c r="D487" s="39"/>
      <c r="E487" s="39"/>
      <c r="F487" s="39"/>
      <c r="G487" s="25"/>
      <c r="H487" s="25"/>
      <c r="I487" s="25"/>
      <c r="J487" s="25"/>
      <c r="K487" s="25"/>
      <c r="L487" s="25"/>
      <c r="M487" s="18"/>
      <c r="O487" s="4">
        <v>8</v>
      </c>
      <c r="P487" s="4">
        <v>0</v>
      </c>
      <c r="Q487" s="4">
        <v>0</v>
      </c>
      <c r="R487" s="4">
        <v>1</v>
      </c>
      <c r="S487" s="14"/>
      <c r="AX487" s="14"/>
    </row>
    <row r="488" spans="1:50" ht="23.5" customHeight="1" thickTop="1" thickBot="1" x14ac:dyDescent="0.35">
      <c r="A488" s="63"/>
      <c r="B488" s="81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19"/>
      <c r="N488" s="15"/>
      <c r="O488" s="15"/>
      <c r="P488" s="15"/>
      <c r="Q488" s="15"/>
      <c r="R488" s="15"/>
      <c r="S488" s="16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6"/>
    </row>
    <row r="489" spans="1:50" ht="15" customHeight="1" thickTop="1" thickBot="1" x14ac:dyDescent="0.35">
      <c r="A489" s="63"/>
      <c r="B489" s="89" t="s">
        <v>105</v>
      </c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17"/>
      <c r="N489" s="24"/>
      <c r="O489" s="24"/>
      <c r="P489" s="24"/>
      <c r="Q489" s="24"/>
      <c r="R489" s="24"/>
      <c r="S489" s="1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17"/>
    </row>
    <row r="490" spans="1:50" ht="31" customHeight="1" thickTop="1" thickBot="1" x14ac:dyDescent="0.35">
      <c r="A490" s="63"/>
      <c r="B490" s="76"/>
      <c r="C490" s="24"/>
      <c r="D490" s="27" t="s">
        <v>191</v>
      </c>
      <c r="E490" s="27" t="s">
        <v>192</v>
      </c>
      <c r="F490" s="27" t="s">
        <v>193</v>
      </c>
      <c r="G490" s="27" t="s">
        <v>191</v>
      </c>
      <c r="H490" s="27" t="s">
        <v>192</v>
      </c>
      <c r="I490" s="27" t="s">
        <v>193</v>
      </c>
      <c r="J490" s="27" t="s">
        <v>191</v>
      </c>
      <c r="K490" s="27" t="s">
        <v>192</v>
      </c>
      <c r="L490" s="27" t="s">
        <v>193</v>
      </c>
      <c r="M490" s="17"/>
      <c r="N490" s="24"/>
      <c r="O490" s="82" t="s">
        <v>205</v>
      </c>
      <c r="P490" s="82" t="s">
        <v>206</v>
      </c>
      <c r="Q490" s="83"/>
      <c r="R490" s="83"/>
      <c r="S490" s="1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17"/>
    </row>
    <row r="491" spans="1:50" ht="23.5" customHeight="1" thickTop="1" thickBot="1" x14ac:dyDescent="0.35">
      <c r="A491" s="63"/>
      <c r="B491" s="76"/>
      <c r="C491" s="33"/>
      <c r="D491" s="88" t="s">
        <v>194</v>
      </c>
      <c r="E491" s="36" t="s">
        <v>148</v>
      </c>
      <c r="F491" s="36">
        <v>5</v>
      </c>
      <c r="G491" s="85" t="s">
        <v>198</v>
      </c>
      <c r="H491" s="36" t="s">
        <v>158</v>
      </c>
      <c r="I491" s="36">
        <v>2</v>
      </c>
      <c r="J491" s="85" t="s">
        <v>202</v>
      </c>
      <c r="K491" s="36" t="s">
        <v>203</v>
      </c>
      <c r="L491" s="36">
        <v>2</v>
      </c>
      <c r="M491" s="18"/>
      <c r="N491" s="13"/>
      <c r="O491" s="84"/>
      <c r="P491" s="2" t="s">
        <v>178</v>
      </c>
      <c r="Q491" s="2" t="s">
        <v>186</v>
      </c>
      <c r="R491" s="2" t="s">
        <v>190</v>
      </c>
      <c r="S491" s="14"/>
      <c r="T491" s="13"/>
      <c r="AX491" s="14"/>
    </row>
    <row r="492" spans="1:50" ht="23" customHeight="1" thickBot="1" x14ac:dyDescent="0.35">
      <c r="A492" s="63"/>
      <c r="B492" s="76"/>
      <c r="C492" s="25"/>
      <c r="D492" s="86"/>
      <c r="E492" s="36" t="s">
        <v>195</v>
      </c>
      <c r="F492" s="36">
        <v>2</v>
      </c>
      <c r="G492" s="86"/>
      <c r="H492" s="36" t="s">
        <v>159</v>
      </c>
      <c r="I492" s="36">
        <v>2</v>
      </c>
      <c r="J492" s="86"/>
      <c r="K492" s="36" t="s">
        <v>166</v>
      </c>
      <c r="L492" s="36">
        <v>2</v>
      </c>
      <c r="M492" s="18"/>
      <c r="O492" s="1">
        <v>1</v>
      </c>
      <c r="P492" s="1">
        <v>1</v>
      </c>
      <c r="Q492" s="1">
        <v>1</v>
      </c>
      <c r="R492" s="1">
        <v>0</v>
      </c>
      <c r="S492" s="14"/>
      <c r="Z492" s="23" t="s">
        <v>194</v>
      </c>
      <c r="AK492" s="23" t="s">
        <v>198</v>
      </c>
      <c r="AT492" s="23" t="s">
        <v>202</v>
      </c>
      <c r="AX492" s="14"/>
    </row>
    <row r="493" spans="1:50" ht="25" customHeight="1" thickTop="1" thickBot="1" x14ac:dyDescent="0.35">
      <c r="A493" s="63"/>
      <c r="B493" s="76"/>
      <c r="C493" s="25"/>
      <c r="D493" s="86"/>
      <c r="E493" s="36" t="s">
        <v>196</v>
      </c>
      <c r="F493" s="36">
        <v>2</v>
      </c>
      <c r="G493" s="86"/>
      <c r="H493" s="36" t="s">
        <v>160</v>
      </c>
      <c r="I493" s="36">
        <v>1</v>
      </c>
      <c r="J493" s="86"/>
      <c r="K493" s="36" t="s">
        <v>167</v>
      </c>
      <c r="L493" s="36">
        <v>2</v>
      </c>
      <c r="M493" s="18"/>
      <c r="O493" s="1">
        <v>2</v>
      </c>
      <c r="P493" s="1">
        <v>1</v>
      </c>
      <c r="Q493" s="1">
        <v>2</v>
      </c>
      <c r="R493" s="1">
        <v>1</v>
      </c>
      <c r="S493" s="14"/>
      <c r="U493" s="7" t="s">
        <v>146</v>
      </c>
      <c r="V493" s="7" t="s">
        <v>147</v>
      </c>
      <c r="W493" s="7" t="s">
        <v>148</v>
      </c>
      <c r="X493" s="7" t="s">
        <v>149</v>
      </c>
      <c r="Y493" s="7" t="s">
        <v>150</v>
      </c>
      <c r="Z493" s="8" t="s">
        <v>151</v>
      </c>
      <c r="AA493" s="7" t="s">
        <v>152</v>
      </c>
      <c r="AB493" s="7" t="s">
        <v>153</v>
      </c>
      <c r="AC493" s="7" t="s">
        <v>154</v>
      </c>
      <c r="AD493" s="7" t="s">
        <v>155</v>
      </c>
      <c r="AE493" s="8" t="s">
        <v>156</v>
      </c>
      <c r="AF493" s="7" t="s">
        <v>157</v>
      </c>
      <c r="AH493" s="7" t="s">
        <v>146</v>
      </c>
      <c r="AI493" s="7" t="s">
        <v>147</v>
      </c>
      <c r="AJ493" s="7" t="s">
        <v>158</v>
      </c>
      <c r="AK493" s="7" t="s">
        <v>159</v>
      </c>
      <c r="AL493" s="7" t="s">
        <v>160</v>
      </c>
      <c r="AM493" s="7" t="s">
        <v>161</v>
      </c>
      <c r="AN493" s="7" t="s">
        <v>162</v>
      </c>
      <c r="AO493" s="7" t="s">
        <v>163</v>
      </c>
      <c r="AP493" s="7" t="s">
        <v>164</v>
      </c>
      <c r="AR493" s="7" t="s">
        <v>146</v>
      </c>
      <c r="AS493" s="7" t="s">
        <v>147</v>
      </c>
      <c r="AT493" s="7" t="s">
        <v>165</v>
      </c>
      <c r="AU493" s="7" t="s">
        <v>166</v>
      </c>
      <c r="AV493" s="7" t="s">
        <v>167</v>
      </c>
      <c r="AW493" s="7" t="s">
        <v>168</v>
      </c>
      <c r="AX493" s="14"/>
    </row>
    <row r="494" spans="1:50" ht="24" customHeight="1" thickTop="1" thickBot="1" x14ac:dyDescent="0.35">
      <c r="A494" s="63"/>
      <c r="B494" s="76"/>
      <c r="C494" s="25"/>
      <c r="D494" s="86"/>
      <c r="E494" s="1" t="s">
        <v>151</v>
      </c>
      <c r="F494" s="36">
        <v>2</v>
      </c>
      <c r="G494" s="86"/>
      <c r="H494" s="36" t="s">
        <v>199</v>
      </c>
      <c r="I494" s="36">
        <v>2</v>
      </c>
      <c r="J494" s="87"/>
      <c r="K494" s="38" t="s">
        <v>168</v>
      </c>
      <c r="L494" s="38">
        <v>2</v>
      </c>
      <c r="M494" s="18"/>
      <c r="O494" s="1">
        <v>3</v>
      </c>
      <c r="P494" s="1">
        <v>0</v>
      </c>
      <c r="Q494" s="1">
        <v>1</v>
      </c>
      <c r="R494" s="1">
        <v>1</v>
      </c>
      <c r="S494" s="14"/>
      <c r="U494" s="9" t="s">
        <v>171</v>
      </c>
      <c r="V494" s="10" t="s">
        <v>172</v>
      </c>
      <c r="W494" s="9">
        <v>7.69</v>
      </c>
      <c r="X494" s="9">
        <v>0.83</v>
      </c>
      <c r="Y494" s="9">
        <v>1.17</v>
      </c>
      <c r="Z494" s="9">
        <v>0.67</v>
      </c>
      <c r="AA494" s="9">
        <v>2.72</v>
      </c>
      <c r="AB494" s="9">
        <v>0.84</v>
      </c>
      <c r="AC494" s="9">
        <v>0.96</v>
      </c>
      <c r="AD494" s="9">
        <v>1.07</v>
      </c>
      <c r="AE494" s="9">
        <v>1.08</v>
      </c>
      <c r="AF494" s="9">
        <v>1.99</v>
      </c>
      <c r="AH494" s="9" t="s">
        <v>173</v>
      </c>
      <c r="AI494" s="10" t="s">
        <v>174</v>
      </c>
      <c r="AJ494" s="9">
        <v>6.43</v>
      </c>
      <c r="AK494" s="9">
        <v>6.74</v>
      </c>
      <c r="AL494" s="9">
        <v>3</v>
      </c>
      <c r="AM494" s="9">
        <v>6.36</v>
      </c>
      <c r="AN494" s="9">
        <v>1.95</v>
      </c>
      <c r="AO494" s="9">
        <v>7.43</v>
      </c>
      <c r="AP494" s="9">
        <v>5.34</v>
      </c>
      <c r="AR494" s="9" t="s">
        <v>175</v>
      </c>
      <c r="AS494" s="10" t="s">
        <v>176</v>
      </c>
      <c r="AT494" s="9">
        <v>2.69</v>
      </c>
      <c r="AU494" s="9">
        <v>1.18</v>
      </c>
      <c r="AV494" s="9">
        <v>2.2000000000000002</v>
      </c>
      <c r="AW494" s="9">
        <v>2</v>
      </c>
      <c r="AX494" s="14"/>
    </row>
    <row r="495" spans="1:50" ht="24" customHeight="1" thickTop="1" thickBot="1" x14ac:dyDescent="0.35">
      <c r="A495" s="63"/>
      <c r="B495" s="76"/>
      <c r="C495" s="25"/>
      <c r="D495" s="86"/>
      <c r="E495" s="36" t="s">
        <v>152</v>
      </c>
      <c r="F495" s="36">
        <v>2</v>
      </c>
      <c r="G495" s="86"/>
      <c r="H495" s="36" t="s">
        <v>200</v>
      </c>
      <c r="I495" s="36">
        <v>1</v>
      </c>
      <c r="J495" s="39"/>
      <c r="K495" s="39"/>
      <c r="L495" s="39"/>
      <c r="M495" s="18"/>
      <c r="O495" s="1">
        <v>4</v>
      </c>
      <c r="P495" s="1">
        <v>0</v>
      </c>
      <c r="Q495" s="1">
        <v>2</v>
      </c>
      <c r="R495" s="1">
        <v>0</v>
      </c>
      <c r="S495" s="14"/>
      <c r="U495" s="9" t="s">
        <v>179</v>
      </c>
      <c r="V495" s="10" t="s">
        <v>180</v>
      </c>
      <c r="W495" s="9">
        <v>8.4499999999999993</v>
      </c>
      <c r="X495" s="9">
        <v>0.75</v>
      </c>
      <c r="Y495" s="9">
        <v>1.04</v>
      </c>
      <c r="Z495" s="9">
        <v>0.56999999999999995</v>
      </c>
      <c r="AA495" s="9">
        <v>2.5</v>
      </c>
      <c r="AB495" s="9">
        <v>0.87</v>
      </c>
      <c r="AC495" s="9">
        <v>0.93</v>
      </c>
      <c r="AD495" s="9">
        <v>1.18</v>
      </c>
      <c r="AE495" s="9">
        <v>1.32</v>
      </c>
      <c r="AF495" s="9">
        <v>2.44</v>
      </c>
      <c r="AH495" s="11" t="s">
        <v>181</v>
      </c>
      <c r="AI495" s="12" t="s">
        <v>182</v>
      </c>
      <c r="AJ495" s="11">
        <v>6.72</v>
      </c>
      <c r="AK495" s="11">
        <v>7.18</v>
      </c>
      <c r="AL495" s="11">
        <v>3</v>
      </c>
      <c r="AM495" s="11">
        <v>7.41</v>
      </c>
      <c r="AN495" s="11">
        <v>2.2799999999999998</v>
      </c>
      <c r="AO495" s="11">
        <v>8.43</v>
      </c>
      <c r="AP495" s="11">
        <v>5.63</v>
      </c>
      <c r="AR495" s="11" t="s">
        <v>183</v>
      </c>
      <c r="AS495" s="12" t="s">
        <v>184</v>
      </c>
      <c r="AT495" s="11">
        <v>3.4</v>
      </c>
      <c r="AU495" s="11">
        <v>1.04</v>
      </c>
      <c r="AV495" s="11">
        <v>2.9</v>
      </c>
      <c r="AW495" s="11">
        <v>2</v>
      </c>
      <c r="AX495" s="14"/>
    </row>
    <row r="496" spans="1:50" ht="23.5" customHeight="1" thickTop="1" thickBot="1" x14ac:dyDescent="0.35">
      <c r="A496" s="63"/>
      <c r="B496" s="76"/>
      <c r="C496" s="25"/>
      <c r="D496" s="86"/>
      <c r="E496" s="36" t="s">
        <v>153</v>
      </c>
      <c r="F496" s="36">
        <v>2</v>
      </c>
      <c r="G496" s="86"/>
      <c r="H496" s="36" t="s">
        <v>201</v>
      </c>
      <c r="I496" s="36">
        <v>1</v>
      </c>
      <c r="J496" s="25"/>
      <c r="K496" s="25"/>
      <c r="L496" s="25"/>
      <c r="M496" s="18"/>
      <c r="O496" s="1">
        <v>5</v>
      </c>
      <c r="P496" s="1">
        <v>1</v>
      </c>
      <c r="Q496" s="1">
        <v>1</v>
      </c>
      <c r="R496" s="1">
        <v>1</v>
      </c>
      <c r="S496" s="14"/>
      <c r="U496" s="11" t="s">
        <v>187</v>
      </c>
      <c r="V496" s="12" t="s">
        <v>188</v>
      </c>
      <c r="W496" s="11">
        <v>9.15</v>
      </c>
      <c r="X496" s="11">
        <v>0.68</v>
      </c>
      <c r="Y496" s="11">
        <v>1.25</v>
      </c>
      <c r="Z496" s="11">
        <v>0.75</v>
      </c>
      <c r="AA496" s="11">
        <v>2.84</v>
      </c>
      <c r="AB496" s="11">
        <v>0.81</v>
      </c>
      <c r="AC496" s="11">
        <v>0.99</v>
      </c>
      <c r="AD496" s="11">
        <v>1.2</v>
      </c>
      <c r="AE496" s="11">
        <v>1.38</v>
      </c>
      <c r="AF496" s="11">
        <v>1.76</v>
      </c>
      <c r="AX496" s="14"/>
    </row>
    <row r="497" spans="1:50" ht="23.5" customHeight="1" thickTop="1" thickBot="1" x14ac:dyDescent="0.35">
      <c r="A497" s="63"/>
      <c r="B497" s="76"/>
      <c r="C497" s="25"/>
      <c r="D497" s="86"/>
      <c r="E497" s="1" t="s">
        <v>156</v>
      </c>
      <c r="F497" s="36">
        <v>1</v>
      </c>
      <c r="G497" s="87"/>
      <c r="H497" s="38" t="s">
        <v>164</v>
      </c>
      <c r="I497" s="38">
        <v>1</v>
      </c>
      <c r="J497" s="36"/>
      <c r="K497" s="25"/>
      <c r="L497" s="25"/>
      <c r="M497" s="18"/>
      <c r="O497" s="1">
        <v>6</v>
      </c>
      <c r="P497" s="1">
        <v>2</v>
      </c>
      <c r="Q497" s="1">
        <v>1</v>
      </c>
      <c r="R497" s="1">
        <v>1</v>
      </c>
      <c r="S497" s="14"/>
      <c r="U497" s="9"/>
      <c r="V497" s="10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X497" s="14"/>
    </row>
    <row r="498" spans="1:50" ht="23.5" customHeight="1" thickTop="1" thickBot="1" x14ac:dyDescent="0.35">
      <c r="A498" s="63"/>
      <c r="B498" s="76"/>
      <c r="C498" s="25"/>
      <c r="D498" s="87"/>
      <c r="E498" s="38" t="s">
        <v>197</v>
      </c>
      <c r="F498" s="38">
        <v>1</v>
      </c>
      <c r="G498" s="39"/>
      <c r="H498" s="39"/>
      <c r="I498" s="39"/>
      <c r="J498" s="36"/>
      <c r="K498" s="36"/>
      <c r="L498" s="25"/>
      <c r="M498" s="18"/>
      <c r="O498" s="1">
        <v>7</v>
      </c>
      <c r="P498" s="1">
        <v>1</v>
      </c>
      <c r="Q498" s="1">
        <v>1</v>
      </c>
      <c r="R498" s="1">
        <v>1</v>
      </c>
      <c r="S498" s="14"/>
      <c r="U498" s="9"/>
      <c r="V498" s="10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X498" s="14"/>
    </row>
    <row r="499" spans="1:50" ht="23.5" customHeight="1" thickTop="1" thickBot="1" x14ac:dyDescent="0.35">
      <c r="A499" s="63"/>
      <c r="B499" s="76"/>
      <c r="C499" s="25"/>
      <c r="D499" s="39"/>
      <c r="E499" s="39"/>
      <c r="F499" s="39"/>
      <c r="G499" s="25"/>
      <c r="H499" s="25"/>
      <c r="I499" s="25"/>
      <c r="J499" s="25"/>
      <c r="K499" s="25"/>
      <c r="L499" s="25"/>
      <c r="M499" s="18"/>
      <c r="O499" s="4">
        <v>8</v>
      </c>
      <c r="P499" s="4">
        <v>2</v>
      </c>
      <c r="Q499" s="4">
        <v>0</v>
      </c>
      <c r="R499" s="4">
        <v>2</v>
      </c>
      <c r="S499" s="14"/>
      <c r="AX499" s="14"/>
    </row>
    <row r="500" spans="1:50" ht="23.5" customHeight="1" thickTop="1" thickBot="1" x14ac:dyDescent="0.35">
      <c r="A500" s="64"/>
      <c r="B500" s="81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19"/>
      <c r="N500" s="15"/>
      <c r="O500" s="15"/>
      <c r="P500" s="15"/>
      <c r="Q500" s="15"/>
      <c r="R500" s="15"/>
      <c r="S500" s="16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6"/>
    </row>
    <row r="501" spans="1:50" ht="14.5" customHeight="1" thickTop="1" x14ac:dyDescent="0.3"/>
  </sheetData>
  <mergeCells count="250">
    <mergeCell ref="B405:B416"/>
    <mergeCell ref="B18:B20"/>
    <mergeCell ref="O370:O371"/>
    <mergeCell ref="D395:D402"/>
    <mergeCell ref="P442:R442"/>
    <mergeCell ref="J71:J74"/>
    <mergeCell ref="J347:J350"/>
    <mergeCell ref="D491:D498"/>
    <mergeCell ref="B333:B344"/>
    <mergeCell ref="D323:D330"/>
    <mergeCell ref="P250:R250"/>
    <mergeCell ref="B249:B260"/>
    <mergeCell ref="P286:R286"/>
    <mergeCell ref="G287:G293"/>
    <mergeCell ref="D71:D78"/>
    <mergeCell ref="P178:R178"/>
    <mergeCell ref="P34:R34"/>
    <mergeCell ref="B129:B140"/>
    <mergeCell ref="P214:R214"/>
    <mergeCell ref="O298:O299"/>
    <mergeCell ref="P454:R454"/>
    <mergeCell ref="C18:M20"/>
    <mergeCell ref="B309:B320"/>
    <mergeCell ref="G167:G173"/>
    <mergeCell ref="J59:J62"/>
    <mergeCell ref="P166:R166"/>
    <mergeCell ref="B261:B272"/>
    <mergeCell ref="D383:D390"/>
    <mergeCell ref="J491:J494"/>
    <mergeCell ref="D131:D138"/>
    <mergeCell ref="B201:B212"/>
    <mergeCell ref="P346:R346"/>
    <mergeCell ref="G443:G449"/>
    <mergeCell ref="B153:B164"/>
    <mergeCell ref="B237:B248"/>
    <mergeCell ref="G95:G101"/>
    <mergeCell ref="O118:O119"/>
    <mergeCell ref="B429:B440"/>
    <mergeCell ref="O394:O395"/>
    <mergeCell ref="P466:R466"/>
    <mergeCell ref="B465:B476"/>
    <mergeCell ref="J95:J98"/>
    <mergeCell ref="G467:G473"/>
    <mergeCell ref="D431:D438"/>
    <mergeCell ref="O286:O287"/>
    <mergeCell ref="P46:R46"/>
    <mergeCell ref="J383:J386"/>
    <mergeCell ref="D35:D42"/>
    <mergeCell ref="J371:J374"/>
    <mergeCell ref="O250:O251"/>
    <mergeCell ref="O310:O311"/>
    <mergeCell ref="D311:D318"/>
    <mergeCell ref="J287:J290"/>
    <mergeCell ref="O430:O431"/>
    <mergeCell ref="G419:G425"/>
    <mergeCell ref="D203:D210"/>
    <mergeCell ref="G239:G245"/>
    <mergeCell ref="G275:G281"/>
    <mergeCell ref="O142:O143"/>
    <mergeCell ref="G131:G137"/>
    <mergeCell ref="D179:D186"/>
    <mergeCell ref="G251:G257"/>
    <mergeCell ref="D239:D246"/>
    <mergeCell ref="P142:R142"/>
    <mergeCell ref="G311:G317"/>
    <mergeCell ref="P202:R202"/>
    <mergeCell ref="G395:G401"/>
    <mergeCell ref="P58:R58"/>
    <mergeCell ref="P322:R322"/>
    <mergeCell ref="A405:A500"/>
    <mergeCell ref="P94:R94"/>
    <mergeCell ref="J263:J266"/>
    <mergeCell ref="P22:R22"/>
    <mergeCell ref="P262:R262"/>
    <mergeCell ref="O34:O35"/>
    <mergeCell ref="G23:G29"/>
    <mergeCell ref="G299:G305"/>
    <mergeCell ref="A18:A20"/>
    <mergeCell ref="P190:R190"/>
    <mergeCell ref="J23:J26"/>
    <mergeCell ref="D251:D258"/>
    <mergeCell ref="G479:G485"/>
    <mergeCell ref="P370:R370"/>
    <mergeCell ref="B285:B296"/>
    <mergeCell ref="D119:D126"/>
    <mergeCell ref="O490:O491"/>
    <mergeCell ref="O334:O335"/>
    <mergeCell ref="N18:S20"/>
    <mergeCell ref="B33:B44"/>
    <mergeCell ref="B453:B464"/>
    <mergeCell ref="P70:R70"/>
    <mergeCell ref="P490:R490"/>
    <mergeCell ref="B141:B152"/>
    <mergeCell ref="T18:AX20"/>
    <mergeCell ref="B297:B308"/>
    <mergeCell ref="D371:D378"/>
    <mergeCell ref="O178:O179"/>
    <mergeCell ref="P334:R334"/>
    <mergeCell ref="J35:J38"/>
    <mergeCell ref="G359:G365"/>
    <mergeCell ref="P394:R394"/>
    <mergeCell ref="O70:O71"/>
    <mergeCell ref="B57:B68"/>
    <mergeCell ref="O106:O107"/>
    <mergeCell ref="G143:G149"/>
    <mergeCell ref="J275:J278"/>
    <mergeCell ref="D95:D102"/>
    <mergeCell ref="B165:B176"/>
    <mergeCell ref="G35:G41"/>
    <mergeCell ref="G215:G221"/>
    <mergeCell ref="P106:R106"/>
    <mergeCell ref="D263:D270"/>
    <mergeCell ref="P382:R382"/>
    <mergeCell ref="P226:R226"/>
    <mergeCell ref="O154:O155"/>
    <mergeCell ref="J227:J230"/>
    <mergeCell ref="O46:O47"/>
    <mergeCell ref="B489:B500"/>
    <mergeCell ref="D419:D426"/>
    <mergeCell ref="D275:D282"/>
    <mergeCell ref="J107:J110"/>
    <mergeCell ref="B345:B356"/>
    <mergeCell ref="G203:G209"/>
    <mergeCell ref="G59:G65"/>
    <mergeCell ref="O22:O23"/>
    <mergeCell ref="G119:G125"/>
    <mergeCell ref="G383:G389"/>
    <mergeCell ref="D443:D450"/>
    <mergeCell ref="O478:O479"/>
    <mergeCell ref="G47:G53"/>
    <mergeCell ref="B21:B32"/>
    <mergeCell ref="J407:J410"/>
    <mergeCell ref="O226:O227"/>
    <mergeCell ref="O466:O467"/>
    <mergeCell ref="B441:B452"/>
    <mergeCell ref="G491:G497"/>
    <mergeCell ref="B273:B284"/>
    <mergeCell ref="B117:B128"/>
    <mergeCell ref="G179:G185"/>
    <mergeCell ref="J143:J146"/>
    <mergeCell ref="G155:G161"/>
    <mergeCell ref="D467:D474"/>
    <mergeCell ref="J299:J302"/>
    <mergeCell ref="J155:J158"/>
    <mergeCell ref="G335:G341"/>
    <mergeCell ref="J479:J482"/>
    <mergeCell ref="B45:B56"/>
    <mergeCell ref="J431:J434"/>
    <mergeCell ref="P82:R82"/>
    <mergeCell ref="B321:B332"/>
    <mergeCell ref="G83:G89"/>
    <mergeCell ref="O202:O203"/>
    <mergeCell ref="P358:R358"/>
    <mergeCell ref="J179:J182"/>
    <mergeCell ref="B213:B224"/>
    <mergeCell ref="J455:J458"/>
    <mergeCell ref="P310:R310"/>
    <mergeCell ref="J251:J254"/>
    <mergeCell ref="J311:J314"/>
    <mergeCell ref="O454:O455"/>
    <mergeCell ref="O346:O347"/>
    <mergeCell ref="D347:D354"/>
    <mergeCell ref="B417:B428"/>
    <mergeCell ref="D227:D234"/>
    <mergeCell ref="O382:O383"/>
    <mergeCell ref="A309:A404"/>
    <mergeCell ref="G107:G113"/>
    <mergeCell ref="J203:J206"/>
    <mergeCell ref="D167:D174"/>
    <mergeCell ref="D23:D30"/>
    <mergeCell ref="B189:B200"/>
    <mergeCell ref="D299:D306"/>
    <mergeCell ref="J131:J134"/>
    <mergeCell ref="B369:B380"/>
    <mergeCell ref="D191:D198"/>
    <mergeCell ref="G263:G269"/>
    <mergeCell ref="A21:A116"/>
    <mergeCell ref="J239:J242"/>
    <mergeCell ref="G191:G197"/>
    <mergeCell ref="G323:G329"/>
    <mergeCell ref="D335:D342"/>
    <mergeCell ref="B177:B188"/>
    <mergeCell ref="D83:D90"/>
    <mergeCell ref="A117:A212"/>
    <mergeCell ref="B357:B368"/>
    <mergeCell ref="B105:B116"/>
    <mergeCell ref="J395:J398"/>
    <mergeCell ref="B93:B104"/>
    <mergeCell ref="A213:A308"/>
    <mergeCell ref="B381:B392"/>
    <mergeCell ref="B225:B236"/>
    <mergeCell ref="G371:G377"/>
    <mergeCell ref="O190:O191"/>
    <mergeCell ref="D215:D222"/>
    <mergeCell ref="J47:J50"/>
    <mergeCell ref="P274:R274"/>
    <mergeCell ref="J323:J326"/>
    <mergeCell ref="J443:J446"/>
    <mergeCell ref="O82:O83"/>
    <mergeCell ref="D143:D150"/>
    <mergeCell ref="O358:O359"/>
    <mergeCell ref="B69:B80"/>
    <mergeCell ref="P406:R406"/>
    <mergeCell ref="G407:G413"/>
    <mergeCell ref="O166:O167"/>
    <mergeCell ref="P154:R154"/>
    <mergeCell ref="D407:D414"/>
    <mergeCell ref="O274:O275"/>
    <mergeCell ref="O130:O131"/>
    <mergeCell ref="O322:O323"/>
    <mergeCell ref="P130:R130"/>
    <mergeCell ref="O442:O443"/>
    <mergeCell ref="O238:O239"/>
    <mergeCell ref="P118:R118"/>
    <mergeCell ref="G347:G353"/>
    <mergeCell ref="P298:R298"/>
    <mergeCell ref="D455:D462"/>
    <mergeCell ref="P418:R418"/>
    <mergeCell ref="D47:D54"/>
    <mergeCell ref="O262:O263"/>
    <mergeCell ref="O58:O59"/>
    <mergeCell ref="J419:J422"/>
    <mergeCell ref="G455:G461"/>
    <mergeCell ref="O94:O95"/>
    <mergeCell ref="G431:G437"/>
    <mergeCell ref="O418:O419"/>
    <mergeCell ref="J215:J218"/>
    <mergeCell ref="P238:R238"/>
    <mergeCell ref="O406:O407"/>
    <mergeCell ref="P478:R478"/>
    <mergeCell ref="B477:B488"/>
    <mergeCell ref="J335:J338"/>
    <mergeCell ref="D59:D66"/>
    <mergeCell ref="D479:D486"/>
    <mergeCell ref="J83:J86"/>
    <mergeCell ref="J167:J170"/>
    <mergeCell ref="B393:B404"/>
    <mergeCell ref="P430:R430"/>
    <mergeCell ref="O214:O215"/>
    <mergeCell ref="D359:D366"/>
    <mergeCell ref="J191:J194"/>
    <mergeCell ref="D155:D162"/>
    <mergeCell ref="J467:J470"/>
    <mergeCell ref="D107:D114"/>
    <mergeCell ref="D287:D294"/>
    <mergeCell ref="J119:J122"/>
    <mergeCell ref="B81:B92"/>
    <mergeCell ref="G227:G233"/>
    <mergeCell ref="G71:G77"/>
    <mergeCell ref="J359:J362"/>
  </mergeCells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7:AX585"/>
  <sheetViews>
    <sheetView zoomScale="85" zoomScaleNormal="85" workbookViewId="0">
      <selection activeCell="U36" sqref="U36"/>
    </sheetView>
  </sheetViews>
  <sheetFormatPr defaultRowHeight="14" x14ac:dyDescent="0.3"/>
  <cols>
    <col min="1" max="1" width="10.1640625" bestFit="1" customWidth="1"/>
    <col min="2" max="2" width="36.6640625" customWidth="1"/>
    <col min="3" max="3" width="6.25" customWidth="1"/>
    <col min="4" max="4" width="6.75" customWidth="1"/>
    <col min="5" max="5" width="16.1640625" customWidth="1"/>
    <col min="6" max="7" width="6.58203125" customWidth="1"/>
    <col min="8" max="8" width="19.25" customWidth="1"/>
    <col min="9" max="9" width="6.5" customWidth="1"/>
    <col min="10" max="10" width="6.33203125" customWidth="1"/>
    <col min="11" max="11" width="17.4140625" customWidth="1"/>
    <col min="12" max="12" width="5.4140625" customWidth="1"/>
    <col min="13" max="13" width="6.5" customWidth="1"/>
    <col min="15" max="15" width="10.9140625" customWidth="1"/>
  </cols>
  <sheetData>
    <row r="17" spans="1:50" ht="14.5" customHeight="1" thickBot="1" x14ac:dyDescent="0.35"/>
    <row r="18" spans="1:50" ht="14.5" customHeight="1" thickTop="1" x14ac:dyDescent="0.3">
      <c r="A18" s="95" t="s">
        <v>25</v>
      </c>
      <c r="B18" s="97" t="s">
        <v>1</v>
      </c>
      <c r="C18" s="91" t="s">
        <v>209</v>
      </c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96" t="s">
        <v>210</v>
      </c>
      <c r="O18" s="92"/>
      <c r="P18" s="92"/>
      <c r="Q18" s="92"/>
      <c r="R18" s="92"/>
      <c r="S18" s="93"/>
      <c r="T18" s="91" t="s">
        <v>211</v>
      </c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3"/>
    </row>
    <row r="19" spans="1:50" x14ac:dyDescent="0.3">
      <c r="A19" s="76"/>
      <c r="B19" s="63"/>
      <c r="C19" s="66"/>
      <c r="D19" s="86"/>
      <c r="E19" s="86"/>
      <c r="F19" s="86"/>
      <c r="G19" s="86"/>
      <c r="H19" s="86"/>
      <c r="I19" s="86"/>
      <c r="J19" s="86"/>
      <c r="K19" s="86"/>
      <c r="L19" s="86"/>
      <c r="M19" s="63"/>
      <c r="N19" s="86"/>
      <c r="O19" s="86"/>
      <c r="P19" s="86"/>
      <c r="Q19" s="86"/>
      <c r="R19" s="86"/>
      <c r="S19" s="63"/>
      <c r="T19" s="6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63"/>
    </row>
    <row r="20" spans="1:50" ht="14.5" customHeight="1" thickBot="1" x14ac:dyDescent="0.35">
      <c r="A20" s="81"/>
      <c r="B20" s="64"/>
      <c r="C20" s="67"/>
      <c r="D20" s="94"/>
      <c r="E20" s="94"/>
      <c r="F20" s="94"/>
      <c r="G20" s="94"/>
      <c r="H20" s="94"/>
      <c r="I20" s="94"/>
      <c r="J20" s="94"/>
      <c r="K20" s="94"/>
      <c r="L20" s="94"/>
      <c r="M20" s="64"/>
      <c r="N20" s="94"/>
      <c r="O20" s="94"/>
      <c r="P20" s="94"/>
      <c r="Q20" s="94"/>
      <c r="R20" s="94"/>
      <c r="S20" s="64"/>
      <c r="T20" s="67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64"/>
    </row>
    <row r="21" spans="1:50" ht="21" customHeight="1" thickTop="1" thickBot="1" x14ac:dyDescent="0.35">
      <c r="A21" s="98">
        <v>1</v>
      </c>
      <c r="B21" s="89" t="s">
        <v>106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7"/>
      <c r="N21" s="24"/>
      <c r="O21" s="24"/>
      <c r="P21" s="24"/>
      <c r="Q21" s="24"/>
      <c r="R21" s="24"/>
      <c r="S21" s="17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17"/>
    </row>
    <row r="22" spans="1:50" ht="24.5" customHeight="1" thickTop="1" thickBot="1" x14ac:dyDescent="0.35">
      <c r="A22" s="63"/>
      <c r="B22" s="76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7"/>
      <c r="N22" s="24"/>
      <c r="O22" s="82" t="s">
        <v>205</v>
      </c>
      <c r="P22" s="82" t="s">
        <v>206</v>
      </c>
      <c r="Q22" s="83"/>
      <c r="R22" s="83"/>
      <c r="S22" s="17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17"/>
    </row>
    <row r="23" spans="1:50" ht="26" customHeight="1" thickTop="1" thickBot="1" x14ac:dyDescent="0.35">
      <c r="A23" s="63"/>
      <c r="B23" s="76"/>
      <c r="C23" s="24"/>
      <c r="D23" s="27" t="s">
        <v>191</v>
      </c>
      <c r="E23" s="27" t="s">
        <v>192</v>
      </c>
      <c r="F23" s="27" t="s">
        <v>193</v>
      </c>
      <c r="G23" s="27" t="s">
        <v>191</v>
      </c>
      <c r="H23" s="27" t="s">
        <v>192</v>
      </c>
      <c r="I23" s="27" t="s">
        <v>193</v>
      </c>
      <c r="J23" s="27" t="s">
        <v>191</v>
      </c>
      <c r="K23" s="27" t="s">
        <v>192</v>
      </c>
      <c r="L23" s="27" t="s">
        <v>193</v>
      </c>
      <c r="M23" s="17"/>
      <c r="N23" s="24"/>
      <c r="O23" s="84"/>
      <c r="P23" s="2" t="s">
        <v>178</v>
      </c>
      <c r="Q23" s="2" t="s">
        <v>186</v>
      </c>
      <c r="R23" s="2" t="s">
        <v>190</v>
      </c>
      <c r="S23" s="17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17"/>
    </row>
    <row r="24" spans="1:50" ht="23.5" customHeight="1" thickTop="1" x14ac:dyDescent="0.3">
      <c r="A24" s="63"/>
      <c r="B24" s="76"/>
      <c r="C24" s="33"/>
      <c r="D24" s="88" t="s">
        <v>194</v>
      </c>
      <c r="E24" s="36" t="s">
        <v>148</v>
      </c>
      <c r="F24" s="36">
        <v>5</v>
      </c>
      <c r="G24" s="85" t="s">
        <v>198</v>
      </c>
      <c r="H24" s="36" t="s">
        <v>158</v>
      </c>
      <c r="I24" s="36">
        <v>3</v>
      </c>
      <c r="J24" s="85" t="s">
        <v>202</v>
      </c>
      <c r="K24" s="36" t="s">
        <v>203</v>
      </c>
      <c r="L24" s="36">
        <v>3</v>
      </c>
      <c r="M24" s="18"/>
      <c r="N24" s="13"/>
      <c r="O24" s="1">
        <v>1</v>
      </c>
      <c r="P24" s="1">
        <v>1</v>
      </c>
      <c r="Q24" s="1">
        <v>0</v>
      </c>
      <c r="R24" s="1">
        <v>0</v>
      </c>
      <c r="S24" s="14"/>
      <c r="T24" s="13"/>
      <c r="U24" s="24"/>
      <c r="AX24" s="14"/>
    </row>
    <row r="25" spans="1:50" ht="16" customHeight="1" thickBot="1" x14ac:dyDescent="0.35">
      <c r="A25" s="63"/>
      <c r="B25" s="76"/>
      <c r="C25" s="25"/>
      <c r="D25" s="86"/>
      <c r="E25" s="36" t="s">
        <v>195</v>
      </c>
      <c r="F25" s="36">
        <v>2</v>
      </c>
      <c r="G25" s="86"/>
      <c r="H25" s="36" t="s">
        <v>159</v>
      </c>
      <c r="I25" s="36">
        <v>2</v>
      </c>
      <c r="J25" s="86"/>
      <c r="K25" s="36" t="s">
        <v>166</v>
      </c>
      <c r="L25" s="36">
        <v>3</v>
      </c>
      <c r="M25" s="18"/>
      <c r="O25" s="1">
        <v>2</v>
      </c>
      <c r="P25" s="1">
        <v>2</v>
      </c>
      <c r="Q25" s="1">
        <v>2</v>
      </c>
      <c r="R25" s="1">
        <v>0</v>
      </c>
      <c r="S25" s="14"/>
      <c r="Z25" s="23" t="s">
        <v>194</v>
      </c>
      <c r="AK25" s="23" t="s">
        <v>198</v>
      </c>
      <c r="AT25" s="23" t="s">
        <v>202</v>
      </c>
      <c r="AX25" s="14"/>
    </row>
    <row r="26" spans="1:50" ht="25" customHeight="1" thickTop="1" thickBot="1" x14ac:dyDescent="0.35">
      <c r="A26" s="63"/>
      <c r="B26" s="76"/>
      <c r="C26" s="25"/>
      <c r="D26" s="86"/>
      <c r="E26" s="36" t="s">
        <v>196</v>
      </c>
      <c r="F26" s="36">
        <v>2</v>
      </c>
      <c r="G26" s="86"/>
      <c r="H26" s="36" t="s">
        <v>160</v>
      </c>
      <c r="I26" s="36">
        <v>1</v>
      </c>
      <c r="J26" s="86"/>
      <c r="K26" s="36" t="s">
        <v>167</v>
      </c>
      <c r="L26" s="36">
        <v>3</v>
      </c>
      <c r="M26" s="18"/>
      <c r="O26" s="1">
        <v>3</v>
      </c>
      <c r="P26" s="1">
        <v>0</v>
      </c>
      <c r="Q26" s="1">
        <v>1</v>
      </c>
      <c r="R26" s="1">
        <v>1</v>
      </c>
      <c r="S26" s="14"/>
      <c r="U26" s="7" t="s">
        <v>146</v>
      </c>
      <c r="V26" s="7" t="s">
        <v>147</v>
      </c>
      <c r="W26" s="7" t="s">
        <v>148</v>
      </c>
      <c r="X26" s="7" t="s">
        <v>149</v>
      </c>
      <c r="Y26" s="7" t="s">
        <v>150</v>
      </c>
      <c r="Z26" s="8" t="s">
        <v>151</v>
      </c>
      <c r="AA26" s="7" t="s">
        <v>152</v>
      </c>
      <c r="AB26" s="7" t="s">
        <v>153</v>
      </c>
      <c r="AC26" s="7" t="s">
        <v>154</v>
      </c>
      <c r="AD26" s="7" t="s">
        <v>155</v>
      </c>
      <c r="AE26" s="8" t="s">
        <v>156</v>
      </c>
      <c r="AF26" s="7" t="s">
        <v>157</v>
      </c>
      <c r="AH26" s="7" t="s">
        <v>146</v>
      </c>
      <c r="AI26" s="7" t="s">
        <v>147</v>
      </c>
      <c r="AJ26" s="7" t="s">
        <v>158</v>
      </c>
      <c r="AK26" s="7" t="s">
        <v>159</v>
      </c>
      <c r="AL26" s="7" t="s">
        <v>160</v>
      </c>
      <c r="AM26" s="7" t="s">
        <v>161</v>
      </c>
      <c r="AN26" s="7" t="s">
        <v>162</v>
      </c>
      <c r="AO26" s="7" t="s">
        <v>163</v>
      </c>
      <c r="AP26" s="7" t="s">
        <v>164</v>
      </c>
      <c r="AR26" s="7" t="s">
        <v>146</v>
      </c>
      <c r="AS26" s="7" t="s">
        <v>147</v>
      </c>
      <c r="AT26" s="7" t="s">
        <v>165</v>
      </c>
      <c r="AU26" s="7" t="s">
        <v>166</v>
      </c>
      <c r="AV26" s="7" t="s">
        <v>167</v>
      </c>
      <c r="AW26" s="7" t="s">
        <v>168</v>
      </c>
      <c r="AX26" s="14"/>
    </row>
    <row r="27" spans="1:50" ht="23" customHeight="1" thickTop="1" thickBot="1" x14ac:dyDescent="0.35">
      <c r="A27" s="63"/>
      <c r="B27" s="76"/>
      <c r="C27" s="25"/>
      <c r="D27" s="86"/>
      <c r="E27" s="1" t="s">
        <v>151</v>
      </c>
      <c r="F27" s="36">
        <v>2</v>
      </c>
      <c r="G27" s="86"/>
      <c r="H27" s="36" t="s">
        <v>199</v>
      </c>
      <c r="I27" s="36">
        <v>2</v>
      </c>
      <c r="J27" s="87"/>
      <c r="K27" s="38" t="s">
        <v>168</v>
      </c>
      <c r="L27" s="38">
        <v>1</v>
      </c>
      <c r="M27" s="18"/>
      <c r="O27" s="1">
        <v>4</v>
      </c>
      <c r="P27" s="1">
        <v>0</v>
      </c>
      <c r="Q27" s="1">
        <v>2</v>
      </c>
      <c r="R27" s="1">
        <v>0</v>
      </c>
      <c r="S27" s="14"/>
      <c r="U27" s="9" t="s">
        <v>171</v>
      </c>
      <c r="V27" s="10" t="s">
        <v>172</v>
      </c>
      <c r="W27" s="9">
        <v>7.05</v>
      </c>
      <c r="X27" s="9">
        <v>0.77</v>
      </c>
      <c r="Y27" s="9">
        <v>1.19</v>
      </c>
      <c r="Z27" s="9">
        <v>0.63</v>
      </c>
      <c r="AA27" s="9">
        <v>2.5</v>
      </c>
      <c r="AB27" s="9">
        <v>0.89</v>
      </c>
      <c r="AC27" s="9">
        <v>0.95</v>
      </c>
      <c r="AD27" s="9">
        <v>1.1000000000000001</v>
      </c>
      <c r="AE27" s="9">
        <v>1.1100000000000001</v>
      </c>
      <c r="AF27" s="9">
        <v>2.16</v>
      </c>
      <c r="AH27" s="9" t="s">
        <v>173</v>
      </c>
      <c r="AI27" s="10" t="s">
        <v>174</v>
      </c>
      <c r="AJ27" s="9">
        <v>6.35</v>
      </c>
      <c r="AK27" s="9">
        <v>6.77</v>
      </c>
      <c r="AL27" s="9">
        <v>3</v>
      </c>
      <c r="AM27" s="9">
        <v>6.88</v>
      </c>
      <c r="AN27" s="9">
        <v>1.77</v>
      </c>
      <c r="AO27" s="9">
        <v>7.27</v>
      </c>
      <c r="AP27" s="9">
        <v>5.35</v>
      </c>
      <c r="AR27" s="9" t="s">
        <v>175</v>
      </c>
      <c r="AS27" s="10" t="s">
        <v>176</v>
      </c>
      <c r="AT27" s="9">
        <v>2.58</v>
      </c>
      <c r="AU27" s="9">
        <v>1.1499999999999999</v>
      </c>
      <c r="AV27" s="9">
        <v>2.4500000000000002</v>
      </c>
      <c r="AW27" s="9">
        <v>2</v>
      </c>
      <c r="AX27" s="14"/>
    </row>
    <row r="28" spans="1:50" ht="23.5" customHeight="1" thickTop="1" thickBot="1" x14ac:dyDescent="0.35">
      <c r="A28" s="63"/>
      <c r="B28" s="76"/>
      <c r="C28" s="25"/>
      <c r="D28" s="86"/>
      <c r="E28" s="36" t="s">
        <v>152</v>
      </c>
      <c r="F28" s="36">
        <v>2</v>
      </c>
      <c r="G28" s="86"/>
      <c r="H28" s="36" t="s">
        <v>200</v>
      </c>
      <c r="I28" s="36">
        <v>2</v>
      </c>
      <c r="J28" s="39"/>
      <c r="K28" s="39"/>
      <c r="L28" s="39"/>
      <c r="M28" s="18"/>
      <c r="O28" s="1">
        <v>5</v>
      </c>
      <c r="P28" s="1">
        <v>1</v>
      </c>
      <c r="Q28" s="1">
        <v>1</v>
      </c>
      <c r="R28" s="1">
        <v>1</v>
      </c>
      <c r="S28" s="14"/>
      <c r="U28" s="9" t="s">
        <v>179</v>
      </c>
      <c r="V28" s="10" t="s">
        <v>180</v>
      </c>
      <c r="W28" s="9">
        <v>8.65</v>
      </c>
      <c r="X28" s="9">
        <v>0.65</v>
      </c>
      <c r="Y28" s="9">
        <v>1.02</v>
      </c>
      <c r="Z28" s="9">
        <v>0.75</v>
      </c>
      <c r="AA28" s="9">
        <v>2.61</v>
      </c>
      <c r="AB28" s="9">
        <v>0.83</v>
      </c>
      <c r="AC28" s="9">
        <v>0.92</v>
      </c>
      <c r="AD28" s="9">
        <v>1.03</v>
      </c>
      <c r="AE28" s="9">
        <v>1.27</v>
      </c>
      <c r="AF28" s="9">
        <v>1.67</v>
      </c>
      <c r="AH28" s="11" t="s">
        <v>181</v>
      </c>
      <c r="AI28" s="12" t="s">
        <v>182</v>
      </c>
      <c r="AJ28" s="11">
        <v>6.86</v>
      </c>
      <c r="AK28" s="11">
        <v>7.33</v>
      </c>
      <c r="AL28" s="11">
        <v>3</v>
      </c>
      <c r="AM28" s="11">
        <v>7.55</v>
      </c>
      <c r="AN28" s="11">
        <v>2.27</v>
      </c>
      <c r="AO28" s="11">
        <v>8.5500000000000007</v>
      </c>
      <c r="AP28" s="11">
        <v>5.86</v>
      </c>
      <c r="AR28" s="11" t="s">
        <v>183</v>
      </c>
      <c r="AS28" s="12" t="s">
        <v>184</v>
      </c>
      <c r="AT28" s="11">
        <v>3.43</v>
      </c>
      <c r="AU28" s="11">
        <v>1.08</v>
      </c>
      <c r="AV28" s="11">
        <v>2.85</v>
      </c>
      <c r="AW28" s="11">
        <v>2</v>
      </c>
      <c r="AX28" s="14"/>
    </row>
    <row r="29" spans="1:50" ht="23" customHeight="1" thickTop="1" thickBot="1" x14ac:dyDescent="0.35">
      <c r="A29" s="63"/>
      <c r="B29" s="76"/>
      <c r="C29" s="25"/>
      <c r="D29" s="86"/>
      <c r="E29" s="36" t="s">
        <v>153</v>
      </c>
      <c r="F29" s="36">
        <v>2</v>
      </c>
      <c r="G29" s="86"/>
      <c r="H29" s="36" t="s">
        <v>201</v>
      </c>
      <c r="I29" s="36">
        <v>1</v>
      </c>
      <c r="J29" s="25"/>
      <c r="K29" s="25"/>
      <c r="L29" s="25"/>
      <c r="M29" s="18"/>
      <c r="O29" s="1">
        <v>6</v>
      </c>
      <c r="P29" s="1">
        <v>2</v>
      </c>
      <c r="Q29" s="1">
        <v>1</v>
      </c>
      <c r="R29" s="1">
        <v>1</v>
      </c>
      <c r="S29" s="14"/>
      <c r="U29" s="11" t="s">
        <v>187</v>
      </c>
      <c r="V29" s="12" t="s">
        <v>188</v>
      </c>
      <c r="W29" s="11">
        <v>9.0299999999999994</v>
      </c>
      <c r="X29" s="11">
        <v>0.9</v>
      </c>
      <c r="Y29" s="11">
        <v>1.23</v>
      </c>
      <c r="Z29" s="11">
        <v>0.65</v>
      </c>
      <c r="AA29" s="11">
        <v>2.93</v>
      </c>
      <c r="AB29" s="11">
        <v>0.8</v>
      </c>
      <c r="AC29" s="11">
        <v>0.98</v>
      </c>
      <c r="AD29" s="11">
        <v>1.2</v>
      </c>
      <c r="AE29" s="11">
        <v>1.4</v>
      </c>
      <c r="AF29" s="11">
        <v>2.5</v>
      </c>
      <c r="AX29" s="14"/>
    </row>
    <row r="30" spans="1:50" ht="23" customHeight="1" thickTop="1" thickBot="1" x14ac:dyDescent="0.35">
      <c r="A30" s="63"/>
      <c r="B30" s="76"/>
      <c r="C30" s="25"/>
      <c r="D30" s="86"/>
      <c r="E30" s="1" t="s">
        <v>156</v>
      </c>
      <c r="F30" s="36">
        <v>2</v>
      </c>
      <c r="G30" s="87"/>
      <c r="H30" s="38" t="s">
        <v>164</v>
      </c>
      <c r="I30" s="38">
        <v>1</v>
      </c>
      <c r="J30" s="36"/>
      <c r="K30" s="25"/>
      <c r="L30" s="25"/>
      <c r="M30" s="18"/>
      <c r="O30" s="1">
        <v>7</v>
      </c>
      <c r="P30" s="1">
        <v>1</v>
      </c>
      <c r="Q30" s="1">
        <v>1</v>
      </c>
      <c r="R30" s="1">
        <v>1</v>
      </c>
      <c r="S30" s="14"/>
      <c r="U30" s="9"/>
      <c r="V30" s="10"/>
      <c r="W30" s="9"/>
      <c r="X30" s="9"/>
      <c r="Y30" s="9"/>
      <c r="Z30" s="9"/>
      <c r="AA30" s="9"/>
      <c r="AB30" s="9"/>
      <c r="AC30" s="9"/>
      <c r="AD30" s="9"/>
      <c r="AE30" s="9"/>
      <c r="AF30" s="9"/>
      <c r="AX30" s="14"/>
    </row>
    <row r="31" spans="1:50" ht="23" customHeight="1" thickTop="1" thickBot="1" x14ac:dyDescent="0.35">
      <c r="A31" s="63"/>
      <c r="B31" s="76"/>
      <c r="C31" s="25"/>
      <c r="D31" s="87"/>
      <c r="E31" s="38" t="s">
        <v>197</v>
      </c>
      <c r="F31" s="38">
        <v>1</v>
      </c>
      <c r="G31" s="39"/>
      <c r="H31" s="39"/>
      <c r="I31" s="39"/>
      <c r="J31" s="36"/>
      <c r="K31" s="36"/>
      <c r="L31" s="25"/>
      <c r="M31" s="18"/>
      <c r="O31" s="1">
        <v>8</v>
      </c>
      <c r="P31" s="1">
        <v>1</v>
      </c>
      <c r="Q31" s="1">
        <v>1</v>
      </c>
      <c r="R31" s="1">
        <v>3</v>
      </c>
      <c r="S31" s="14"/>
      <c r="U31" s="9"/>
      <c r="V31" s="10"/>
      <c r="W31" s="9"/>
      <c r="X31" s="9"/>
      <c r="Y31" s="9"/>
      <c r="Z31" s="9"/>
      <c r="AA31" s="9"/>
      <c r="AB31" s="9"/>
      <c r="AC31" s="9"/>
      <c r="AD31" s="9"/>
      <c r="AE31" s="9"/>
      <c r="AF31" s="9"/>
      <c r="AX31" s="14"/>
    </row>
    <row r="32" spans="1:50" ht="22.5" customHeight="1" thickTop="1" x14ac:dyDescent="0.3">
      <c r="A32" s="63"/>
      <c r="B32" s="76"/>
      <c r="C32" s="25"/>
      <c r="D32" s="39"/>
      <c r="E32" s="39"/>
      <c r="F32" s="39"/>
      <c r="G32" s="25"/>
      <c r="H32" s="25"/>
      <c r="I32" s="25"/>
      <c r="J32" s="25"/>
      <c r="K32" s="25"/>
      <c r="L32" s="25"/>
      <c r="M32" s="18"/>
      <c r="O32" s="1">
        <v>9</v>
      </c>
      <c r="P32" s="1">
        <v>1</v>
      </c>
      <c r="Q32" s="1">
        <v>1</v>
      </c>
      <c r="R32" s="1">
        <v>0</v>
      </c>
      <c r="S32" s="14"/>
      <c r="AX32" s="14"/>
    </row>
    <row r="33" spans="1:50" ht="22.5" customHeight="1" thickBot="1" x14ac:dyDescent="0.35">
      <c r="A33" s="63"/>
      <c r="B33" s="76"/>
      <c r="C33" s="25"/>
      <c r="D33" s="36"/>
      <c r="E33" s="36"/>
      <c r="F33" s="36"/>
      <c r="G33" s="25"/>
      <c r="H33" s="25"/>
      <c r="I33" s="25"/>
      <c r="J33" s="25"/>
      <c r="K33" s="25"/>
      <c r="L33" s="25"/>
      <c r="M33" s="18"/>
      <c r="O33" s="4">
        <v>10</v>
      </c>
      <c r="P33" s="4">
        <v>2</v>
      </c>
      <c r="Q33" s="4">
        <v>0</v>
      </c>
      <c r="R33" s="4">
        <v>2</v>
      </c>
      <c r="S33" s="14"/>
      <c r="AX33" s="14"/>
    </row>
    <row r="34" spans="1:50" ht="23" customHeight="1" thickTop="1" thickBot="1" x14ac:dyDescent="0.35">
      <c r="A34" s="63"/>
      <c r="B34" s="8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19"/>
      <c r="N34" s="15"/>
      <c r="O34" s="15"/>
      <c r="P34" s="15"/>
      <c r="Q34" s="15"/>
      <c r="R34" s="15"/>
      <c r="S34" s="1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6"/>
    </row>
    <row r="35" spans="1:50" ht="15" customHeight="1" thickTop="1" thickBot="1" x14ac:dyDescent="0.35">
      <c r="A35" s="63"/>
      <c r="B35" s="89" t="s">
        <v>107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17"/>
      <c r="N35" s="24"/>
      <c r="O35" s="24"/>
      <c r="P35" s="24"/>
      <c r="Q35" s="24"/>
      <c r="R35" s="24"/>
      <c r="S35" s="17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17"/>
    </row>
    <row r="36" spans="1:50" ht="16" customHeight="1" thickTop="1" thickBot="1" x14ac:dyDescent="0.35">
      <c r="A36" s="63"/>
      <c r="B36" s="76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17"/>
      <c r="N36" s="24"/>
      <c r="O36" s="82" t="s">
        <v>205</v>
      </c>
      <c r="P36" s="82" t="s">
        <v>206</v>
      </c>
      <c r="Q36" s="83"/>
      <c r="R36" s="83"/>
      <c r="S36" s="17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17"/>
    </row>
    <row r="37" spans="1:50" ht="31" customHeight="1" thickTop="1" thickBot="1" x14ac:dyDescent="0.35">
      <c r="A37" s="63"/>
      <c r="B37" s="76"/>
      <c r="C37" s="24"/>
      <c r="D37" s="27" t="s">
        <v>191</v>
      </c>
      <c r="E37" s="27" t="s">
        <v>192</v>
      </c>
      <c r="F37" s="27" t="s">
        <v>193</v>
      </c>
      <c r="G37" s="27" t="s">
        <v>191</v>
      </c>
      <c r="H37" s="27" t="s">
        <v>192</v>
      </c>
      <c r="I37" s="27" t="s">
        <v>193</v>
      </c>
      <c r="J37" s="27" t="s">
        <v>191</v>
      </c>
      <c r="K37" s="27" t="s">
        <v>192</v>
      </c>
      <c r="L37" s="27" t="s">
        <v>193</v>
      </c>
      <c r="M37" s="17"/>
      <c r="N37" s="24"/>
      <c r="O37" s="84"/>
      <c r="P37" s="2" t="s">
        <v>178</v>
      </c>
      <c r="Q37" s="2" t="s">
        <v>186</v>
      </c>
      <c r="R37" s="2" t="s">
        <v>190</v>
      </c>
      <c r="S37" s="17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17"/>
    </row>
    <row r="38" spans="1:50" ht="23" customHeight="1" thickTop="1" x14ac:dyDescent="0.3">
      <c r="A38" s="63"/>
      <c r="B38" s="76"/>
      <c r="C38" s="33"/>
      <c r="D38" s="88" t="s">
        <v>194</v>
      </c>
      <c r="E38" s="36" t="s">
        <v>148</v>
      </c>
      <c r="F38" s="36">
        <v>5</v>
      </c>
      <c r="G38" s="85" t="s">
        <v>198</v>
      </c>
      <c r="H38" s="36" t="s">
        <v>158</v>
      </c>
      <c r="I38" s="36">
        <v>3</v>
      </c>
      <c r="J38" s="85" t="s">
        <v>202</v>
      </c>
      <c r="K38" s="36" t="s">
        <v>203</v>
      </c>
      <c r="L38" s="36">
        <v>3</v>
      </c>
      <c r="M38" s="18"/>
      <c r="N38" s="13"/>
      <c r="O38" s="1">
        <v>1</v>
      </c>
      <c r="P38" s="1">
        <v>1</v>
      </c>
      <c r="Q38" s="1">
        <v>0</v>
      </c>
      <c r="R38" s="1">
        <v>0</v>
      </c>
      <c r="S38" s="14"/>
      <c r="T38" s="13"/>
      <c r="U38" s="24"/>
      <c r="AX38" s="14"/>
    </row>
    <row r="39" spans="1:50" ht="23" customHeight="1" thickBot="1" x14ac:dyDescent="0.35">
      <c r="A39" s="63"/>
      <c r="B39" s="76"/>
      <c r="C39" s="25"/>
      <c r="D39" s="86"/>
      <c r="E39" s="36" t="s">
        <v>195</v>
      </c>
      <c r="F39" s="36">
        <v>2</v>
      </c>
      <c r="G39" s="86"/>
      <c r="H39" s="36" t="s">
        <v>159</v>
      </c>
      <c r="I39" s="36">
        <v>2</v>
      </c>
      <c r="J39" s="86"/>
      <c r="K39" s="36" t="s">
        <v>166</v>
      </c>
      <c r="L39" s="36">
        <v>3</v>
      </c>
      <c r="M39" s="18"/>
      <c r="O39" s="1">
        <v>2</v>
      </c>
      <c r="P39" s="1">
        <v>1</v>
      </c>
      <c r="Q39" s="1">
        <v>2</v>
      </c>
      <c r="R39" s="1">
        <v>1</v>
      </c>
      <c r="S39" s="14"/>
      <c r="Z39" s="23" t="s">
        <v>194</v>
      </c>
      <c r="AK39" s="23" t="s">
        <v>198</v>
      </c>
      <c r="AT39" s="23" t="s">
        <v>202</v>
      </c>
      <c r="AX39" s="14"/>
    </row>
    <row r="40" spans="1:50" ht="25" customHeight="1" thickTop="1" thickBot="1" x14ac:dyDescent="0.35">
      <c r="A40" s="63"/>
      <c r="B40" s="76"/>
      <c r="C40" s="25"/>
      <c r="D40" s="86"/>
      <c r="E40" s="36" t="s">
        <v>196</v>
      </c>
      <c r="F40" s="36">
        <v>2</v>
      </c>
      <c r="G40" s="86"/>
      <c r="H40" s="36" t="s">
        <v>160</v>
      </c>
      <c r="I40" s="36">
        <v>1</v>
      </c>
      <c r="J40" s="86"/>
      <c r="K40" s="36" t="s">
        <v>167</v>
      </c>
      <c r="L40" s="36">
        <v>3</v>
      </c>
      <c r="M40" s="18"/>
      <c r="O40" s="1">
        <v>3</v>
      </c>
      <c r="P40" s="1">
        <v>0</v>
      </c>
      <c r="Q40" s="1">
        <v>1</v>
      </c>
      <c r="R40" s="1">
        <v>1</v>
      </c>
      <c r="S40" s="14"/>
      <c r="U40" s="7" t="s">
        <v>146</v>
      </c>
      <c r="V40" s="7" t="s">
        <v>147</v>
      </c>
      <c r="W40" s="7" t="s">
        <v>148</v>
      </c>
      <c r="X40" s="7" t="s">
        <v>149</v>
      </c>
      <c r="Y40" s="7" t="s">
        <v>150</v>
      </c>
      <c r="Z40" s="8" t="s">
        <v>151</v>
      </c>
      <c r="AA40" s="7" t="s">
        <v>152</v>
      </c>
      <c r="AB40" s="7" t="s">
        <v>153</v>
      </c>
      <c r="AC40" s="7" t="s">
        <v>154</v>
      </c>
      <c r="AD40" s="7" t="s">
        <v>155</v>
      </c>
      <c r="AE40" s="8" t="s">
        <v>156</v>
      </c>
      <c r="AF40" s="7" t="s">
        <v>157</v>
      </c>
      <c r="AH40" s="7" t="s">
        <v>146</v>
      </c>
      <c r="AI40" s="7" t="s">
        <v>147</v>
      </c>
      <c r="AJ40" s="7" t="s">
        <v>158</v>
      </c>
      <c r="AK40" s="7" t="s">
        <v>159</v>
      </c>
      <c r="AL40" s="7" t="s">
        <v>160</v>
      </c>
      <c r="AM40" s="7" t="s">
        <v>161</v>
      </c>
      <c r="AN40" s="7" t="s">
        <v>162</v>
      </c>
      <c r="AO40" s="7" t="s">
        <v>163</v>
      </c>
      <c r="AP40" s="7" t="s">
        <v>164</v>
      </c>
      <c r="AR40" s="7" t="s">
        <v>146</v>
      </c>
      <c r="AS40" s="7" t="s">
        <v>147</v>
      </c>
      <c r="AT40" s="7" t="s">
        <v>165</v>
      </c>
      <c r="AU40" s="7" t="s">
        <v>166</v>
      </c>
      <c r="AV40" s="7" t="s">
        <v>167</v>
      </c>
      <c r="AW40" s="7" t="s">
        <v>168</v>
      </c>
      <c r="AX40" s="14"/>
    </row>
    <row r="41" spans="1:50" ht="24" customHeight="1" thickTop="1" thickBot="1" x14ac:dyDescent="0.35">
      <c r="A41" s="63"/>
      <c r="B41" s="76"/>
      <c r="C41" s="25"/>
      <c r="D41" s="86"/>
      <c r="E41" s="1" t="s">
        <v>151</v>
      </c>
      <c r="F41" s="36">
        <v>2</v>
      </c>
      <c r="G41" s="86"/>
      <c r="H41" s="36" t="s">
        <v>199</v>
      </c>
      <c r="I41" s="36">
        <v>2</v>
      </c>
      <c r="J41" s="87"/>
      <c r="K41" s="38" t="s">
        <v>168</v>
      </c>
      <c r="L41" s="38">
        <v>1</v>
      </c>
      <c r="M41" s="18"/>
      <c r="O41" s="1">
        <v>4</v>
      </c>
      <c r="P41" s="1">
        <v>3</v>
      </c>
      <c r="Q41" s="1">
        <v>2</v>
      </c>
      <c r="R41" s="1">
        <v>0</v>
      </c>
      <c r="S41" s="14"/>
      <c r="U41" s="9" t="s">
        <v>171</v>
      </c>
      <c r="V41" s="10" t="s">
        <v>172</v>
      </c>
      <c r="W41" s="9">
        <v>7.43</v>
      </c>
      <c r="X41" s="9">
        <v>0.72</v>
      </c>
      <c r="Y41" s="9">
        <v>1.1299999999999999</v>
      </c>
      <c r="Z41" s="9">
        <v>0.69</v>
      </c>
      <c r="AA41" s="9">
        <v>2.5</v>
      </c>
      <c r="AB41" s="9">
        <v>0.85</v>
      </c>
      <c r="AC41" s="9">
        <v>0.97</v>
      </c>
      <c r="AD41" s="9">
        <v>1.1200000000000001</v>
      </c>
      <c r="AE41" s="9">
        <v>1.05</v>
      </c>
      <c r="AF41" s="9">
        <v>1.83</v>
      </c>
      <c r="AH41" s="9" t="s">
        <v>173</v>
      </c>
      <c r="AI41" s="10" t="s">
        <v>174</v>
      </c>
      <c r="AJ41" s="9">
        <v>6.12</v>
      </c>
      <c r="AK41" s="9">
        <v>6.54</v>
      </c>
      <c r="AL41" s="9">
        <v>3</v>
      </c>
      <c r="AM41" s="9">
        <v>6.06</v>
      </c>
      <c r="AN41" s="9">
        <v>1.54</v>
      </c>
      <c r="AO41" s="9">
        <v>7.07</v>
      </c>
      <c r="AP41" s="9">
        <v>5.0199999999999996</v>
      </c>
      <c r="AR41" s="9" t="s">
        <v>175</v>
      </c>
      <c r="AS41" s="10" t="s">
        <v>176</v>
      </c>
      <c r="AT41" s="9">
        <v>3.01</v>
      </c>
      <c r="AU41" s="9">
        <v>1.2</v>
      </c>
      <c r="AV41" s="9">
        <v>2.2000000000000002</v>
      </c>
      <c r="AW41" s="9">
        <v>2</v>
      </c>
      <c r="AX41" s="14"/>
    </row>
    <row r="42" spans="1:50" ht="24" customHeight="1" thickTop="1" thickBot="1" x14ac:dyDescent="0.35">
      <c r="A42" s="63"/>
      <c r="B42" s="76"/>
      <c r="C42" s="25"/>
      <c r="D42" s="86"/>
      <c r="E42" s="36" t="s">
        <v>152</v>
      </c>
      <c r="F42" s="36">
        <v>2</v>
      </c>
      <c r="G42" s="86"/>
      <c r="H42" s="36" t="s">
        <v>200</v>
      </c>
      <c r="I42" s="36">
        <v>2</v>
      </c>
      <c r="J42" s="39"/>
      <c r="K42" s="39"/>
      <c r="L42" s="39"/>
      <c r="M42" s="18"/>
      <c r="O42" s="1">
        <v>5</v>
      </c>
      <c r="P42" s="1">
        <v>0</v>
      </c>
      <c r="Q42" s="1">
        <v>1</v>
      </c>
      <c r="R42" s="1">
        <v>1</v>
      </c>
      <c r="S42" s="14"/>
      <c r="U42" s="9" t="s">
        <v>179</v>
      </c>
      <c r="V42" s="10" t="s">
        <v>180</v>
      </c>
      <c r="W42" s="9">
        <v>8.7200000000000006</v>
      </c>
      <c r="X42" s="9">
        <v>0.67</v>
      </c>
      <c r="Y42" s="9">
        <v>1.06</v>
      </c>
      <c r="Z42" s="9">
        <v>0.57999999999999996</v>
      </c>
      <c r="AA42" s="9">
        <v>2.8</v>
      </c>
      <c r="AB42" s="9">
        <v>0.81</v>
      </c>
      <c r="AC42" s="9">
        <v>0.93</v>
      </c>
      <c r="AD42" s="9">
        <v>1</v>
      </c>
      <c r="AE42" s="9">
        <v>1.22</v>
      </c>
      <c r="AF42" s="9">
        <v>2.33</v>
      </c>
      <c r="AH42" s="11" t="s">
        <v>181</v>
      </c>
      <c r="AI42" s="12" t="s">
        <v>182</v>
      </c>
      <c r="AJ42" s="11">
        <v>6.94</v>
      </c>
      <c r="AK42" s="11">
        <v>7.43</v>
      </c>
      <c r="AL42" s="11">
        <v>3</v>
      </c>
      <c r="AM42" s="11">
        <v>7.94</v>
      </c>
      <c r="AN42" s="11">
        <v>2.4300000000000002</v>
      </c>
      <c r="AO42" s="11">
        <v>8.94</v>
      </c>
      <c r="AP42" s="11">
        <v>5.94</v>
      </c>
      <c r="AR42" s="11" t="s">
        <v>183</v>
      </c>
      <c r="AS42" s="12" t="s">
        <v>184</v>
      </c>
      <c r="AT42" s="11">
        <v>2.89</v>
      </c>
      <c r="AU42" s="11">
        <v>1.02</v>
      </c>
      <c r="AV42" s="11">
        <v>2.7</v>
      </c>
      <c r="AW42" s="11">
        <v>2</v>
      </c>
      <c r="AX42" s="14"/>
    </row>
    <row r="43" spans="1:50" ht="23.5" customHeight="1" thickTop="1" thickBot="1" x14ac:dyDescent="0.35">
      <c r="A43" s="63"/>
      <c r="B43" s="76"/>
      <c r="C43" s="25"/>
      <c r="D43" s="86"/>
      <c r="E43" s="36" t="s">
        <v>153</v>
      </c>
      <c r="F43" s="36">
        <v>2</v>
      </c>
      <c r="G43" s="86"/>
      <c r="H43" s="36" t="s">
        <v>201</v>
      </c>
      <c r="I43" s="36">
        <v>1</v>
      </c>
      <c r="J43" s="25"/>
      <c r="K43" s="25"/>
      <c r="L43" s="25"/>
      <c r="M43" s="18"/>
      <c r="O43" s="1">
        <v>6</v>
      </c>
      <c r="P43" s="1">
        <v>2</v>
      </c>
      <c r="Q43" s="1">
        <v>1</v>
      </c>
      <c r="R43" s="1">
        <v>1</v>
      </c>
      <c r="S43" s="14"/>
      <c r="U43" s="11" t="s">
        <v>187</v>
      </c>
      <c r="V43" s="12" t="s">
        <v>188</v>
      </c>
      <c r="W43" s="11">
        <v>9.1199999999999992</v>
      </c>
      <c r="X43" s="11">
        <v>0.85</v>
      </c>
      <c r="Y43" s="11">
        <v>1.25</v>
      </c>
      <c r="Z43" s="11">
        <v>0.71</v>
      </c>
      <c r="AA43" s="11">
        <v>2.5</v>
      </c>
      <c r="AB43" s="11">
        <v>0.88</v>
      </c>
      <c r="AC43" s="11">
        <v>0.91</v>
      </c>
      <c r="AD43" s="11">
        <v>1.1499999999999999</v>
      </c>
      <c r="AE43" s="11">
        <v>1.35</v>
      </c>
      <c r="AF43" s="11">
        <v>1.58</v>
      </c>
      <c r="AX43" s="14"/>
    </row>
    <row r="44" spans="1:50" ht="23.5" customHeight="1" thickTop="1" thickBot="1" x14ac:dyDescent="0.35">
      <c r="A44" s="63"/>
      <c r="B44" s="76"/>
      <c r="C44" s="25"/>
      <c r="D44" s="86"/>
      <c r="E44" s="1" t="s">
        <v>156</v>
      </c>
      <c r="F44" s="36">
        <v>2</v>
      </c>
      <c r="G44" s="87"/>
      <c r="H44" s="38" t="s">
        <v>164</v>
      </c>
      <c r="I44" s="38">
        <v>1</v>
      </c>
      <c r="J44" s="36"/>
      <c r="K44" s="25"/>
      <c r="L44" s="25"/>
      <c r="M44" s="18"/>
      <c r="O44" s="1">
        <v>7</v>
      </c>
      <c r="P44" s="1">
        <v>1</v>
      </c>
      <c r="Q44" s="1">
        <v>1</v>
      </c>
      <c r="R44" s="1">
        <v>1</v>
      </c>
      <c r="S44" s="14"/>
      <c r="U44" s="9"/>
      <c r="V44" s="10"/>
      <c r="W44" s="9"/>
      <c r="X44" s="9"/>
      <c r="Y44" s="9"/>
      <c r="Z44" s="9"/>
      <c r="AA44" s="9"/>
      <c r="AB44" s="9"/>
      <c r="AC44" s="9"/>
      <c r="AD44" s="9"/>
      <c r="AE44" s="9"/>
      <c r="AF44" s="9"/>
      <c r="AX44" s="14"/>
    </row>
    <row r="45" spans="1:50" ht="23.5" customHeight="1" thickTop="1" thickBot="1" x14ac:dyDescent="0.35">
      <c r="A45" s="63"/>
      <c r="B45" s="76"/>
      <c r="C45" s="25"/>
      <c r="D45" s="87"/>
      <c r="E45" s="38" t="s">
        <v>197</v>
      </c>
      <c r="F45" s="38">
        <v>1</v>
      </c>
      <c r="G45" s="39"/>
      <c r="H45" s="39"/>
      <c r="I45" s="39"/>
      <c r="J45" s="36"/>
      <c r="K45" s="36"/>
      <c r="L45" s="25"/>
      <c r="M45" s="18"/>
      <c r="O45" s="1">
        <v>8</v>
      </c>
      <c r="P45" s="1">
        <v>0</v>
      </c>
      <c r="Q45" s="1">
        <v>0</v>
      </c>
      <c r="R45" s="1">
        <v>3</v>
      </c>
      <c r="S45" s="14"/>
      <c r="U45" s="9"/>
      <c r="V45" s="10"/>
      <c r="W45" s="9"/>
      <c r="X45" s="9"/>
      <c r="Y45" s="9"/>
      <c r="Z45" s="9"/>
      <c r="AA45" s="9"/>
      <c r="AB45" s="9"/>
      <c r="AC45" s="9"/>
      <c r="AD45" s="9"/>
      <c r="AE45" s="9"/>
      <c r="AF45" s="9"/>
      <c r="AX45" s="14"/>
    </row>
    <row r="46" spans="1:50" ht="23" customHeight="1" thickTop="1" x14ac:dyDescent="0.3">
      <c r="A46" s="63"/>
      <c r="B46" s="76"/>
      <c r="C46" s="25"/>
      <c r="D46" s="39"/>
      <c r="E46" s="39"/>
      <c r="F46" s="39"/>
      <c r="G46" s="25"/>
      <c r="H46" s="25"/>
      <c r="I46" s="25"/>
      <c r="J46" s="25"/>
      <c r="K46" s="25"/>
      <c r="L46" s="25"/>
      <c r="M46" s="18"/>
      <c r="O46" s="1">
        <v>9</v>
      </c>
      <c r="P46" s="1">
        <v>0</v>
      </c>
      <c r="Q46" s="1">
        <v>4</v>
      </c>
      <c r="R46" s="1">
        <v>1</v>
      </c>
      <c r="S46" s="14"/>
      <c r="AX46" s="14"/>
    </row>
    <row r="47" spans="1:50" ht="23" customHeight="1" thickBot="1" x14ac:dyDescent="0.35">
      <c r="A47" s="63"/>
      <c r="B47" s="76"/>
      <c r="C47" s="25"/>
      <c r="D47" s="36"/>
      <c r="E47" s="36"/>
      <c r="F47" s="36"/>
      <c r="G47" s="25"/>
      <c r="H47" s="25"/>
      <c r="I47" s="25"/>
      <c r="J47" s="25"/>
      <c r="K47" s="25"/>
      <c r="L47" s="25"/>
      <c r="M47" s="18"/>
      <c r="O47" s="4">
        <v>10</v>
      </c>
      <c r="P47" s="4">
        <v>2</v>
      </c>
      <c r="Q47" s="4">
        <v>0</v>
      </c>
      <c r="R47" s="4">
        <v>2</v>
      </c>
      <c r="S47" s="14"/>
      <c r="AX47" s="14"/>
    </row>
    <row r="48" spans="1:50" ht="23.5" customHeight="1" thickTop="1" thickBot="1" x14ac:dyDescent="0.35">
      <c r="A48" s="63"/>
      <c r="B48" s="81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19"/>
      <c r="N48" s="15"/>
      <c r="O48" s="15"/>
      <c r="P48" s="15"/>
      <c r="Q48" s="15"/>
      <c r="R48" s="15"/>
      <c r="S48" s="1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6"/>
    </row>
    <row r="49" spans="1:50" ht="15" customHeight="1" thickTop="1" thickBot="1" x14ac:dyDescent="0.35">
      <c r="A49" s="63"/>
      <c r="B49" s="89" t="s">
        <v>108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17"/>
      <c r="N49" s="24"/>
      <c r="O49" s="24"/>
      <c r="P49" s="24"/>
      <c r="Q49" s="24"/>
      <c r="R49" s="24"/>
      <c r="S49" s="17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17"/>
    </row>
    <row r="50" spans="1:50" ht="16" customHeight="1" thickTop="1" thickBot="1" x14ac:dyDescent="0.35">
      <c r="A50" s="63"/>
      <c r="B50" s="7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17"/>
      <c r="N50" s="24"/>
      <c r="O50" s="82" t="s">
        <v>205</v>
      </c>
      <c r="P50" s="82" t="s">
        <v>206</v>
      </c>
      <c r="Q50" s="83"/>
      <c r="R50" s="83"/>
      <c r="S50" s="17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17"/>
    </row>
    <row r="51" spans="1:50" ht="31" customHeight="1" thickTop="1" thickBot="1" x14ac:dyDescent="0.35">
      <c r="A51" s="63"/>
      <c r="B51" s="76"/>
      <c r="C51" s="24"/>
      <c r="D51" s="27" t="s">
        <v>191</v>
      </c>
      <c r="E51" s="27" t="s">
        <v>192</v>
      </c>
      <c r="F51" s="27" t="s">
        <v>193</v>
      </c>
      <c r="G51" s="27" t="s">
        <v>191</v>
      </c>
      <c r="H51" s="27" t="s">
        <v>192</v>
      </c>
      <c r="I51" s="27" t="s">
        <v>193</v>
      </c>
      <c r="J51" s="27" t="s">
        <v>191</v>
      </c>
      <c r="K51" s="27" t="s">
        <v>192</v>
      </c>
      <c r="L51" s="27" t="s">
        <v>193</v>
      </c>
      <c r="M51" s="17"/>
      <c r="N51" s="24"/>
      <c r="O51" s="84"/>
      <c r="P51" s="2" t="s">
        <v>178</v>
      </c>
      <c r="Q51" s="2" t="s">
        <v>186</v>
      </c>
      <c r="R51" s="2" t="s">
        <v>190</v>
      </c>
      <c r="S51" s="17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17"/>
    </row>
    <row r="52" spans="1:50" ht="23" customHeight="1" thickTop="1" x14ac:dyDescent="0.3">
      <c r="A52" s="63"/>
      <c r="B52" s="76"/>
      <c r="C52" s="33"/>
      <c r="D52" s="88" t="s">
        <v>194</v>
      </c>
      <c r="E52" s="36" t="s">
        <v>148</v>
      </c>
      <c r="F52" s="36">
        <v>6</v>
      </c>
      <c r="G52" s="85" t="s">
        <v>198</v>
      </c>
      <c r="H52" s="36" t="s">
        <v>158</v>
      </c>
      <c r="I52" s="36">
        <v>3</v>
      </c>
      <c r="J52" s="85" t="s">
        <v>202</v>
      </c>
      <c r="K52" s="36" t="s">
        <v>203</v>
      </c>
      <c r="L52" s="36">
        <v>4</v>
      </c>
      <c r="M52" s="18"/>
      <c r="N52" s="13"/>
      <c r="O52" s="1">
        <v>1</v>
      </c>
      <c r="P52" s="1">
        <v>1</v>
      </c>
      <c r="Q52" s="1">
        <v>0</v>
      </c>
      <c r="R52" s="1">
        <v>1</v>
      </c>
      <c r="S52" s="14"/>
      <c r="T52" s="13"/>
      <c r="U52" s="24"/>
      <c r="AX52" s="14"/>
    </row>
    <row r="53" spans="1:50" ht="23" customHeight="1" thickBot="1" x14ac:dyDescent="0.35">
      <c r="A53" s="63"/>
      <c r="B53" s="76"/>
      <c r="C53" s="25"/>
      <c r="D53" s="86"/>
      <c r="E53" s="36" t="s">
        <v>195</v>
      </c>
      <c r="F53" s="36">
        <v>2</v>
      </c>
      <c r="G53" s="86"/>
      <c r="H53" s="36" t="s">
        <v>159</v>
      </c>
      <c r="I53" s="36">
        <v>2</v>
      </c>
      <c r="J53" s="86"/>
      <c r="K53" s="36" t="s">
        <v>166</v>
      </c>
      <c r="L53" s="36">
        <v>3</v>
      </c>
      <c r="M53" s="18"/>
      <c r="O53" s="1">
        <v>2</v>
      </c>
      <c r="P53" s="1">
        <v>2</v>
      </c>
      <c r="Q53" s="1">
        <v>2</v>
      </c>
      <c r="R53" s="1">
        <v>1</v>
      </c>
      <c r="S53" s="14"/>
      <c r="Z53" s="23" t="s">
        <v>194</v>
      </c>
      <c r="AK53" s="23" t="s">
        <v>198</v>
      </c>
      <c r="AT53" s="23" t="s">
        <v>202</v>
      </c>
      <c r="AX53" s="14"/>
    </row>
    <row r="54" spans="1:50" ht="25" customHeight="1" thickTop="1" thickBot="1" x14ac:dyDescent="0.35">
      <c r="A54" s="63"/>
      <c r="B54" s="76"/>
      <c r="C54" s="25"/>
      <c r="D54" s="86"/>
      <c r="E54" s="36" t="s">
        <v>196</v>
      </c>
      <c r="F54" s="36">
        <v>2</v>
      </c>
      <c r="G54" s="86"/>
      <c r="H54" s="36" t="s">
        <v>160</v>
      </c>
      <c r="I54" s="36">
        <v>1</v>
      </c>
      <c r="J54" s="86"/>
      <c r="K54" s="36" t="s">
        <v>167</v>
      </c>
      <c r="L54" s="36">
        <v>3</v>
      </c>
      <c r="M54" s="18"/>
      <c r="O54" s="1">
        <v>3</v>
      </c>
      <c r="P54" s="1">
        <v>0</v>
      </c>
      <c r="Q54" s="1">
        <v>1</v>
      </c>
      <c r="R54" s="1">
        <v>1</v>
      </c>
      <c r="S54" s="14"/>
      <c r="U54" s="7" t="s">
        <v>146</v>
      </c>
      <c r="V54" s="7" t="s">
        <v>147</v>
      </c>
      <c r="W54" s="7" t="s">
        <v>148</v>
      </c>
      <c r="X54" s="7" t="s">
        <v>149</v>
      </c>
      <c r="Y54" s="7" t="s">
        <v>150</v>
      </c>
      <c r="Z54" s="8" t="s">
        <v>151</v>
      </c>
      <c r="AA54" s="7" t="s">
        <v>152</v>
      </c>
      <c r="AB54" s="7" t="s">
        <v>153</v>
      </c>
      <c r="AC54" s="7" t="s">
        <v>154</v>
      </c>
      <c r="AD54" s="7" t="s">
        <v>155</v>
      </c>
      <c r="AE54" s="8" t="s">
        <v>156</v>
      </c>
      <c r="AF54" s="7" t="s">
        <v>157</v>
      </c>
      <c r="AH54" s="7" t="s">
        <v>146</v>
      </c>
      <c r="AI54" s="7" t="s">
        <v>147</v>
      </c>
      <c r="AJ54" s="7" t="s">
        <v>158</v>
      </c>
      <c r="AK54" s="7" t="s">
        <v>159</v>
      </c>
      <c r="AL54" s="7" t="s">
        <v>160</v>
      </c>
      <c r="AM54" s="7" t="s">
        <v>161</v>
      </c>
      <c r="AN54" s="7" t="s">
        <v>162</v>
      </c>
      <c r="AO54" s="7" t="s">
        <v>163</v>
      </c>
      <c r="AP54" s="7" t="s">
        <v>164</v>
      </c>
      <c r="AR54" s="7" t="s">
        <v>146</v>
      </c>
      <c r="AS54" s="7" t="s">
        <v>147</v>
      </c>
      <c r="AT54" s="7" t="s">
        <v>165</v>
      </c>
      <c r="AU54" s="7" t="s">
        <v>166</v>
      </c>
      <c r="AV54" s="7" t="s">
        <v>167</v>
      </c>
      <c r="AW54" s="7" t="s">
        <v>168</v>
      </c>
      <c r="AX54" s="14"/>
    </row>
    <row r="55" spans="1:50" ht="24" customHeight="1" thickTop="1" thickBot="1" x14ac:dyDescent="0.35">
      <c r="A55" s="63"/>
      <c r="B55" s="76"/>
      <c r="C55" s="25"/>
      <c r="D55" s="86"/>
      <c r="E55" s="1" t="s">
        <v>151</v>
      </c>
      <c r="F55" s="36">
        <v>2</v>
      </c>
      <c r="G55" s="86"/>
      <c r="H55" s="36" t="s">
        <v>199</v>
      </c>
      <c r="I55" s="36">
        <v>2</v>
      </c>
      <c r="J55" s="87"/>
      <c r="K55" s="38" t="s">
        <v>168</v>
      </c>
      <c r="L55" s="38">
        <v>1</v>
      </c>
      <c r="M55" s="18"/>
      <c r="O55" s="1">
        <v>4</v>
      </c>
      <c r="P55" s="1">
        <v>0</v>
      </c>
      <c r="Q55" s="1">
        <v>2</v>
      </c>
      <c r="R55" s="1">
        <v>0</v>
      </c>
      <c r="S55" s="14"/>
      <c r="U55" s="9" t="s">
        <v>171</v>
      </c>
      <c r="V55" s="10" t="s">
        <v>172</v>
      </c>
      <c r="W55" s="9">
        <v>7.73</v>
      </c>
      <c r="X55" s="9">
        <v>0.79</v>
      </c>
      <c r="Y55" s="9">
        <v>1.1100000000000001</v>
      </c>
      <c r="Z55" s="9">
        <v>0.64</v>
      </c>
      <c r="AA55" s="9">
        <v>2.5</v>
      </c>
      <c r="AB55" s="9">
        <v>0.82</v>
      </c>
      <c r="AC55" s="9">
        <v>0.99</v>
      </c>
      <c r="AD55" s="9">
        <v>1.18</v>
      </c>
      <c r="AE55" s="9">
        <v>1.3</v>
      </c>
      <c r="AF55" s="9">
        <v>2</v>
      </c>
      <c r="AH55" s="9" t="s">
        <v>173</v>
      </c>
      <c r="AI55" s="10" t="s">
        <v>174</v>
      </c>
      <c r="AJ55" s="9">
        <v>6.58</v>
      </c>
      <c r="AK55" s="9">
        <v>6.85</v>
      </c>
      <c r="AL55" s="9">
        <v>3</v>
      </c>
      <c r="AM55" s="9">
        <v>6.45</v>
      </c>
      <c r="AN55" s="9">
        <v>1.85</v>
      </c>
      <c r="AO55" s="9">
        <v>7.66</v>
      </c>
      <c r="AP55" s="9">
        <v>5.46</v>
      </c>
      <c r="AR55" s="9" t="s">
        <v>175</v>
      </c>
      <c r="AS55" s="10" t="s">
        <v>176</v>
      </c>
      <c r="AT55" s="9">
        <v>3.36</v>
      </c>
      <c r="AU55" s="9">
        <v>1.17</v>
      </c>
      <c r="AV55" s="9">
        <v>2.5499999999999998</v>
      </c>
      <c r="AW55" s="9">
        <v>2</v>
      </c>
      <c r="AX55" s="14"/>
    </row>
    <row r="56" spans="1:50" ht="24" customHeight="1" thickTop="1" thickBot="1" x14ac:dyDescent="0.35">
      <c r="A56" s="63"/>
      <c r="B56" s="76"/>
      <c r="C56" s="25"/>
      <c r="D56" s="86"/>
      <c r="E56" s="36" t="s">
        <v>152</v>
      </c>
      <c r="F56" s="36">
        <v>2</v>
      </c>
      <c r="G56" s="86"/>
      <c r="H56" s="36" t="s">
        <v>200</v>
      </c>
      <c r="I56" s="36">
        <v>2</v>
      </c>
      <c r="J56" s="39"/>
      <c r="K56" s="39"/>
      <c r="L56" s="39"/>
      <c r="M56" s="18"/>
      <c r="O56" s="1">
        <v>5</v>
      </c>
      <c r="P56" s="1">
        <v>1</v>
      </c>
      <c r="Q56" s="1">
        <v>1</v>
      </c>
      <c r="R56" s="1">
        <v>3</v>
      </c>
      <c r="S56" s="14"/>
      <c r="U56" s="9" t="s">
        <v>179</v>
      </c>
      <c r="V56" s="10" t="s">
        <v>180</v>
      </c>
      <c r="W56" s="9">
        <v>8.19</v>
      </c>
      <c r="X56" s="9">
        <v>0.81</v>
      </c>
      <c r="Y56" s="9">
        <v>1.03</v>
      </c>
      <c r="Z56" s="9">
        <v>0.75</v>
      </c>
      <c r="AA56" s="9">
        <v>2.75</v>
      </c>
      <c r="AB56" s="9">
        <v>0.86</v>
      </c>
      <c r="AC56" s="9">
        <v>0.92</v>
      </c>
      <c r="AD56" s="9">
        <v>1.07</v>
      </c>
      <c r="AE56" s="9">
        <v>1.1000000000000001</v>
      </c>
      <c r="AF56" s="9">
        <v>1.61</v>
      </c>
      <c r="AH56" s="11" t="s">
        <v>181</v>
      </c>
      <c r="AI56" s="12" t="s">
        <v>182</v>
      </c>
      <c r="AJ56" s="11">
        <v>6.79</v>
      </c>
      <c r="AK56" s="11">
        <v>7.25</v>
      </c>
      <c r="AL56" s="11">
        <v>3</v>
      </c>
      <c r="AM56" s="11">
        <v>7.25</v>
      </c>
      <c r="AN56" s="11">
        <v>2.15</v>
      </c>
      <c r="AO56" s="11">
        <v>8.25</v>
      </c>
      <c r="AP56" s="11">
        <v>5.69</v>
      </c>
      <c r="AR56" s="11" t="s">
        <v>183</v>
      </c>
      <c r="AS56" s="12" t="s">
        <v>184</v>
      </c>
      <c r="AT56" s="11">
        <v>2.52</v>
      </c>
      <c r="AU56" s="11">
        <v>1.1000000000000001</v>
      </c>
      <c r="AV56" s="11">
        <v>2.2999999999999998</v>
      </c>
      <c r="AW56" s="11">
        <v>2</v>
      </c>
      <c r="AX56" s="14"/>
    </row>
    <row r="57" spans="1:50" ht="23.5" customHeight="1" thickTop="1" thickBot="1" x14ac:dyDescent="0.35">
      <c r="A57" s="63"/>
      <c r="B57" s="76"/>
      <c r="C57" s="25"/>
      <c r="D57" s="86"/>
      <c r="E57" s="36" t="s">
        <v>153</v>
      </c>
      <c r="F57" s="36">
        <v>2</v>
      </c>
      <c r="G57" s="86"/>
      <c r="H57" s="36" t="s">
        <v>201</v>
      </c>
      <c r="I57" s="36">
        <v>1</v>
      </c>
      <c r="J57" s="25"/>
      <c r="K57" s="25"/>
      <c r="L57" s="25"/>
      <c r="M57" s="18"/>
      <c r="O57" s="1">
        <v>6</v>
      </c>
      <c r="P57" s="1">
        <v>2</v>
      </c>
      <c r="Q57" s="1">
        <v>1</v>
      </c>
      <c r="R57" s="1">
        <v>1</v>
      </c>
      <c r="S57" s="14"/>
      <c r="U57" s="11" t="s">
        <v>187</v>
      </c>
      <c r="V57" s="12" t="s">
        <v>188</v>
      </c>
      <c r="W57" s="11">
        <v>9.07</v>
      </c>
      <c r="X57" s="11">
        <v>0.65</v>
      </c>
      <c r="Y57" s="11">
        <v>1.2</v>
      </c>
      <c r="Z57" s="11">
        <v>0.61</v>
      </c>
      <c r="AA57" s="11">
        <v>2.87</v>
      </c>
      <c r="AB57" s="11">
        <v>0.89</v>
      </c>
      <c r="AC57" s="11">
        <v>0.95</v>
      </c>
      <c r="AD57" s="11">
        <v>1.2</v>
      </c>
      <c r="AE57" s="11">
        <v>1.38</v>
      </c>
      <c r="AF57" s="11">
        <v>2.4900000000000002</v>
      </c>
      <c r="AX57" s="14"/>
    </row>
    <row r="58" spans="1:50" ht="23.5" customHeight="1" thickTop="1" thickBot="1" x14ac:dyDescent="0.35">
      <c r="A58" s="63"/>
      <c r="B58" s="76"/>
      <c r="C58" s="25"/>
      <c r="D58" s="86"/>
      <c r="E58" s="1" t="s">
        <v>156</v>
      </c>
      <c r="F58" s="36">
        <v>2</v>
      </c>
      <c r="G58" s="87"/>
      <c r="H58" s="38" t="s">
        <v>164</v>
      </c>
      <c r="I58" s="38">
        <v>1</v>
      </c>
      <c r="J58" s="36"/>
      <c r="K58" s="25"/>
      <c r="L58" s="25"/>
      <c r="M58" s="18"/>
      <c r="O58" s="1">
        <v>7</v>
      </c>
      <c r="P58" s="1">
        <v>1</v>
      </c>
      <c r="Q58" s="1">
        <v>1</v>
      </c>
      <c r="R58" s="1">
        <v>1</v>
      </c>
      <c r="S58" s="14"/>
      <c r="U58" s="9"/>
      <c r="V58" s="10"/>
      <c r="W58" s="9"/>
      <c r="X58" s="9"/>
      <c r="Y58" s="9"/>
      <c r="Z58" s="9"/>
      <c r="AA58" s="9"/>
      <c r="AB58" s="9"/>
      <c r="AC58" s="9"/>
      <c r="AD58" s="9"/>
      <c r="AE58" s="9"/>
      <c r="AF58" s="9"/>
      <c r="AX58" s="14"/>
    </row>
    <row r="59" spans="1:50" ht="23.5" customHeight="1" thickTop="1" thickBot="1" x14ac:dyDescent="0.35">
      <c r="A59" s="63"/>
      <c r="B59" s="76"/>
      <c r="C59" s="25"/>
      <c r="D59" s="87"/>
      <c r="E59" s="38" t="s">
        <v>197</v>
      </c>
      <c r="F59" s="38">
        <v>1</v>
      </c>
      <c r="G59" s="39"/>
      <c r="H59" s="39"/>
      <c r="I59" s="39"/>
      <c r="J59" s="36"/>
      <c r="K59" s="36"/>
      <c r="L59" s="25"/>
      <c r="M59" s="18"/>
      <c r="O59" s="1">
        <v>8</v>
      </c>
      <c r="P59" s="1">
        <v>1</v>
      </c>
      <c r="Q59" s="1">
        <v>2</v>
      </c>
      <c r="R59" s="1">
        <v>2</v>
      </c>
      <c r="S59" s="14"/>
      <c r="U59" s="9"/>
      <c r="V59" s="10"/>
      <c r="W59" s="9"/>
      <c r="X59" s="9"/>
      <c r="Y59" s="9"/>
      <c r="Z59" s="9"/>
      <c r="AA59" s="9"/>
      <c r="AB59" s="9"/>
      <c r="AC59" s="9"/>
      <c r="AD59" s="9"/>
      <c r="AE59" s="9"/>
      <c r="AF59" s="9"/>
      <c r="AX59" s="14"/>
    </row>
    <row r="60" spans="1:50" ht="23" customHeight="1" thickTop="1" x14ac:dyDescent="0.3">
      <c r="A60" s="63"/>
      <c r="B60" s="76"/>
      <c r="C60" s="25"/>
      <c r="D60" s="39"/>
      <c r="E60" s="39"/>
      <c r="F60" s="39"/>
      <c r="G60" s="25"/>
      <c r="H60" s="25"/>
      <c r="I60" s="25"/>
      <c r="J60" s="25"/>
      <c r="K60" s="25"/>
      <c r="L60" s="25"/>
      <c r="M60" s="18"/>
      <c r="O60" s="1">
        <v>9</v>
      </c>
      <c r="P60" s="1">
        <v>1</v>
      </c>
      <c r="Q60" s="1">
        <v>0</v>
      </c>
      <c r="R60" s="1">
        <v>1</v>
      </c>
      <c r="S60" s="14"/>
      <c r="AX60" s="14"/>
    </row>
    <row r="61" spans="1:50" ht="23" customHeight="1" thickBot="1" x14ac:dyDescent="0.35">
      <c r="A61" s="63"/>
      <c r="B61" s="76"/>
      <c r="C61" s="25"/>
      <c r="D61" s="36"/>
      <c r="E61" s="36"/>
      <c r="F61" s="36"/>
      <c r="G61" s="25"/>
      <c r="H61" s="25"/>
      <c r="I61" s="25"/>
      <c r="J61" s="25"/>
      <c r="K61" s="25"/>
      <c r="L61" s="25"/>
      <c r="M61" s="18"/>
      <c r="O61" s="4">
        <v>10</v>
      </c>
      <c r="P61" s="4">
        <v>2</v>
      </c>
      <c r="Q61" s="4">
        <v>0</v>
      </c>
      <c r="R61" s="4">
        <v>2</v>
      </c>
      <c r="S61" s="14"/>
      <c r="AX61" s="14"/>
    </row>
    <row r="62" spans="1:50" ht="23.5" customHeight="1" thickTop="1" thickBot="1" x14ac:dyDescent="0.35">
      <c r="A62" s="63"/>
      <c r="B62" s="8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19"/>
      <c r="N62" s="15"/>
      <c r="O62" s="15"/>
      <c r="P62" s="15"/>
      <c r="Q62" s="15"/>
      <c r="R62" s="15"/>
      <c r="S62" s="1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6"/>
    </row>
    <row r="63" spans="1:50" ht="15" customHeight="1" thickTop="1" thickBot="1" x14ac:dyDescent="0.35">
      <c r="A63" s="63"/>
      <c r="B63" s="89" t="s">
        <v>109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17"/>
      <c r="N63" s="24"/>
      <c r="O63" s="24"/>
      <c r="P63" s="24"/>
      <c r="Q63" s="24"/>
      <c r="R63" s="24"/>
      <c r="S63" s="17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17"/>
    </row>
    <row r="64" spans="1:50" ht="16" customHeight="1" thickTop="1" thickBot="1" x14ac:dyDescent="0.35">
      <c r="A64" s="63"/>
      <c r="B64" s="76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17"/>
      <c r="N64" s="24"/>
      <c r="O64" s="82" t="s">
        <v>205</v>
      </c>
      <c r="P64" s="82" t="s">
        <v>206</v>
      </c>
      <c r="Q64" s="83"/>
      <c r="R64" s="83"/>
      <c r="S64" s="17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17"/>
    </row>
    <row r="65" spans="1:50" ht="31" customHeight="1" thickTop="1" thickBot="1" x14ac:dyDescent="0.35">
      <c r="A65" s="63"/>
      <c r="B65" s="76"/>
      <c r="C65" s="24"/>
      <c r="D65" s="27" t="s">
        <v>191</v>
      </c>
      <c r="E65" s="27" t="s">
        <v>192</v>
      </c>
      <c r="F65" s="27" t="s">
        <v>193</v>
      </c>
      <c r="G65" s="27" t="s">
        <v>191</v>
      </c>
      <c r="H65" s="27" t="s">
        <v>192</v>
      </c>
      <c r="I65" s="27" t="s">
        <v>193</v>
      </c>
      <c r="J65" s="27" t="s">
        <v>191</v>
      </c>
      <c r="K65" s="27" t="s">
        <v>192</v>
      </c>
      <c r="L65" s="27" t="s">
        <v>193</v>
      </c>
      <c r="M65" s="17"/>
      <c r="N65" s="24"/>
      <c r="O65" s="84"/>
      <c r="P65" s="2" t="s">
        <v>178</v>
      </c>
      <c r="Q65" s="2" t="s">
        <v>186</v>
      </c>
      <c r="R65" s="2" t="s">
        <v>190</v>
      </c>
      <c r="S65" s="17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17"/>
    </row>
    <row r="66" spans="1:50" ht="23" customHeight="1" thickTop="1" x14ac:dyDescent="0.3">
      <c r="A66" s="63"/>
      <c r="B66" s="76"/>
      <c r="C66" s="33"/>
      <c r="D66" s="88" t="s">
        <v>194</v>
      </c>
      <c r="E66" s="36" t="s">
        <v>148</v>
      </c>
      <c r="F66" s="36">
        <v>6</v>
      </c>
      <c r="G66" s="85" t="s">
        <v>198</v>
      </c>
      <c r="H66" s="36" t="s">
        <v>158</v>
      </c>
      <c r="I66" s="36">
        <v>3</v>
      </c>
      <c r="J66" s="85" t="s">
        <v>202</v>
      </c>
      <c r="K66" s="36" t="s">
        <v>203</v>
      </c>
      <c r="L66" s="36">
        <v>4</v>
      </c>
      <c r="M66" s="18"/>
      <c r="N66" s="13"/>
      <c r="O66" s="1">
        <v>1</v>
      </c>
      <c r="P66" s="1">
        <v>1</v>
      </c>
      <c r="Q66" s="1">
        <v>0</v>
      </c>
      <c r="R66" s="1">
        <v>2</v>
      </c>
      <c r="S66" s="14"/>
      <c r="T66" s="13"/>
      <c r="U66" s="24"/>
      <c r="AX66" s="14"/>
    </row>
    <row r="67" spans="1:50" ht="23" customHeight="1" thickBot="1" x14ac:dyDescent="0.35">
      <c r="A67" s="63"/>
      <c r="B67" s="76"/>
      <c r="C67" s="25"/>
      <c r="D67" s="86"/>
      <c r="E67" s="36" t="s">
        <v>195</v>
      </c>
      <c r="F67" s="36">
        <v>2</v>
      </c>
      <c r="G67" s="86"/>
      <c r="H67" s="36" t="s">
        <v>159</v>
      </c>
      <c r="I67" s="36">
        <v>2</v>
      </c>
      <c r="J67" s="86"/>
      <c r="K67" s="36" t="s">
        <v>166</v>
      </c>
      <c r="L67" s="36">
        <v>3</v>
      </c>
      <c r="M67" s="18"/>
      <c r="O67" s="1">
        <v>2</v>
      </c>
      <c r="P67" s="1">
        <v>2</v>
      </c>
      <c r="Q67" s="1">
        <v>4</v>
      </c>
      <c r="R67" s="1">
        <v>1</v>
      </c>
      <c r="S67" s="14"/>
      <c r="Z67" s="23" t="s">
        <v>194</v>
      </c>
      <c r="AK67" s="23" t="s">
        <v>198</v>
      </c>
      <c r="AT67" s="23" t="s">
        <v>202</v>
      </c>
      <c r="AX67" s="14"/>
    </row>
    <row r="68" spans="1:50" ht="25" customHeight="1" thickTop="1" thickBot="1" x14ac:dyDescent="0.35">
      <c r="A68" s="63"/>
      <c r="B68" s="76"/>
      <c r="C68" s="25"/>
      <c r="D68" s="86"/>
      <c r="E68" s="36" t="s">
        <v>196</v>
      </c>
      <c r="F68" s="36">
        <v>2</v>
      </c>
      <c r="G68" s="86"/>
      <c r="H68" s="36" t="s">
        <v>160</v>
      </c>
      <c r="I68" s="36">
        <v>1</v>
      </c>
      <c r="J68" s="86"/>
      <c r="K68" s="36" t="s">
        <v>167</v>
      </c>
      <c r="L68" s="36">
        <v>3</v>
      </c>
      <c r="M68" s="18"/>
      <c r="O68" s="1">
        <v>3</v>
      </c>
      <c r="P68" s="1">
        <v>0</v>
      </c>
      <c r="Q68" s="1">
        <v>1</v>
      </c>
      <c r="R68" s="1">
        <v>1</v>
      </c>
      <c r="S68" s="14"/>
      <c r="U68" s="7" t="s">
        <v>146</v>
      </c>
      <c r="V68" s="7" t="s">
        <v>147</v>
      </c>
      <c r="W68" s="7" t="s">
        <v>148</v>
      </c>
      <c r="X68" s="7" t="s">
        <v>149</v>
      </c>
      <c r="Y68" s="7" t="s">
        <v>150</v>
      </c>
      <c r="Z68" s="8" t="s">
        <v>151</v>
      </c>
      <c r="AA68" s="7" t="s">
        <v>152</v>
      </c>
      <c r="AB68" s="7" t="s">
        <v>153</v>
      </c>
      <c r="AC68" s="7" t="s">
        <v>154</v>
      </c>
      <c r="AD68" s="7" t="s">
        <v>155</v>
      </c>
      <c r="AE68" s="8" t="s">
        <v>156</v>
      </c>
      <c r="AF68" s="7" t="s">
        <v>157</v>
      </c>
      <c r="AH68" s="7" t="s">
        <v>146</v>
      </c>
      <c r="AI68" s="7" t="s">
        <v>147</v>
      </c>
      <c r="AJ68" s="7" t="s">
        <v>158</v>
      </c>
      <c r="AK68" s="7" t="s">
        <v>159</v>
      </c>
      <c r="AL68" s="7" t="s">
        <v>160</v>
      </c>
      <c r="AM68" s="7" t="s">
        <v>161</v>
      </c>
      <c r="AN68" s="7" t="s">
        <v>162</v>
      </c>
      <c r="AO68" s="7" t="s">
        <v>163</v>
      </c>
      <c r="AP68" s="7" t="s">
        <v>164</v>
      </c>
      <c r="AR68" s="7" t="s">
        <v>146</v>
      </c>
      <c r="AS68" s="7" t="s">
        <v>147</v>
      </c>
      <c r="AT68" s="7" t="s">
        <v>165</v>
      </c>
      <c r="AU68" s="7" t="s">
        <v>166</v>
      </c>
      <c r="AV68" s="7" t="s">
        <v>167</v>
      </c>
      <c r="AW68" s="7" t="s">
        <v>168</v>
      </c>
      <c r="AX68" s="14"/>
    </row>
    <row r="69" spans="1:50" ht="24" customHeight="1" thickTop="1" thickBot="1" x14ac:dyDescent="0.35">
      <c r="A69" s="63"/>
      <c r="B69" s="76"/>
      <c r="C69" s="25"/>
      <c r="D69" s="86"/>
      <c r="E69" s="1" t="s">
        <v>151</v>
      </c>
      <c r="F69" s="36">
        <v>2</v>
      </c>
      <c r="G69" s="86"/>
      <c r="H69" s="36" t="s">
        <v>199</v>
      </c>
      <c r="I69" s="36">
        <v>2</v>
      </c>
      <c r="J69" s="87"/>
      <c r="K69" s="38" t="s">
        <v>168</v>
      </c>
      <c r="L69" s="38">
        <v>1</v>
      </c>
      <c r="M69" s="18"/>
      <c r="O69" s="1">
        <v>4</v>
      </c>
      <c r="P69" s="1">
        <v>0</v>
      </c>
      <c r="Q69" s="1">
        <v>2</v>
      </c>
      <c r="R69" s="1">
        <v>0</v>
      </c>
      <c r="S69" s="14"/>
      <c r="U69" s="9" t="s">
        <v>171</v>
      </c>
      <c r="V69" s="10" t="s">
        <v>172</v>
      </c>
      <c r="W69" s="9">
        <v>7.22</v>
      </c>
      <c r="X69" s="9">
        <v>0.68</v>
      </c>
      <c r="Y69" s="9">
        <v>1.18</v>
      </c>
      <c r="Z69" s="9">
        <v>0.72</v>
      </c>
      <c r="AA69" s="9">
        <v>2.66</v>
      </c>
      <c r="AB69" s="9">
        <v>0.8</v>
      </c>
      <c r="AC69" s="9">
        <v>0.93</v>
      </c>
      <c r="AD69" s="9">
        <v>1.05</v>
      </c>
      <c r="AE69" s="9">
        <v>1.02</v>
      </c>
      <c r="AF69" s="9">
        <v>1.72</v>
      </c>
      <c r="AH69" s="9" t="s">
        <v>173</v>
      </c>
      <c r="AI69" s="10" t="s">
        <v>174</v>
      </c>
      <c r="AJ69" s="9">
        <v>6.24</v>
      </c>
      <c r="AK69" s="9">
        <v>6.66</v>
      </c>
      <c r="AL69" s="9">
        <v>3</v>
      </c>
      <c r="AM69" s="9">
        <v>6.96</v>
      </c>
      <c r="AN69" s="9">
        <v>1.66</v>
      </c>
      <c r="AO69" s="9">
        <v>7.35</v>
      </c>
      <c r="AP69" s="9">
        <v>5.24</v>
      </c>
      <c r="AR69" s="9" t="s">
        <v>175</v>
      </c>
      <c r="AS69" s="10" t="s">
        <v>176</v>
      </c>
      <c r="AT69" s="9">
        <v>2.77</v>
      </c>
      <c r="AU69" s="9">
        <v>1.05</v>
      </c>
      <c r="AV69" s="9">
        <v>2.9</v>
      </c>
      <c r="AW69" s="9">
        <v>2</v>
      </c>
      <c r="AX69" s="14"/>
    </row>
    <row r="70" spans="1:50" ht="24" customHeight="1" thickTop="1" thickBot="1" x14ac:dyDescent="0.35">
      <c r="A70" s="63"/>
      <c r="B70" s="76"/>
      <c r="C70" s="25"/>
      <c r="D70" s="86"/>
      <c r="E70" s="36" t="s">
        <v>152</v>
      </c>
      <c r="F70" s="36">
        <v>2</v>
      </c>
      <c r="G70" s="86"/>
      <c r="H70" s="36" t="s">
        <v>200</v>
      </c>
      <c r="I70" s="36">
        <v>2</v>
      </c>
      <c r="J70" s="39"/>
      <c r="K70" s="39"/>
      <c r="L70" s="39"/>
      <c r="M70" s="18"/>
      <c r="O70" s="1">
        <v>5</v>
      </c>
      <c r="P70" s="1">
        <v>1</v>
      </c>
      <c r="Q70" s="1">
        <v>1</v>
      </c>
      <c r="R70" s="1">
        <v>1</v>
      </c>
      <c r="S70" s="14"/>
      <c r="U70" s="9" t="s">
        <v>179</v>
      </c>
      <c r="V70" s="10" t="s">
        <v>180</v>
      </c>
      <c r="W70" s="9">
        <v>8.8800000000000008</v>
      </c>
      <c r="X70" s="9">
        <v>0.74</v>
      </c>
      <c r="Y70" s="9">
        <v>1.01</v>
      </c>
      <c r="Z70" s="9">
        <v>0.56999999999999995</v>
      </c>
      <c r="AA70" s="9">
        <v>2.5</v>
      </c>
      <c r="AB70" s="9">
        <v>0.84</v>
      </c>
      <c r="AC70" s="9">
        <v>0.98</v>
      </c>
      <c r="AD70" s="9">
        <v>1.1200000000000001</v>
      </c>
      <c r="AE70" s="9">
        <v>1.25</v>
      </c>
      <c r="AF70" s="9">
        <v>2.2799999999999998</v>
      </c>
      <c r="AH70" s="11" t="s">
        <v>181</v>
      </c>
      <c r="AI70" s="12" t="s">
        <v>182</v>
      </c>
      <c r="AJ70" s="11">
        <v>6.88</v>
      </c>
      <c r="AK70" s="11">
        <v>7.34</v>
      </c>
      <c r="AL70" s="11">
        <v>3</v>
      </c>
      <c r="AM70" s="11">
        <v>7.75</v>
      </c>
      <c r="AN70" s="11">
        <v>2.36</v>
      </c>
      <c r="AO70" s="11">
        <v>8.75</v>
      </c>
      <c r="AP70" s="11">
        <v>5.74</v>
      </c>
      <c r="AR70" s="11" t="s">
        <v>183</v>
      </c>
      <c r="AS70" s="12" t="s">
        <v>184</v>
      </c>
      <c r="AT70" s="11">
        <v>3.24</v>
      </c>
      <c r="AU70" s="11">
        <v>1.23</v>
      </c>
      <c r="AV70" s="11">
        <v>2.15</v>
      </c>
      <c r="AW70" s="11">
        <v>2</v>
      </c>
      <c r="AX70" s="14"/>
    </row>
    <row r="71" spans="1:50" ht="23.5" customHeight="1" thickTop="1" thickBot="1" x14ac:dyDescent="0.35">
      <c r="A71" s="63"/>
      <c r="B71" s="76"/>
      <c r="C71" s="25"/>
      <c r="D71" s="86"/>
      <c r="E71" s="36" t="s">
        <v>153</v>
      </c>
      <c r="F71" s="36">
        <v>2</v>
      </c>
      <c r="G71" s="86"/>
      <c r="H71" s="36" t="s">
        <v>201</v>
      </c>
      <c r="I71" s="36">
        <v>1</v>
      </c>
      <c r="J71" s="25"/>
      <c r="K71" s="25"/>
      <c r="L71" s="25"/>
      <c r="M71" s="18"/>
      <c r="O71" s="1">
        <v>6</v>
      </c>
      <c r="P71" s="1">
        <v>2</v>
      </c>
      <c r="Q71" s="1">
        <v>1</v>
      </c>
      <c r="R71" s="1">
        <v>1</v>
      </c>
      <c r="S71" s="14"/>
      <c r="U71" s="11" t="s">
        <v>187</v>
      </c>
      <c r="V71" s="12" t="s">
        <v>188</v>
      </c>
      <c r="W71" s="11">
        <v>9.25</v>
      </c>
      <c r="X71" s="11">
        <v>0.9</v>
      </c>
      <c r="Y71" s="11">
        <v>1.25</v>
      </c>
      <c r="Z71" s="11">
        <v>0.75</v>
      </c>
      <c r="AA71" s="11">
        <v>2.96</v>
      </c>
      <c r="AB71" s="11">
        <v>0.87</v>
      </c>
      <c r="AC71" s="11">
        <v>1</v>
      </c>
      <c r="AD71" s="11">
        <v>1.2</v>
      </c>
      <c r="AE71" s="11">
        <v>1.4</v>
      </c>
      <c r="AF71" s="11">
        <v>1.54</v>
      </c>
      <c r="AX71" s="14"/>
    </row>
    <row r="72" spans="1:50" ht="23.5" customHeight="1" thickTop="1" thickBot="1" x14ac:dyDescent="0.35">
      <c r="A72" s="63"/>
      <c r="B72" s="76"/>
      <c r="C72" s="25"/>
      <c r="D72" s="86"/>
      <c r="E72" s="1" t="s">
        <v>156</v>
      </c>
      <c r="F72" s="36">
        <v>2</v>
      </c>
      <c r="G72" s="87"/>
      <c r="H72" s="38" t="s">
        <v>164</v>
      </c>
      <c r="I72" s="38">
        <v>1</v>
      </c>
      <c r="J72" s="36"/>
      <c r="K72" s="25"/>
      <c r="L72" s="25"/>
      <c r="M72" s="18"/>
      <c r="O72" s="1">
        <v>7</v>
      </c>
      <c r="P72" s="1">
        <v>1</v>
      </c>
      <c r="Q72" s="1">
        <v>1</v>
      </c>
      <c r="R72" s="1">
        <v>1</v>
      </c>
      <c r="S72" s="14"/>
      <c r="U72" s="9"/>
      <c r="V72" s="10"/>
      <c r="W72" s="9"/>
      <c r="X72" s="9"/>
      <c r="Y72" s="9"/>
      <c r="Z72" s="9"/>
      <c r="AA72" s="9"/>
      <c r="AB72" s="9"/>
      <c r="AC72" s="9"/>
      <c r="AD72" s="9"/>
      <c r="AE72" s="9"/>
      <c r="AF72" s="9"/>
      <c r="AX72" s="14"/>
    </row>
    <row r="73" spans="1:50" ht="23.5" customHeight="1" thickTop="1" thickBot="1" x14ac:dyDescent="0.35">
      <c r="A73" s="63"/>
      <c r="B73" s="76"/>
      <c r="C73" s="25"/>
      <c r="D73" s="87"/>
      <c r="E73" s="38" t="s">
        <v>197</v>
      </c>
      <c r="F73" s="38">
        <v>1</v>
      </c>
      <c r="G73" s="39"/>
      <c r="H73" s="39"/>
      <c r="I73" s="39"/>
      <c r="J73" s="36"/>
      <c r="K73" s="36"/>
      <c r="L73" s="25"/>
      <c r="M73" s="18"/>
      <c r="O73" s="1">
        <v>8</v>
      </c>
      <c r="P73" s="1">
        <v>1</v>
      </c>
      <c r="Q73" s="1">
        <v>1</v>
      </c>
      <c r="R73" s="1">
        <v>3</v>
      </c>
      <c r="S73" s="14"/>
      <c r="U73" s="9"/>
      <c r="V73" s="10"/>
      <c r="W73" s="9"/>
      <c r="X73" s="9"/>
      <c r="Y73" s="9"/>
      <c r="Z73" s="9"/>
      <c r="AA73" s="9"/>
      <c r="AB73" s="9"/>
      <c r="AC73" s="9"/>
      <c r="AD73" s="9"/>
      <c r="AE73" s="9"/>
      <c r="AF73" s="9"/>
      <c r="AX73" s="14"/>
    </row>
    <row r="74" spans="1:50" ht="23" customHeight="1" thickTop="1" x14ac:dyDescent="0.3">
      <c r="A74" s="63"/>
      <c r="B74" s="76"/>
      <c r="C74" s="25"/>
      <c r="D74" s="39"/>
      <c r="E74" s="39"/>
      <c r="F74" s="39"/>
      <c r="G74" s="25"/>
      <c r="H74" s="25"/>
      <c r="I74" s="25"/>
      <c r="J74" s="25"/>
      <c r="K74" s="25"/>
      <c r="L74" s="25"/>
      <c r="M74" s="18"/>
      <c r="O74" s="1">
        <v>9</v>
      </c>
      <c r="P74" s="1">
        <v>1</v>
      </c>
      <c r="Q74" s="1">
        <v>1</v>
      </c>
      <c r="R74" s="1">
        <v>1</v>
      </c>
      <c r="S74" s="14"/>
      <c r="AX74" s="14"/>
    </row>
    <row r="75" spans="1:50" ht="23" customHeight="1" thickBot="1" x14ac:dyDescent="0.35">
      <c r="A75" s="63"/>
      <c r="B75" s="76"/>
      <c r="C75" s="25"/>
      <c r="D75" s="36"/>
      <c r="E75" s="36"/>
      <c r="F75" s="36"/>
      <c r="G75" s="25"/>
      <c r="H75" s="25"/>
      <c r="I75" s="25"/>
      <c r="J75" s="25"/>
      <c r="K75" s="25"/>
      <c r="L75" s="25"/>
      <c r="M75" s="18"/>
      <c r="O75" s="4">
        <v>10</v>
      </c>
      <c r="P75" s="4">
        <v>2</v>
      </c>
      <c r="Q75" s="4">
        <v>0</v>
      </c>
      <c r="R75" s="4">
        <v>2</v>
      </c>
      <c r="S75" s="14"/>
      <c r="AX75" s="14"/>
    </row>
    <row r="76" spans="1:50" ht="23.5" customHeight="1" thickTop="1" thickBot="1" x14ac:dyDescent="0.35">
      <c r="A76" s="63"/>
      <c r="B76" s="81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19"/>
      <c r="N76" s="15"/>
      <c r="O76" s="15"/>
      <c r="P76" s="15"/>
      <c r="Q76" s="15"/>
      <c r="R76" s="15"/>
      <c r="S76" s="16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6"/>
    </row>
    <row r="77" spans="1:50" ht="15" customHeight="1" thickTop="1" thickBot="1" x14ac:dyDescent="0.35">
      <c r="A77" s="63"/>
      <c r="B77" s="89" t="s">
        <v>110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17"/>
      <c r="N77" s="24"/>
      <c r="O77" s="24"/>
      <c r="P77" s="24"/>
      <c r="Q77" s="24"/>
      <c r="R77" s="24"/>
      <c r="S77" s="17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17"/>
    </row>
    <row r="78" spans="1:50" ht="16" customHeight="1" thickTop="1" thickBot="1" x14ac:dyDescent="0.35">
      <c r="A78" s="63"/>
      <c r="B78" s="76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17"/>
      <c r="N78" s="24"/>
      <c r="O78" s="82" t="s">
        <v>205</v>
      </c>
      <c r="P78" s="82" t="s">
        <v>206</v>
      </c>
      <c r="Q78" s="83"/>
      <c r="R78" s="83"/>
      <c r="S78" s="17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17"/>
    </row>
    <row r="79" spans="1:50" ht="31" customHeight="1" thickTop="1" thickBot="1" x14ac:dyDescent="0.35">
      <c r="A79" s="63"/>
      <c r="B79" s="76"/>
      <c r="C79" s="24"/>
      <c r="D79" s="27" t="s">
        <v>191</v>
      </c>
      <c r="E79" s="27" t="s">
        <v>192</v>
      </c>
      <c r="F79" s="27" t="s">
        <v>193</v>
      </c>
      <c r="G79" s="27" t="s">
        <v>191</v>
      </c>
      <c r="H79" s="27" t="s">
        <v>192</v>
      </c>
      <c r="I79" s="27" t="s">
        <v>193</v>
      </c>
      <c r="J79" s="27" t="s">
        <v>191</v>
      </c>
      <c r="K79" s="27" t="s">
        <v>192</v>
      </c>
      <c r="L79" s="27" t="s">
        <v>193</v>
      </c>
      <c r="M79" s="17"/>
      <c r="N79" s="24"/>
      <c r="O79" s="84"/>
      <c r="P79" s="2" t="s">
        <v>178</v>
      </c>
      <c r="Q79" s="2" t="s">
        <v>186</v>
      </c>
      <c r="R79" s="2" t="s">
        <v>190</v>
      </c>
      <c r="S79" s="17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17"/>
    </row>
    <row r="80" spans="1:50" ht="23" customHeight="1" thickTop="1" x14ac:dyDescent="0.3">
      <c r="A80" s="63"/>
      <c r="B80" s="76"/>
      <c r="C80" s="33"/>
      <c r="D80" s="88" t="s">
        <v>194</v>
      </c>
      <c r="E80" s="36" t="s">
        <v>148</v>
      </c>
      <c r="F80" s="36">
        <v>6</v>
      </c>
      <c r="G80" s="85" t="s">
        <v>198</v>
      </c>
      <c r="H80" s="36" t="s">
        <v>158</v>
      </c>
      <c r="I80" s="36">
        <v>3</v>
      </c>
      <c r="J80" s="85" t="s">
        <v>202</v>
      </c>
      <c r="K80" s="36" t="s">
        <v>203</v>
      </c>
      <c r="L80" s="36">
        <v>3</v>
      </c>
      <c r="M80" s="18"/>
      <c r="N80" s="13"/>
      <c r="O80" s="1">
        <v>1</v>
      </c>
      <c r="P80" s="1">
        <v>1</v>
      </c>
      <c r="Q80" s="1">
        <v>2</v>
      </c>
      <c r="R80" s="1">
        <v>0</v>
      </c>
      <c r="S80" s="14"/>
      <c r="T80" s="13"/>
      <c r="U80" s="24"/>
      <c r="AX80" s="14"/>
    </row>
    <row r="81" spans="1:50" ht="23" customHeight="1" thickBot="1" x14ac:dyDescent="0.35">
      <c r="A81" s="63"/>
      <c r="B81" s="76"/>
      <c r="C81" s="25"/>
      <c r="D81" s="86"/>
      <c r="E81" s="36" t="s">
        <v>195</v>
      </c>
      <c r="F81" s="36">
        <v>3</v>
      </c>
      <c r="G81" s="86"/>
      <c r="H81" s="36" t="s">
        <v>159</v>
      </c>
      <c r="I81" s="36">
        <v>2</v>
      </c>
      <c r="J81" s="86"/>
      <c r="K81" s="36" t="s">
        <v>166</v>
      </c>
      <c r="L81" s="36">
        <v>3</v>
      </c>
      <c r="M81" s="18"/>
      <c r="O81" s="1">
        <v>2</v>
      </c>
      <c r="P81" s="1">
        <v>2</v>
      </c>
      <c r="Q81" s="1">
        <v>2</v>
      </c>
      <c r="R81" s="1">
        <v>1</v>
      </c>
      <c r="S81" s="14"/>
      <c r="Z81" s="23" t="s">
        <v>194</v>
      </c>
      <c r="AK81" s="23" t="s">
        <v>198</v>
      </c>
      <c r="AT81" s="23" t="s">
        <v>202</v>
      </c>
      <c r="AX81" s="14"/>
    </row>
    <row r="82" spans="1:50" ht="25" customHeight="1" thickTop="1" thickBot="1" x14ac:dyDescent="0.35">
      <c r="A82" s="63"/>
      <c r="B82" s="76"/>
      <c r="C82" s="25"/>
      <c r="D82" s="86"/>
      <c r="E82" s="36" t="s">
        <v>196</v>
      </c>
      <c r="F82" s="36">
        <v>2</v>
      </c>
      <c r="G82" s="86"/>
      <c r="H82" s="36" t="s">
        <v>160</v>
      </c>
      <c r="I82" s="36">
        <v>1</v>
      </c>
      <c r="J82" s="86"/>
      <c r="K82" s="36" t="s">
        <v>167</v>
      </c>
      <c r="L82" s="36">
        <v>3</v>
      </c>
      <c r="M82" s="18"/>
      <c r="O82" s="1">
        <v>3</v>
      </c>
      <c r="P82" s="1">
        <v>0</v>
      </c>
      <c r="Q82" s="1">
        <v>1</v>
      </c>
      <c r="R82" s="1">
        <v>1</v>
      </c>
      <c r="S82" s="14"/>
      <c r="U82" s="7" t="s">
        <v>146</v>
      </c>
      <c r="V82" s="7" t="s">
        <v>147</v>
      </c>
      <c r="W82" s="7" t="s">
        <v>148</v>
      </c>
      <c r="X82" s="7" t="s">
        <v>149</v>
      </c>
      <c r="Y82" s="7" t="s">
        <v>150</v>
      </c>
      <c r="Z82" s="8" t="s">
        <v>151</v>
      </c>
      <c r="AA82" s="7" t="s">
        <v>152</v>
      </c>
      <c r="AB82" s="7" t="s">
        <v>153</v>
      </c>
      <c r="AC82" s="7" t="s">
        <v>154</v>
      </c>
      <c r="AD82" s="7" t="s">
        <v>155</v>
      </c>
      <c r="AE82" s="8" t="s">
        <v>156</v>
      </c>
      <c r="AF82" s="7" t="s">
        <v>157</v>
      </c>
      <c r="AH82" s="7" t="s">
        <v>146</v>
      </c>
      <c r="AI82" s="7" t="s">
        <v>147</v>
      </c>
      <c r="AJ82" s="7" t="s">
        <v>158</v>
      </c>
      <c r="AK82" s="7" t="s">
        <v>159</v>
      </c>
      <c r="AL82" s="7" t="s">
        <v>160</v>
      </c>
      <c r="AM82" s="7" t="s">
        <v>161</v>
      </c>
      <c r="AN82" s="7" t="s">
        <v>162</v>
      </c>
      <c r="AO82" s="7" t="s">
        <v>163</v>
      </c>
      <c r="AP82" s="7" t="s">
        <v>164</v>
      </c>
      <c r="AR82" s="7" t="s">
        <v>146</v>
      </c>
      <c r="AS82" s="7" t="s">
        <v>147</v>
      </c>
      <c r="AT82" s="7" t="s">
        <v>165</v>
      </c>
      <c r="AU82" s="7" t="s">
        <v>166</v>
      </c>
      <c r="AV82" s="7" t="s">
        <v>167</v>
      </c>
      <c r="AW82" s="7" t="s">
        <v>168</v>
      </c>
      <c r="AX82" s="14"/>
    </row>
    <row r="83" spans="1:50" ht="24" customHeight="1" thickTop="1" thickBot="1" x14ac:dyDescent="0.35">
      <c r="A83" s="63"/>
      <c r="B83" s="76"/>
      <c r="C83" s="25"/>
      <c r="D83" s="86"/>
      <c r="E83" s="1" t="s">
        <v>151</v>
      </c>
      <c r="F83" s="36">
        <v>2</v>
      </c>
      <c r="G83" s="86"/>
      <c r="H83" s="36" t="s">
        <v>199</v>
      </c>
      <c r="I83" s="36">
        <v>3</v>
      </c>
      <c r="J83" s="87"/>
      <c r="K83" s="38" t="s">
        <v>168</v>
      </c>
      <c r="L83" s="38">
        <v>1</v>
      </c>
      <c r="M83" s="18"/>
      <c r="O83" s="1">
        <v>4</v>
      </c>
      <c r="P83" s="1">
        <v>1</v>
      </c>
      <c r="Q83" s="1">
        <v>2</v>
      </c>
      <c r="R83" s="1">
        <v>0</v>
      </c>
      <c r="S83" s="14"/>
      <c r="U83" s="9" t="s">
        <v>171</v>
      </c>
      <c r="V83" s="10" t="s">
        <v>172</v>
      </c>
      <c r="W83" s="9">
        <v>7.57</v>
      </c>
      <c r="X83" s="9">
        <v>0.73</v>
      </c>
      <c r="Y83" s="9">
        <v>1.1399999999999999</v>
      </c>
      <c r="Z83" s="9">
        <v>0.61</v>
      </c>
      <c r="AA83" s="9">
        <v>2.5</v>
      </c>
      <c r="AB83" s="9">
        <v>0.87</v>
      </c>
      <c r="AC83" s="9">
        <v>0.94</v>
      </c>
      <c r="AD83" s="9">
        <v>1.1499999999999999</v>
      </c>
      <c r="AE83" s="9">
        <v>1.17</v>
      </c>
      <c r="AF83" s="9">
        <v>2.19</v>
      </c>
      <c r="AH83" s="9" t="s">
        <v>173</v>
      </c>
      <c r="AI83" s="10" t="s">
        <v>174</v>
      </c>
      <c r="AJ83" s="9">
        <v>6.48</v>
      </c>
      <c r="AK83" s="9">
        <v>6.75</v>
      </c>
      <c r="AL83" s="9">
        <v>3</v>
      </c>
      <c r="AM83" s="9">
        <v>6.39</v>
      </c>
      <c r="AN83" s="9">
        <v>1.91</v>
      </c>
      <c r="AO83" s="9">
        <v>7.55</v>
      </c>
      <c r="AP83" s="9">
        <v>5.37</v>
      </c>
      <c r="AR83" s="9" t="s">
        <v>175</v>
      </c>
      <c r="AS83" s="10" t="s">
        <v>176</v>
      </c>
      <c r="AT83" s="9">
        <v>2.97</v>
      </c>
      <c r="AU83" s="9">
        <v>1.1299999999999999</v>
      </c>
      <c r="AV83" s="9">
        <v>2.6</v>
      </c>
      <c r="AW83" s="9">
        <v>2</v>
      </c>
      <c r="AX83" s="14"/>
    </row>
    <row r="84" spans="1:50" ht="24" customHeight="1" thickTop="1" thickBot="1" x14ac:dyDescent="0.35">
      <c r="A84" s="63"/>
      <c r="B84" s="76"/>
      <c r="C84" s="25"/>
      <c r="D84" s="86"/>
      <c r="E84" s="36" t="s">
        <v>152</v>
      </c>
      <c r="F84" s="36">
        <v>2</v>
      </c>
      <c r="G84" s="86"/>
      <c r="H84" s="36" t="s">
        <v>200</v>
      </c>
      <c r="I84" s="36">
        <v>2</v>
      </c>
      <c r="J84" s="39"/>
      <c r="K84" s="39"/>
      <c r="L84" s="39"/>
      <c r="M84" s="18"/>
      <c r="O84" s="1">
        <v>5</v>
      </c>
      <c r="P84" s="1">
        <v>1</v>
      </c>
      <c r="Q84" s="1">
        <v>1</v>
      </c>
      <c r="R84" s="1">
        <v>1</v>
      </c>
      <c r="S84" s="14"/>
      <c r="U84" s="9" t="s">
        <v>179</v>
      </c>
      <c r="V84" s="10" t="s">
        <v>180</v>
      </c>
      <c r="W84" s="9">
        <v>8.31</v>
      </c>
      <c r="X84" s="9">
        <v>0.65</v>
      </c>
      <c r="Y84" s="9">
        <v>1.07</v>
      </c>
      <c r="Z84" s="9">
        <v>0.68</v>
      </c>
      <c r="AA84" s="9">
        <v>2.92</v>
      </c>
      <c r="AB84" s="9">
        <v>0.83</v>
      </c>
      <c r="AC84" s="9">
        <v>0.91</v>
      </c>
      <c r="AD84" s="9">
        <v>1</v>
      </c>
      <c r="AE84" s="9">
        <v>1.32</v>
      </c>
      <c r="AF84" s="9">
        <v>1.66</v>
      </c>
      <c r="AH84" s="11" t="s">
        <v>181</v>
      </c>
      <c r="AI84" s="12" t="s">
        <v>182</v>
      </c>
      <c r="AJ84" s="11">
        <v>6.74</v>
      </c>
      <c r="AK84" s="11">
        <v>7.15</v>
      </c>
      <c r="AL84" s="11">
        <v>3</v>
      </c>
      <c r="AM84" s="11">
        <v>7.44</v>
      </c>
      <c r="AN84" s="11">
        <v>2.25</v>
      </c>
      <c r="AO84" s="11">
        <v>8.4600000000000009</v>
      </c>
      <c r="AP84" s="11">
        <v>5.64</v>
      </c>
      <c r="AR84" s="11" t="s">
        <v>183</v>
      </c>
      <c r="AS84" s="12" t="s">
        <v>184</v>
      </c>
      <c r="AT84" s="11">
        <v>3.48</v>
      </c>
      <c r="AU84" s="11">
        <v>1.06</v>
      </c>
      <c r="AV84" s="11">
        <v>2.4</v>
      </c>
      <c r="AW84" s="11">
        <v>2</v>
      </c>
      <c r="AX84" s="14"/>
    </row>
    <row r="85" spans="1:50" ht="23.5" customHeight="1" thickTop="1" thickBot="1" x14ac:dyDescent="0.35">
      <c r="A85" s="63"/>
      <c r="B85" s="76"/>
      <c r="C85" s="25"/>
      <c r="D85" s="86"/>
      <c r="E85" s="36" t="s">
        <v>153</v>
      </c>
      <c r="F85" s="36">
        <v>2</v>
      </c>
      <c r="G85" s="86"/>
      <c r="H85" s="36" t="s">
        <v>201</v>
      </c>
      <c r="I85" s="36">
        <v>1</v>
      </c>
      <c r="J85" s="25"/>
      <c r="K85" s="25"/>
      <c r="L85" s="25"/>
      <c r="M85" s="18"/>
      <c r="O85" s="1">
        <v>6</v>
      </c>
      <c r="P85" s="1">
        <v>2</v>
      </c>
      <c r="Q85" s="1">
        <v>1</v>
      </c>
      <c r="R85" s="1">
        <v>1</v>
      </c>
      <c r="S85" s="14"/>
      <c r="U85" s="11" t="s">
        <v>187</v>
      </c>
      <c r="V85" s="12" t="s">
        <v>188</v>
      </c>
      <c r="W85" s="11">
        <v>9.18</v>
      </c>
      <c r="X85" s="11">
        <v>0.89</v>
      </c>
      <c r="Y85" s="11">
        <v>1.23</v>
      </c>
      <c r="Z85" s="11">
        <v>0.75</v>
      </c>
      <c r="AA85" s="11">
        <v>2.5</v>
      </c>
      <c r="AB85" s="11">
        <v>0.81</v>
      </c>
      <c r="AC85" s="11">
        <v>0.97</v>
      </c>
      <c r="AD85" s="11">
        <v>1.2</v>
      </c>
      <c r="AE85" s="11">
        <v>1.35</v>
      </c>
      <c r="AF85" s="11">
        <v>2.42</v>
      </c>
      <c r="AX85" s="14"/>
    </row>
    <row r="86" spans="1:50" ht="23.5" customHeight="1" thickTop="1" thickBot="1" x14ac:dyDescent="0.35">
      <c r="A86" s="63"/>
      <c r="B86" s="76"/>
      <c r="C86" s="25"/>
      <c r="D86" s="86"/>
      <c r="E86" s="1" t="s">
        <v>156</v>
      </c>
      <c r="F86" s="36">
        <v>2</v>
      </c>
      <c r="G86" s="87"/>
      <c r="H86" s="38" t="s">
        <v>164</v>
      </c>
      <c r="I86" s="38">
        <v>1</v>
      </c>
      <c r="J86" s="36"/>
      <c r="K86" s="25"/>
      <c r="L86" s="25"/>
      <c r="M86" s="18"/>
      <c r="O86" s="1">
        <v>7</v>
      </c>
      <c r="P86" s="1">
        <v>1</v>
      </c>
      <c r="Q86" s="1">
        <v>1</v>
      </c>
      <c r="R86" s="1">
        <v>1</v>
      </c>
      <c r="S86" s="14"/>
      <c r="U86" s="9"/>
      <c r="V86" s="10"/>
      <c r="W86" s="9"/>
      <c r="X86" s="9"/>
      <c r="Y86" s="9"/>
      <c r="Z86" s="9"/>
      <c r="AA86" s="9"/>
      <c r="AB86" s="9"/>
      <c r="AC86" s="9"/>
      <c r="AD86" s="9"/>
      <c r="AE86" s="9"/>
      <c r="AF86" s="9"/>
      <c r="AX86" s="14"/>
    </row>
    <row r="87" spans="1:50" ht="23.5" customHeight="1" thickTop="1" thickBot="1" x14ac:dyDescent="0.35">
      <c r="A87" s="63"/>
      <c r="B87" s="76"/>
      <c r="C87" s="25"/>
      <c r="D87" s="87"/>
      <c r="E87" s="38" t="s">
        <v>197</v>
      </c>
      <c r="F87" s="38">
        <v>1</v>
      </c>
      <c r="G87" s="39"/>
      <c r="H87" s="39"/>
      <c r="I87" s="39"/>
      <c r="J87" s="36"/>
      <c r="K87" s="36"/>
      <c r="L87" s="25"/>
      <c r="M87" s="18"/>
      <c r="O87" s="1">
        <v>8</v>
      </c>
      <c r="P87" s="1">
        <v>0</v>
      </c>
      <c r="Q87" s="1">
        <v>1</v>
      </c>
      <c r="R87" s="1">
        <v>3</v>
      </c>
      <c r="S87" s="14"/>
      <c r="U87" s="9"/>
      <c r="V87" s="10"/>
      <c r="W87" s="9"/>
      <c r="X87" s="9"/>
      <c r="Y87" s="9"/>
      <c r="Z87" s="9"/>
      <c r="AA87" s="9"/>
      <c r="AB87" s="9"/>
      <c r="AC87" s="9"/>
      <c r="AD87" s="9"/>
      <c r="AE87" s="9"/>
      <c r="AF87" s="9"/>
      <c r="AX87" s="14"/>
    </row>
    <row r="88" spans="1:50" ht="23" customHeight="1" thickTop="1" x14ac:dyDescent="0.3">
      <c r="A88" s="63"/>
      <c r="B88" s="76"/>
      <c r="C88" s="25"/>
      <c r="D88" s="39"/>
      <c r="E88" s="39"/>
      <c r="F88" s="39"/>
      <c r="G88" s="25"/>
      <c r="H88" s="25"/>
      <c r="I88" s="25"/>
      <c r="J88" s="25"/>
      <c r="K88" s="25"/>
      <c r="L88" s="25"/>
      <c r="M88" s="18"/>
      <c r="O88" s="1">
        <v>9</v>
      </c>
      <c r="P88" s="1">
        <v>2</v>
      </c>
      <c r="Q88" s="1">
        <v>0</v>
      </c>
      <c r="R88" s="1">
        <v>2</v>
      </c>
      <c r="S88" s="14"/>
      <c r="AX88" s="14"/>
    </row>
    <row r="89" spans="1:50" ht="23" customHeight="1" thickBot="1" x14ac:dyDescent="0.35">
      <c r="A89" s="63"/>
      <c r="B89" s="76"/>
      <c r="C89" s="25"/>
      <c r="D89" s="36"/>
      <c r="E89" s="36"/>
      <c r="F89" s="36"/>
      <c r="G89" s="25"/>
      <c r="H89" s="25"/>
      <c r="I89" s="25"/>
      <c r="J89" s="25"/>
      <c r="K89" s="25"/>
      <c r="L89" s="25"/>
      <c r="M89" s="18"/>
      <c r="O89" s="4">
        <v>10</v>
      </c>
      <c r="P89" s="4">
        <v>2</v>
      </c>
      <c r="Q89" s="4">
        <v>1</v>
      </c>
      <c r="R89" s="4">
        <v>2</v>
      </c>
      <c r="S89" s="14"/>
      <c r="AX89" s="14"/>
    </row>
    <row r="90" spans="1:50" ht="23.5" customHeight="1" thickTop="1" thickBot="1" x14ac:dyDescent="0.35">
      <c r="A90" s="63"/>
      <c r="B90" s="8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19"/>
      <c r="N90" s="15"/>
      <c r="O90" s="15"/>
      <c r="P90" s="15"/>
      <c r="Q90" s="15"/>
      <c r="R90" s="15"/>
      <c r="S90" s="16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6"/>
    </row>
    <row r="91" spans="1:50" ht="15" customHeight="1" thickTop="1" thickBot="1" x14ac:dyDescent="0.35">
      <c r="A91" s="63"/>
      <c r="B91" s="89" t="s">
        <v>111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17"/>
      <c r="N91" s="24"/>
      <c r="O91" s="24"/>
      <c r="P91" s="24"/>
      <c r="Q91" s="24"/>
      <c r="R91" s="24"/>
      <c r="S91" s="17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17"/>
    </row>
    <row r="92" spans="1:50" ht="16" customHeight="1" thickTop="1" thickBot="1" x14ac:dyDescent="0.35">
      <c r="A92" s="63"/>
      <c r="B92" s="76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17"/>
      <c r="N92" s="24"/>
      <c r="O92" s="82" t="s">
        <v>205</v>
      </c>
      <c r="P92" s="82" t="s">
        <v>206</v>
      </c>
      <c r="Q92" s="83"/>
      <c r="R92" s="83"/>
      <c r="S92" s="17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17"/>
    </row>
    <row r="93" spans="1:50" ht="31" customHeight="1" thickTop="1" thickBot="1" x14ac:dyDescent="0.35">
      <c r="A93" s="63"/>
      <c r="B93" s="76"/>
      <c r="C93" s="24"/>
      <c r="D93" s="27" t="s">
        <v>191</v>
      </c>
      <c r="E93" s="27" t="s">
        <v>192</v>
      </c>
      <c r="F93" s="27" t="s">
        <v>193</v>
      </c>
      <c r="G93" s="27" t="s">
        <v>191</v>
      </c>
      <c r="H93" s="27" t="s">
        <v>192</v>
      </c>
      <c r="I93" s="27" t="s">
        <v>193</v>
      </c>
      <c r="J93" s="27" t="s">
        <v>191</v>
      </c>
      <c r="K93" s="27" t="s">
        <v>192</v>
      </c>
      <c r="L93" s="27" t="s">
        <v>193</v>
      </c>
      <c r="M93" s="17"/>
      <c r="N93" s="24"/>
      <c r="O93" s="84"/>
      <c r="P93" s="2" t="s">
        <v>178</v>
      </c>
      <c r="Q93" s="2" t="s">
        <v>186</v>
      </c>
      <c r="R93" s="2" t="s">
        <v>190</v>
      </c>
      <c r="S93" s="1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17"/>
    </row>
    <row r="94" spans="1:50" ht="23" customHeight="1" thickTop="1" x14ac:dyDescent="0.3">
      <c r="A94" s="63"/>
      <c r="B94" s="76"/>
      <c r="C94" s="33"/>
      <c r="D94" s="88" t="s">
        <v>194</v>
      </c>
      <c r="E94" s="36" t="s">
        <v>148</v>
      </c>
      <c r="F94" s="36">
        <v>6</v>
      </c>
      <c r="G94" s="85" t="s">
        <v>198</v>
      </c>
      <c r="H94" s="36" t="s">
        <v>158</v>
      </c>
      <c r="I94" s="36">
        <v>3</v>
      </c>
      <c r="J94" s="85" t="s">
        <v>202</v>
      </c>
      <c r="K94" s="36" t="s">
        <v>203</v>
      </c>
      <c r="L94" s="36">
        <v>3</v>
      </c>
      <c r="M94" s="18"/>
      <c r="N94" s="13"/>
      <c r="O94" s="1">
        <v>1</v>
      </c>
      <c r="P94" s="1">
        <v>1</v>
      </c>
      <c r="Q94" s="1">
        <v>0</v>
      </c>
      <c r="R94" s="1">
        <v>1</v>
      </c>
      <c r="S94" s="14"/>
      <c r="T94" s="13"/>
      <c r="U94" s="24"/>
      <c r="AX94" s="14"/>
    </row>
    <row r="95" spans="1:50" ht="23" customHeight="1" thickBot="1" x14ac:dyDescent="0.35">
      <c r="A95" s="63"/>
      <c r="B95" s="76"/>
      <c r="C95" s="25"/>
      <c r="D95" s="86"/>
      <c r="E95" s="36" t="s">
        <v>195</v>
      </c>
      <c r="F95" s="36">
        <v>3</v>
      </c>
      <c r="G95" s="86"/>
      <c r="H95" s="36" t="s">
        <v>159</v>
      </c>
      <c r="I95" s="36">
        <v>2</v>
      </c>
      <c r="J95" s="86"/>
      <c r="K95" s="36" t="s">
        <v>166</v>
      </c>
      <c r="L95" s="36">
        <v>3</v>
      </c>
      <c r="M95" s="18"/>
      <c r="O95" s="1">
        <v>2</v>
      </c>
      <c r="P95" s="1">
        <v>2</v>
      </c>
      <c r="Q95" s="1">
        <v>2</v>
      </c>
      <c r="R95" s="1">
        <v>2</v>
      </c>
      <c r="S95" s="14"/>
      <c r="Z95" s="23" t="s">
        <v>194</v>
      </c>
      <c r="AK95" s="23" t="s">
        <v>198</v>
      </c>
      <c r="AT95" s="23" t="s">
        <v>202</v>
      </c>
      <c r="AX95" s="14"/>
    </row>
    <row r="96" spans="1:50" ht="25" customHeight="1" thickTop="1" thickBot="1" x14ac:dyDescent="0.35">
      <c r="A96" s="63"/>
      <c r="B96" s="76"/>
      <c r="C96" s="25"/>
      <c r="D96" s="86"/>
      <c r="E96" s="36" t="s">
        <v>196</v>
      </c>
      <c r="F96" s="36">
        <v>2</v>
      </c>
      <c r="G96" s="86"/>
      <c r="H96" s="36" t="s">
        <v>160</v>
      </c>
      <c r="I96" s="36">
        <v>1</v>
      </c>
      <c r="J96" s="86"/>
      <c r="K96" s="36" t="s">
        <v>167</v>
      </c>
      <c r="L96" s="36">
        <v>3</v>
      </c>
      <c r="M96" s="18"/>
      <c r="O96" s="1">
        <v>3</v>
      </c>
      <c r="P96" s="1">
        <v>2</v>
      </c>
      <c r="Q96" s="1">
        <v>1</v>
      </c>
      <c r="R96" s="1">
        <v>0</v>
      </c>
      <c r="S96" s="14"/>
      <c r="U96" s="7" t="s">
        <v>146</v>
      </c>
      <c r="V96" s="7" t="s">
        <v>147</v>
      </c>
      <c r="W96" s="7" t="s">
        <v>148</v>
      </c>
      <c r="X96" s="7" t="s">
        <v>149</v>
      </c>
      <c r="Y96" s="7" t="s">
        <v>150</v>
      </c>
      <c r="Z96" s="8" t="s">
        <v>151</v>
      </c>
      <c r="AA96" s="7" t="s">
        <v>152</v>
      </c>
      <c r="AB96" s="7" t="s">
        <v>153</v>
      </c>
      <c r="AC96" s="7" t="s">
        <v>154</v>
      </c>
      <c r="AD96" s="7" t="s">
        <v>155</v>
      </c>
      <c r="AE96" s="8" t="s">
        <v>156</v>
      </c>
      <c r="AF96" s="7" t="s">
        <v>157</v>
      </c>
      <c r="AH96" s="7" t="s">
        <v>146</v>
      </c>
      <c r="AI96" s="7" t="s">
        <v>147</v>
      </c>
      <c r="AJ96" s="7" t="s">
        <v>158</v>
      </c>
      <c r="AK96" s="7" t="s">
        <v>159</v>
      </c>
      <c r="AL96" s="7" t="s">
        <v>160</v>
      </c>
      <c r="AM96" s="7" t="s">
        <v>161</v>
      </c>
      <c r="AN96" s="7" t="s">
        <v>162</v>
      </c>
      <c r="AO96" s="7" t="s">
        <v>163</v>
      </c>
      <c r="AP96" s="7" t="s">
        <v>164</v>
      </c>
      <c r="AR96" s="7" t="s">
        <v>146</v>
      </c>
      <c r="AS96" s="7" t="s">
        <v>147</v>
      </c>
      <c r="AT96" s="7" t="s">
        <v>165</v>
      </c>
      <c r="AU96" s="7" t="s">
        <v>166</v>
      </c>
      <c r="AV96" s="7" t="s">
        <v>167</v>
      </c>
      <c r="AW96" s="7" t="s">
        <v>168</v>
      </c>
      <c r="AX96" s="14"/>
    </row>
    <row r="97" spans="1:50" ht="24" customHeight="1" thickTop="1" thickBot="1" x14ac:dyDescent="0.35">
      <c r="A97" s="63"/>
      <c r="B97" s="76"/>
      <c r="C97" s="25"/>
      <c r="D97" s="86"/>
      <c r="E97" s="1" t="s">
        <v>151</v>
      </c>
      <c r="F97" s="36">
        <v>2</v>
      </c>
      <c r="G97" s="86"/>
      <c r="H97" s="36" t="s">
        <v>199</v>
      </c>
      <c r="I97" s="36">
        <v>3</v>
      </c>
      <c r="J97" s="87"/>
      <c r="K97" s="38" t="s">
        <v>168</v>
      </c>
      <c r="L97" s="38">
        <v>1</v>
      </c>
      <c r="M97" s="18"/>
      <c r="O97" s="1">
        <v>4</v>
      </c>
      <c r="P97" s="1">
        <v>0</v>
      </c>
      <c r="Q97" s="1">
        <v>2</v>
      </c>
      <c r="R97" s="1">
        <v>0</v>
      </c>
      <c r="S97" s="14"/>
      <c r="U97" s="9" t="s">
        <v>171</v>
      </c>
      <c r="V97" s="10" t="s">
        <v>172</v>
      </c>
      <c r="W97" s="9">
        <v>7.87</v>
      </c>
      <c r="X97" s="9">
        <v>0.82</v>
      </c>
      <c r="Y97" s="9">
        <v>1.1599999999999999</v>
      </c>
      <c r="Z97" s="9">
        <v>0.65</v>
      </c>
      <c r="AA97" s="9">
        <v>2.79</v>
      </c>
      <c r="AB97" s="9">
        <v>0.85</v>
      </c>
      <c r="AC97" s="9">
        <v>0.96</v>
      </c>
      <c r="AD97" s="9">
        <v>1.03</v>
      </c>
      <c r="AE97" s="9">
        <v>1.08</v>
      </c>
      <c r="AF97" s="9">
        <v>1.87</v>
      </c>
      <c r="AH97" s="9" t="s">
        <v>173</v>
      </c>
      <c r="AI97" s="10" t="s">
        <v>174</v>
      </c>
      <c r="AJ97" s="9">
        <v>6.17</v>
      </c>
      <c r="AK97" s="9">
        <v>6.58</v>
      </c>
      <c r="AL97" s="9">
        <v>3</v>
      </c>
      <c r="AM97" s="9">
        <v>6.19</v>
      </c>
      <c r="AN97" s="9">
        <v>1.58</v>
      </c>
      <c r="AO97" s="9">
        <v>7.16</v>
      </c>
      <c r="AP97" s="9">
        <v>5.17</v>
      </c>
      <c r="AR97" s="9" t="s">
        <v>175</v>
      </c>
      <c r="AS97" s="10" t="s">
        <v>176</v>
      </c>
      <c r="AT97" s="9">
        <v>2.63</v>
      </c>
      <c r="AU97" s="9">
        <v>1.19</v>
      </c>
      <c r="AV97" s="9">
        <v>2.12</v>
      </c>
      <c r="AW97" s="9">
        <v>2</v>
      </c>
      <c r="AX97" s="14"/>
    </row>
    <row r="98" spans="1:50" ht="24" customHeight="1" thickTop="1" thickBot="1" x14ac:dyDescent="0.35">
      <c r="A98" s="63"/>
      <c r="B98" s="76"/>
      <c r="C98" s="25"/>
      <c r="D98" s="86"/>
      <c r="E98" s="36" t="s">
        <v>152</v>
      </c>
      <c r="F98" s="36">
        <v>2</v>
      </c>
      <c r="G98" s="86"/>
      <c r="H98" s="36" t="s">
        <v>200</v>
      </c>
      <c r="I98" s="36">
        <v>2</v>
      </c>
      <c r="J98" s="39"/>
      <c r="K98" s="39"/>
      <c r="L98" s="39"/>
      <c r="M98" s="18"/>
      <c r="O98" s="1">
        <v>5</v>
      </c>
      <c r="P98" s="1">
        <v>1</v>
      </c>
      <c r="Q98" s="1">
        <v>1</v>
      </c>
      <c r="R98" s="1">
        <v>1</v>
      </c>
      <c r="S98" s="14"/>
      <c r="U98" s="9" t="s">
        <v>179</v>
      </c>
      <c r="V98" s="10" t="s">
        <v>180</v>
      </c>
      <c r="W98" s="9">
        <v>8.27</v>
      </c>
      <c r="X98" s="9">
        <v>0.75</v>
      </c>
      <c r="Y98" s="9">
        <v>1.02</v>
      </c>
      <c r="Z98" s="9">
        <v>0.59</v>
      </c>
      <c r="AA98" s="9">
        <v>2.5</v>
      </c>
      <c r="AB98" s="9">
        <v>0.89</v>
      </c>
      <c r="AC98" s="9">
        <v>0.99</v>
      </c>
      <c r="AD98" s="9">
        <v>1.18</v>
      </c>
      <c r="AE98" s="9">
        <v>1.22</v>
      </c>
      <c r="AF98" s="9">
        <v>2.31</v>
      </c>
      <c r="AH98" s="11" t="s">
        <v>181</v>
      </c>
      <c r="AI98" s="12" t="s">
        <v>182</v>
      </c>
      <c r="AJ98" s="11">
        <v>6.91</v>
      </c>
      <c r="AK98" s="11">
        <v>7.44</v>
      </c>
      <c r="AL98" s="11">
        <v>3</v>
      </c>
      <c r="AM98" s="11">
        <v>7.81</v>
      </c>
      <c r="AN98" s="11">
        <v>2.44</v>
      </c>
      <c r="AO98" s="11">
        <v>8.84</v>
      </c>
      <c r="AP98" s="11">
        <v>5.91</v>
      </c>
      <c r="AR98" s="11" t="s">
        <v>183</v>
      </c>
      <c r="AS98" s="12" t="s">
        <v>184</v>
      </c>
      <c r="AT98" s="11">
        <v>3.14</v>
      </c>
      <c r="AU98" s="11">
        <v>1.04</v>
      </c>
      <c r="AV98" s="11">
        <v>2.8</v>
      </c>
      <c r="AW98" s="11">
        <v>2</v>
      </c>
      <c r="AX98" s="14"/>
    </row>
    <row r="99" spans="1:50" ht="23.5" customHeight="1" thickTop="1" thickBot="1" x14ac:dyDescent="0.35">
      <c r="A99" s="63"/>
      <c r="B99" s="76"/>
      <c r="C99" s="25"/>
      <c r="D99" s="86"/>
      <c r="E99" s="36" t="s">
        <v>153</v>
      </c>
      <c r="F99" s="36">
        <v>2</v>
      </c>
      <c r="G99" s="86"/>
      <c r="H99" s="36" t="s">
        <v>201</v>
      </c>
      <c r="I99" s="36">
        <v>1</v>
      </c>
      <c r="J99" s="25"/>
      <c r="K99" s="25"/>
      <c r="L99" s="25"/>
      <c r="M99" s="18"/>
      <c r="O99" s="1">
        <v>6</v>
      </c>
      <c r="P99" s="1">
        <v>2</v>
      </c>
      <c r="Q99" s="1">
        <v>1</v>
      </c>
      <c r="R99" s="1">
        <v>2</v>
      </c>
      <c r="S99" s="14"/>
      <c r="U99" s="11" t="s">
        <v>187</v>
      </c>
      <c r="V99" s="12" t="s">
        <v>188</v>
      </c>
      <c r="W99" s="11">
        <v>9.0500000000000007</v>
      </c>
      <c r="X99" s="11">
        <v>0.67</v>
      </c>
      <c r="Y99" s="11">
        <v>1.25</v>
      </c>
      <c r="Z99" s="11">
        <v>0.71</v>
      </c>
      <c r="AA99" s="11">
        <v>2.63</v>
      </c>
      <c r="AB99" s="11">
        <v>0.82</v>
      </c>
      <c r="AC99" s="11">
        <v>0.93</v>
      </c>
      <c r="AD99" s="11">
        <v>1.1499999999999999</v>
      </c>
      <c r="AE99" s="11">
        <v>1.38</v>
      </c>
      <c r="AF99" s="11">
        <v>1.73</v>
      </c>
      <c r="AX99" s="14"/>
    </row>
    <row r="100" spans="1:50" ht="23.5" customHeight="1" thickTop="1" thickBot="1" x14ac:dyDescent="0.35">
      <c r="A100" s="63"/>
      <c r="B100" s="76"/>
      <c r="C100" s="25"/>
      <c r="D100" s="86"/>
      <c r="E100" s="1" t="s">
        <v>156</v>
      </c>
      <c r="F100" s="36">
        <v>2</v>
      </c>
      <c r="G100" s="87"/>
      <c r="H100" s="38" t="s">
        <v>164</v>
      </c>
      <c r="I100" s="38">
        <v>1</v>
      </c>
      <c r="J100" s="36"/>
      <c r="K100" s="25"/>
      <c r="L100" s="25"/>
      <c r="M100" s="18"/>
      <c r="O100" s="1">
        <v>7</v>
      </c>
      <c r="P100" s="1">
        <v>1</v>
      </c>
      <c r="Q100" s="1">
        <v>1</v>
      </c>
      <c r="R100" s="1">
        <v>1</v>
      </c>
      <c r="S100" s="14"/>
      <c r="U100" s="9"/>
      <c r="V100" s="10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X100" s="14"/>
    </row>
    <row r="101" spans="1:50" ht="23.5" customHeight="1" thickTop="1" thickBot="1" x14ac:dyDescent="0.35">
      <c r="A101" s="63"/>
      <c r="B101" s="76"/>
      <c r="C101" s="25"/>
      <c r="D101" s="87"/>
      <c r="E101" s="38" t="s">
        <v>197</v>
      </c>
      <c r="F101" s="38">
        <v>1</v>
      </c>
      <c r="G101" s="39"/>
      <c r="H101" s="39"/>
      <c r="I101" s="39"/>
      <c r="J101" s="36"/>
      <c r="K101" s="36"/>
      <c r="L101" s="25"/>
      <c r="M101" s="18"/>
      <c r="O101" s="1">
        <v>8</v>
      </c>
      <c r="P101" s="1">
        <v>2</v>
      </c>
      <c r="Q101" s="1">
        <v>2</v>
      </c>
      <c r="R101" s="1">
        <v>2</v>
      </c>
      <c r="S101" s="14"/>
      <c r="U101" s="9"/>
      <c r="V101" s="10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X101" s="14"/>
    </row>
    <row r="102" spans="1:50" ht="23" customHeight="1" thickTop="1" x14ac:dyDescent="0.3">
      <c r="A102" s="63"/>
      <c r="B102" s="76"/>
      <c r="C102" s="25"/>
      <c r="D102" s="39"/>
      <c r="E102" s="39"/>
      <c r="F102" s="39"/>
      <c r="G102" s="25"/>
      <c r="H102" s="25"/>
      <c r="I102" s="25"/>
      <c r="J102" s="25"/>
      <c r="K102" s="25"/>
      <c r="L102" s="25"/>
      <c r="M102" s="18"/>
      <c r="O102" s="1">
        <v>9</v>
      </c>
      <c r="P102" s="1">
        <v>0</v>
      </c>
      <c r="Q102" s="1">
        <v>3</v>
      </c>
      <c r="R102" s="1">
        <v>3</v>
      </c>
      <c r="S102" s="14"/>
      <c r="AX102" s="14"/>
    </row>
    <row r="103" spans="1:50" ht="23" customHeight="1" thickBot="1" x14ac:dyDescent="0.35">
      <c r="A103" s="63"/>
      <c r="B103" s="76"/>
      <c r="C103" s="25"/>
      <c r="D103" s="36"/>
      <c r="E103" s="36"/>
      <c r="F103" s="36"/>
      <c r="G103" s="25"/>
      <c r="H103" s="25"/>
      <c r="I103" s="25"/>
      <c r="J103" s="25"/>
      <c r="K103" s="25"/>
      <c r="L103" s="25"/>
      <c r="M103" s="18"/>
      <c r="O103" s="4">
        <v>10</v>
      </c>
      <c r="P103" s="4">
        <v>1</v>
      </c>
      <c r="Q103" s="4">
        <v>0</v>
      </c>
      <c r="R103" s="4">
        <v>2</v>
      </c>
      <c r="S103" s="14"/>
      <c r="AX103" s="14"/>
    </row>
    <row r="104" spans="1:50" ht="23.5" customHeight="1" thickTop="1" thickBot="1" x14ac:dyDescent="0.35">
      <c r="A104" s="63"/>
      <c r="B104" s="81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19"/>
      <c r="N104" s="15"/>
      <c r="O104" s="15"/>
      <c r="P104" s="15"/>
      <c r="Q104" s="15"/>
      <c r="R104" s="15"/>
      <c r="S104" s="16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6"/>
    </row>
    <row r="105" spans="1:50" ht="15" customHeight="1" thickTop="1" thickBot="1" x14ac:dyDescent="0.35">
      <c r="A105" s="63"/>
      <c r="B105" s="89" t="s">
        <v>112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17"/>
      <c r="N105" s="24"/>
      <c r="O105" s="24"/>
      <c r="P105" s="24"/>
      <c r="Q105" s="24"/>
      <c r="R105" s="24"/>
      <c r="S105" s="1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17"/>
    </row>
    <row r="106" spans="1:50" ht="16" customHeight="1" thickTop="1" thickBot="1" x14ac:dyDescent="0.35">
      <c r="A106" s="63"/>
      <c r="B106" s="76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17"/>
      <c r="N106" s="24"/>
      <c r="O106" s="82" t="s">
        <v>205</v>
      </c>
      <c r="P106" s="82" t="s">
        <v>206</v>
      </c>
      <c r="Q106" s="83"/>
      <c r="R106" s="83"/>
      <c r="S106" s="1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17"/>
    </row>
    <row r="107" spans="1:50" ht="31" customHeight="1" thickTop="1" thickBot="1" x14ac:dyDescent="0.35">
      <c r="A107" s="63"/>
      <c r="B107" s="76"/>
      <c r="C107" s="24"/>
      <c r="D107" s="27" t="s">
        <v>191</v>
      </c>
      <c r="E107" s="27" t="s">
        <v>192</v>
      </c>
      <c r="F107" s="27" t="s">
        <v>193</v>
      </c>
      <c r="G107" s="27" t="s">
        <v>191</v>
      </c>
      <c r="H107" s="27" t="s">
        <v>192</v>
      </c>
      <c r="I107" s="27" t="s">
        <v>193</v>
      </c>
      <c r="J107" s="27" t="s">
        <v>191</v>
      </c>
      <c r="K107" s="27" t="s">
        <v>192</v>
      </c>
      <c r="L107" s="27" t="s">
        <v>193</v>
      </c>
      <c r="M107" s="17"/>
      <c r="N107" s="24"/>
      <c r="O107" s="84"/>
      <c r="P107" s="2" t="s">
        <v>178</v>
      </c>
      <c r="Q107" s="2" t="s">
        <v>186</v>
      </c>
      <c r="R107" s="2" t="s">
        <v>190</v>
      </c>
      <c r="S107" s="17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17"/>
    </row>
    <row r="108" spans="1:50" ht="23" customHeight="1" thickTop="1" x14ac:dyDescent="0.3">
      <c r="A108" s="63"/>
      <c r="B108" s="76"/>
      <c r="C108" s="33"/>
      <c r="D108" s="88" t="s">
        <v>194</v>
      </c>
      <c r="E108" s="36" t="s">
        <v>148</v>
      </c>
      <c r="F108" s="36">
        <v>6</v>
      </c>
      <c r="G108" s="85" t="s">
        <v>198</v>
      </c>
      <c r="H108" s="36" t="s">
        <v>158</v>
      </c>
      <c r="I108" s="36">
        <v>3</v>
      </c>
      <c r="J108" s="85" t="s">
        <v>202</v>
      </c>
      <c r="K108" s="36" t="s">
        <v>203</v>
      </c>
      <c r="L108" s="36">
        <v>4</v>
      </c>
      <c r="M108" s="18"/>
      <c r="N108" s="13"/>
      <c r="O108" s="1">
        <v>1</v>
      </c>
      <c r="P108" s="1">
        <v>1</v>
      </c>
      <c r="Q108" s="1">
        <v>0</v>
      </c>
      <c r="R108" s="1">
        <v>3</v>
      </c>
      <c r="S108" s="14"/>
      <c r="T108" s="13"/>
      <c r="U108" s="24"/>
      <c r="AX108" s="14"/>
    </row>
    <row r="109" spans="1:50" ht="23" customHeight="1" thickBot="1" x14ac:dyDescent="0.35">
      <c r="A109" s="63"/>
      <c r="B109" s="76"/>
      <c r="C109" s="25"/>
      <c r="D109" s="86"/>
      <c r="E109" s="36" t="s">
        <v>195</v>
      </c>
      <c r="F109" s="36">
        <v>3</v>
      </c>
      <c r="G109" s="86"/>
      <c r="H109" s="36" t="s">
        <v>159</v>
      </c>
      <c r="I109" s="36">
        <v>3</v>
      </c>
      <c r="J109" s="86"/>
      <c r="K109" s="36" t="s">
        <v>166</v>
      </c>
      <c r="L109" s="36">
        <v>4</v>
      </c>
      <c r="M109" s="18"/>
      <c r="O109" s="1">
        <v>2</v>
      </c>
      <c r="P109" s="1">
        <v>2</v>
      </c>
      <c r="Q109" s="1">
        <v>2</v>
      </c>
      <c r="R109" s="1">
        <v>1</v>
      </c>
      <c r="S109" s="14"/>
      <c r="Z109" s="23" t="s">
        <v>194</v>
      </c>
      <c r="AK109" s="23" t="s">
        <v>198</v>
      </c>
      <c r="AT109" s="23" t="s">
        <v>202</v>
      </c>
      <c r="AX109" s="14"/>
    </row>
    <row r="110" spans="1:50" ht="25" customHeight="1" thickTop="1" thickBot="1" x14ac:dyDescent="0.35">
      <c r="A110" s="63"/>
      <c r="B110" s="76"/>
      <c r="C110" s="25"/>
      <c r="D110" s="86"/>
      <c r="E110" s="36" t="s">
        <v>196</v>
      </c>
      <c r="F110" s="36">
        <v>3</v>
      </c>
      <c r="G110" s="86"/>
      <c r="H110" s="36" t="s">
        <v>160</v>
      </c>
      <c r="I110" s="36">
        <v>1</v>
      </c>
      <c r="J110" s="86"/>
      <c r="K110" s="36" t="s">
        <v>167</v>
      </c>
      <c r="L110" s="36">
        <v>3</v>
      </c>
      <c r="M110" s="18"/>
      <c r="O110" s="1">
        <v>3</v>
      </c>
      <c r="P110" s="1">
        <v>0</v>
      </c>
      <c r="Q110" s="1">
        <v>1</v>
      </c>
      <c r="R110" s="1">
        <v>1</v>
      </c>
      <c r="S110" s="14"/>
      <c r="U110" s="7" t="s">
        <v>146</v>
      </c>
      <c r="V110" s="7" t="s">
        <v>147</v>
      </c>
      <c r="W110" s="7" t="s">
        <v>148</v>
      </c>
      <c r="X110" s="7" t="s">
        <v>149</v>
      </c>
      <c r="Y110" s="7" t="s">
        <v>150</v>
      </c>
      <c r="Z110" s="8" t="s">
        <v>151</v>
      </c>
      <c r="AA110" s="7" t="s">
        <v>152</v>
      </c>
      <c r="AB110" s="7" t="s">
        <v>153</v>
      </c>
      <c r="AC110" s="7" t="s">
        <v>154</v>
      </c>
      <c r="AD110" s="7" t="s">
        <v>155</v>
      </c>
      <c r="AE110" s="8" t="s">
        <v>156</v>
      </c>
      <c r="AF110" s="7" t="s">
        <v>157</v>
      </c>
      <c r="AH110" s="7" t="s">
        <v>146</v>
      </c>
      <c r="AI110" s="7" t="s">
        <v>147</v>
      </c>
      <c r="AJ110" s="7" t="s">
        <v>158</v>
      </c>
      <c r="AK110" s="7" t="s">
        <v>159</v>
      </c>
      <c r="AL110" s="7" t="s">
        <v>160</v>
      </c>
      <c r="AM110" s="7" t="s">
        <v>161</v>
      </c>
      <c r="AN110" s="7" t="s">
        <v>162</v>
      </c>
      <c r="AO110" s="7" t="s">
        <v>163</v>
      </c>
      <c r="AP110" s="7" t="s">
        <v>164</v>
      </c>
      <c r="AR110" s="7" t="s">
        <v>146</v>
      </c>
      <c r="AS110" s="7" t="s">
        <v>147</v>
      </c>
      <c r="AT110" s="7" t="s">
        <v>165</v>
      </c>
      <c r="AU110" s="7" t="s">
        <v>166</v>
      </c>
      <c r="AV110" s="7" t="s">
        <v>167</v>
      </c>
      <c r="AW110" s="7" t="s">
        <v>168</v>
      </c>
      <c r="AX110" s="14"/>
    </row>
    <row r="111" spans="1:50" ht="24" customHeight="1" thickTop="1" thickBot="1" x14ac:dyDescent="0.35">
      <c r="A111" s="63"/>
      <c r="B111" s="76"/>
      <c r="C111" s="25"/>
      <c r="D111" s="86"/>
      <c r="E111" s="1" t="s">
        <v>151</v>
      </c>
      <c r="F111" s="36">
        <v>2</v>
      </c>
      <c r="G111" s="86"/>
      <c r="H111" s="36" t="s">
        <v>199</v>
      </c>
      <c r="I111" s="36">
        <v>3</v>
      </c>
      <c r="J111" s="87"/>
      <c r="K111" s="38" t="s">
        <v>168</v>
      </c>
      <c r="L111" s="38">
        <v>1</v>
      </c>
      <c r="M111" s="18"/>
      <c r="O111" s="1">
        <v>4</v>
      </c>
      <c r="P111" s="1">
        <v>0</v>
      </c>
      <c r="Q111" s="1">
        <v>2</v>
      </c>
      <c r="R111" s="1">
        <v>0</v>
      </c>
      <c r="S111" s="14"/>
      <c r="U111" s="9" t="s">
        <v>171</v>
      </c>
      <c r="V111" s="10" t="s">
        <v>172</v>
      </c>
      <c r="W111" s="9">
        <v>7.1</v>
      </c>
      <c r="X111" s="9">
        <v>0.76</v>
      </c>
      <c r="Y111" s="9">
        <v>1.1000000000000001</v>
      </c>
      <c r="Z111" s="9">
        <v>0.67</v>
      </c>
      <c r="AA111" s="9">
        <v>2.5</v>
      </c>
      <c r="AB111" s="9">
        <v>0.84</v>
      </c>
      <c r="AC111" s="9">
        <v>0.98</v>
      </c>
      <c r="AD111" s="9">
        <v>1.1000000000000001</v>
      </c>
      <c r="AE111" s="9">
        <v>1.05</v>
      </c>
      <c r="AF111" s="9">
        <v>2.04</v>
      </c>
      <c r="AH111" s="9" t="s">
        <v>173</v>
      </c>
      <c r="AI111" s="10" t="s">
        <v>174</v>
      </c>
      <c r="AJ111" s="9">
        <v>6.54</v>
      </c>
      <c r="AK111" s="9">
        <v>6.84</v>
      </c>
      <c r="AL111" s="9">
        <v>3</v>
      </c>
      <c r="AM111" s="9">
        <v>6.54</v>
      </c>
      <c r="AN111" s="9">
        <v>1.84</v>
      </c>
      <c r="AO111" s="9">
        <v>7.54</v>
      </c>
      <c r="AP111" s="9">
        <v>5.44</v>
      </c>
      <c r="AR111" s="9" t="s">
        <v>175</v>
      </c>
      <c r="AS111" s="10" t="s">
        <v>176</v>
      </c>
      <c r="AT111" s="9">
        <v>3.31</v>
      </c>
      <c r="AU111" s="9">
        <v>1.1100000000000001</v>
      </c>
      <c r="AV111" s="9">
        <v>2.75</v>
      </c>
      <c r="AW111" s="9">
        <v>2</v>
      </c>
      <c r="AX111" s="14"/>
    </row>
    <row r="112" spans="1:50" ht="24" customHeight="1" thickTop="1" thickBot="1" x14ac:dyDescent="0.35">
      <c r="A112" s="63"/>
      <c r="B112" s="76"/>
      <c r="C112" s="25"/>
      <c r="D112" s="86"/>
      <c r="E112" s="36" t="s">
        <v>152</v>
      </c>
      <c r="F112" s="36">
        <v>2</v>
      </c>
      <c r="G112" s="86"/>
      <c r="H112" s="36" t="s">
        <v>200</v>
      </c>
      <c r="I112" s="36">
        <v>2</v>
      </c>
      <c r="J112" s="39"/>
      <c r="K112" s="39"/>
      <c r="L112" s="39"/>
      <c r="M112" s="18"/>
      <c r="O112" s="1">
        <v>5</v>
      </c>
      <c r="P112" s="1">
        <v>1</v>
      </c>
      <c r="Q112" s="1">
        <v>1</v>
      </c>
      <c r="R112" s="1">
        <v>1</v>
      </c>
      <c r="S112" s="14"/>
      <c r="U112" s="9" t="s">
        <v>179</v>
      </c>
      <c r="V112" s="10" t="s">
        <v>180</v>
      </c>
      <c r="W112" s="9">
        <v>8.6</v>
      </c>
      <c r="X112" s="9">
        <v>0.9</v>
      </c>
      <c r="Y112" s="9">
        <v>1.04</v>
      </c>
      <c r="Z112" s="9">
        <v>0.75</v>
      </c>
      <c r="AA112" s="9">
        <v>2.88</v>
      </c>
      <c r="AB112" s="9">
        <v>0.8</v>
      </c>
      <c r="AC112" s="9">
        <v>0.92</v>
      </c>
      <c r="AD112" s="9">
        <v>1.07</v>
      </c>
      <c r="AE112" s="9">
        <v>1.1000000000000001</v>
      </c>
      <c r="AF112" s="9">
        <v>1.64</v>
      </c>
      <c r="AH112" s="11" t="s">
        <v>181</v>
      </c>
      <c r="AI112" s="12" t="s">
        <v>182</v>
      </c>
      <c r="AJ112" s="11">
        <v>6.84</v>
      </c>
      <c r="AK112" s="11">
        <v>7.29</v>
      </c>
      <c r="AL112" s="11">
        <v>3</v>
      </c>
      <c r="AM112" s="11">
        <v>7.54</v>
      </c>
      <c r="AN112" s="11">
        <v>2.19</v>
      </c>
      <c r="AO112" s="11">
        <v>8.5399999999999991</v>
      </c>
      <c r="AP112" s="11">
        <v>5.74</v>
      </c>
      <c r="AR112" s="11" t="s">
        <v>183</v>
      </c>
      <c r="AS112" s="12" t="s">
        <v>184</v>
      </c>
      <c r="AT112" s="11">
        <v>2.59</v>
      </c>
      <c r="AU112" s="11">
        <v>1.25</v>
      </c>
      <c r="AV112" s="11">
        <v>2.35</v>
      </c>
      <c r="AW112" s="11">
        <v>2</v>
      </c>
      <c r="AX112" s="14"/>
    </row>
    <row r="113" spans="1:50" ht="23.5" customHeight="1" thickTop="1" thickBot="1" x14ac:dyDescent="0.35">
      <c r="A113" s="63"/>
      <c r="B113" s="76"/>
      <c r="C113" s="25"/>
      <c r="D113" s="86"/>
      <c r="E113" s="36" t="s">
        <v>153</v>
      </c>
      <c r="F113" s="36">
        <v>2</v>
      </c>
      <c r="G113" s="86"/>
      <c r="H113" s="36" t="s">
        <v>201</v>
      </c>
      <c r="I113" s="36">
        <v>1</v>
      </c>
      <c r="J113" s="25"/>
      <c r="K113" s="25"/>
      <c r="L113" s="25"/>
      <c r="M113" s="18"/>
      <c r="O113" s="1">
        <v>6</v>
      </c>
      <c r="P113" s="1">
        <v>2</v>
      </c>
      <c r="Q113" s="1">
        <v>3</v>
      </c>
      <c r="R113" s="1">
        <v>1</v>
      </c>
      <c r="S113" s="14"/>
      <c r="U113" s="11" t="s">
        <v>187</v>
      </c>
      <c r="V113" s="12" t="s">
        <v>188</v>
      </c>
      <c r="W113" s="11">
        <v>9.23</v>
      </c>
      <c r="X113" s="11">
        <v>0.65</v>
      </c>
      <c r="Y113" s="11">
        <v>1.21</v>
      </c>
      <c r="Z113" s="11">
        <v>0.69</v>
      </c>
      <c r="AA113" s="11">
        <v>2.5</v>
      </c>
      <c r="AB113" s="11">
        <v>0.88</v>
      </c>
      <c r="AC113" s="11">
        <v>0.95</v>
      </c>
      <c r="AD113" s="11">
        <v>1.2</v>
      </c>
      <c r="AE113" s="11">
        <v>1.4</v>
      </c>
      <c r="AF113" s="11">
        <v>2.5</v>
      </c>
      <c r="AX113" s="14"/>
    </row>
    <row r="114" spans="1:50" ht="23.5" customHeight="1" thickTop="1" thickBot="1" x14ac:dyDescent="0.35">
      <c r="A114" s="63"/>
      <c r="B114" s="76"/>
      <c r="C114" s="25"/>
      <c r="D114" s="86"/>
      <c r="E114" s="1" t="s">
        <v>156</v>
      </c>
      <c r="F114" s="36">
        <v>2</v>
      </c>
      <c r="G114" s="87"/>
      <c r="H114" s="38" t="s">
        <v>164</v>
      </c>
      <c r="I114" s="38">
        <v>1</v>
      </c>
      <c r="J114" s="36"/>
      <c r="K114" s="25"/>
      <c r="L114" s="25"/>
      <c r="M114" s="18"/>
      <c r="O114" s="1">
        <v>7</v>
      </c>
      <c r="P114" s="1">
        <v>1</v>
      </c>
      <c r="Q114" s="1">
        <v>1</v>
      </c>
      <c r="R114" s="1">
        <v>1</v>
      </c>
      <c r="S114" s="14"/>
      <c r="U114" s="9"/>
      <c r="V114" s="10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X114" s="14"/>
    </row>
    <row r="115" spans="1:50" ht="23.5" customHeight="1" thickTop="1" thickBot="1" x14ac:dyDescent="0.35">
      <c r="A115" s="63"/>
      <c r="B115" s="76"/>
      <c r="C115" s="25"/>
      <c r="D115" s="87"/>
      <c r="E115" s="38" t="s">
        <v>197</v>
      </c>
      <c r="F115" s="38">
        <v>1</v>
      </c>
      <c r="G115" s="39"/>
      <c r="H115" s="39"/>
      <c r="I115" s="39"/>
      <c r="J115" s="36"/>
      <c r="K115" s="36"/>
      <c r="L115" s="25"/>
      <c r="M115" s="18"/>
      <c r="O115" s="1">
        <v>8</v>
      </c>
      <c r="P115" s="1">
        <v>2</v>
      </c>
      <c r="Q115" s="1">
        <v>1</v>
      </c>
      <c r="R115" s="1">
        <v>4</v>
      </c>
      <c r="S115" s="14"/>
      <c r="U115" s="9"/>
      <c r="V115" s="10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X115" s="14"/>
    </row>
    <row r="116" spans="1:50" ht="23" customHeight="1" thickTop="1" x14ac:dyDescent="0.3">
      <c r="A116" s="63"/>
      <c r="B116" s="76"/>
      <c r="C116" s="25"/>
      <c r="D116" s="39"/>
      <c r="E116" s="39"/>
      <c r="F116" s="39"/>
      <c r="G116" s="25"/>
      <c r="H116" s="25"/>
      <c r="I116" s="25"/>
      <c r="J116" s="25"/>
      <c r="K116" s="25"/>
      <c r="L116" s="25"/>
      <c r="M116" s="18"/>
      <c r="O116" s="1">
        <v>9</v>
      </c>
      <c r="P116" s="1">
        <v>2</v>
      </c>
      <c r="Q116" s="1">
        <v>3</v>
      </c>
      <c r="R116" s="1">
        <v>0</v>
      </c>
      <c r="S116" s="14"/>
      <c r="AX116" s="14"/>
    </row>
    <row r="117" spans="1:50" ht="23" customHeight="1" thickBot="1" x14ac:dyDescent="0.35">
      <c r="A117" s="63"/>
      <c r="B117" s="76"/>
      <c r="C117" s="25"/>
      <c r="D117" s="36"/>
      <c r="E117" s="36"/>
      <c r="F117" s="36"/>
      <c r="G117" s="25"/>
      <c r="H117" s="25"/>
      <c r="I117" s="25"/>
      <c r="J117" s="25"/>
      <c r="K117" s="25"/>
      <c r="L117" s="25"/>
      <c r="M117" s="18"/>
      <c r="O117" s="4">
        <v>10</v>
      </c>
      <c r="P117" s="4">
        <v>2</v>
      </c>
      <c r="Q117" s="4">
        <v>0</v>
      </c>
      <c r="R117" s="4">
        <v>2</v>
      </c>
      <c r="S117" s="14"/>
      <c r="AX117" s="14"/>
    </row>
    <row r="118" spans="1:50" ht="23.5" customHeight="1" thickTop="1" thickBot="1" x14ac:dyDescent="0.35">
      <c r="A118" s="63"/>
      <c r="B118" s="8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19"/>
      <c r="N118" s="15"/>
      <c r="O118" s="15"/>
      <c r="P118" s="15"/>
      <c r="Q118" s="15"/>
      <c r="R118" s="15"/>
      <c r="S118" s="16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6"/>
    </row>
    <row r="119" spans="1:50" ht="15" customHeight="1" thickTop="1" thickBot="1" x14ac:dyDescent="0.35">
      <c r="A119" s="63"/>
      <c r="B119" s="89" t="s">
        <v>113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17"/>
      <c r="N119" s="24"/>
      <c r="O119" s="24"/>
      <c r="P119" s="24"/>
      <c r="Q119" s="24"/>
      <c r="R119" s="24"/>
      <c r="S119" s="17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17"/>
    </row>
    <row r="120" spans="1:50" ht="16" customHeight="1" thickTop="1" thickBot="1" x14ac:dyDescent="0.35">
      <c r="A120" s="63"/>
      <c r="B120" s="76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17"/>
      <c r="N120" s="24"/>
      <c r="O120" s="82" t="s">
        <v>205</v>
      </c>
      <c r="P120" s="82" t="s">
        <v>206</v>
      </c>
      <c r="Q120" s="83"/>
      <c r="R120" s="83"/>
      <c r="S120" s="17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17"/>
    </row>
    <row r="121" spans="1:50" ht="31" customHeight="1" thickTop="1" thickBot="1" x14ac:dyDescent="0.35">
      <c r="A121" s="63"/>
      <c r="B121" s="76"/>
      <c r="C121" s="24"/>
      <c r="D121" s="27" t="s">
        <v>191</v>
      </c>
      <c r="E121" s="27" t="s">
        <v>192</v>
      </c>
      <c r="F121" s="27" t="s">
        <v>193</v>
      </c>
      <c r="G121" s="27" t="s">
        <v>191</v>
      </c>
      <c r="H121" s="27" t="s">
        <v>192</v>
      </c>
      <c r="I121" s="27" t="s">
        <v>193</v>
      </c>
      <c r="J121" s="27" t="s">
        <v>191</v>
      </c>
      <c r="K121" s="27" t="s">
        <v>192</v>
      </c>
      <c r="L121" s="27" t="s">
        <v>193</v>
      </c>
      <c r="M121" s="17"/>
      <c r="N121" s="24"/>
      <c r="O121" s="84"/>
      <c r="P121" s="2" t="s">
        <v>178</v>
      </c>
      <c r="Q121" s="2" t="s">
        <v>186</v>
      </c>
      <c r="R121" s="2" t="s">
        <v>190</v>
      </c>
      <c r="S121" s="17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17"/>
    </row>
    <row r="122" spans="1:50" ht="23" customHeight="1" thickTop="1" x14ac:dyDescent="0.3">
      <c r="A122" s="63"/>
      <c r="B122" s="76"/>
      <c r="C122" s="33"/>
      <c r="D122" s="88" t="s">
        <v>194</v>
      </c>
      <c r="E122" s="36" t="s">
        <v>148</v>
      </c>
      <c r="F122" s="36">
        <v>6</v>
      </c>
      <c r="G122" s="85" t="s">
        <v>198</v>
      </c>
      <c r="H122" s="36" t="s">
        <v>158</v>
      </c>
      <c r="I122" s="36">
        <v>3</v>
      </c>
      <c r="J122" s="85" t="s">
        <v>202</v>
      </c>
      <c r="K122" s="36" t="s">
        <v>203</v>
      </c>
      <c r="L122" s="36">
        <v>4</v>
      </c>
      <c r="M122" s="18"/>
      <c r="N122" s="13"/>
      <c r="O122" s="1">
        <v>1</v>
      </c>
      <c r="P122" s="1">
        <v>1</v>
      </c>
      <c r="Q122" s="1">
        <v>1</v>
      </c>
      <c r="R122" s="1">
        <v>0</v>
      </c>
      <c r="S122" s="14"/>
      <c r="T122" s="13"/>
      <c r="U122" s="24"/>
      <c r="AX122" s="14"/>
    </row>
    <row r="123" spans="1:50" ht="23" customHeight="1" thickBot="1" x14ac:dyDescent="0.35">
      <c r="A123" s="63"/>
      <c r="B123" s="76"/>
      <c r="C123" s="25"/>
      <c r="D123" s="86"/>
      <c r="E123" s="36" t="s">
        <v>195</v>
      </c>
      <c r="F123" s="36">
        <v>3</v>
      </c>
      <c r="G123" s="86"/>
      <c r="H123" s="36" t="s">
        <v>159</v>
      </c>
      <c r="I123" s="36">
        <v>3</v>
      </c>
      <c r="J123" s="86"/>
      <c r="K123" s="36" t="s">
        <v>166</v>
      </c>
      <c r="L123" s="36">
        <v>4</v>
      </c>
      <c r="M123" s="18"/>
      <c r="O123" s="1">
        <v>2</v>
      </c>
      <c r="P123" s="1">
        <v>2</v>
      </c>
      <c r="Q123" s="1">
        <v>2</v>
      </c>
      <c r="R123" s="1">
        <v>2</v>
      </c>
      <c r="S123" s="14"/>
      <c r="Z123" s="23" t="s">
        <v>194</v>
      </c>
      <c r="AK123" s="23" t="s">
        <v>198</v>
      </c>
      <c r="AT123" s="23" t="s">
        <v>202</v>
      </c>
      <c r="AX123" s="14"/>
    </row>
    <row r="124" spans="1:50" ht="25" customHeight="1" thickTop="1" thickBot="1" x14ac:dyDescent="0.35">
      <c r="A124" s="63"/>
      <c r="B124" s="76"/>
      <c r="C124" s="25"/>
      <c r="D124" s="86"/>
      <c r="E124" s="36" t="s">
        <v>196</v>
      </c>
      <c r="F124" s="36">
        <v>3</v>
      </c>
      <c r="G124" s="86"/>
      <c r="H124" s="36" t="s">
        <v>160</v>
      </c>
      <c r="I124" s="36">
        <v>1</v>
      </c>
      <c r="J124" s="86"/>
      <c r="K124" s="36" t="s">
        <v>167</v>
      </c>
      <c r="L124" s="36">
        <v>3</v>
      </c>
      <c r="M124" s="18"/>
      <c r="O124" s="1">
        <v>3</v>
      </c>
      <c r="P124" s="1">
        <v>0</v>
      </c>
      <c r="Q124" s="1">
        <v>1</v>
      </c>
      <c r="R124" s="1">
        <v>1</v>
      </c>
      <c r="S124" s="14"/>
      <c r="U124" s="7" t="s">
        <v>146</v>
      </c>
      <c r="V124" s="7" t="s">
        <v>147</v>
      </c>
      <c r="W124" s="7" t="s">
        <v>148</v>
      </c>
      <c r="X124" s="7" t="s">
        <v>149</v>
      </c>
      <c r="Y124" s="7" t="s">
        <v>150</v>
      </c>
      <c r="Z124" s="8" t="s">
        <v>151</v>
      </c>
      <c r="AA124" s="7" t="s">
        <v>152</v>
      </c>
      <c r="AB124" s="7" t="s">
        <v>153</v>
      </c>
      <c r="AC124" s="7" t="s">
        <v>154</v>
      </c>
      <c r="AD124" s="7" t="s">
        <v>155</v>
      </c>
      <c r="AE124" s="8" t="s">
        <v>156</v>
      </c>
      <c r="AF124" s="7" t="s">
        <v>157</v>
      </c>
      <c r="AH124" s="7" t="s">
        <v>146</v>
      </c>
      <c r="AI124" s="7" t="s">
        <v>147</v>
      </c>
      <c r="AJ124" s="7" t="s">
        <v>158</v>
      </c>
      <c r="AK124" s="7" t="s">
        <v>159</v>
      </c>
      <c r="AL124" s="7" t="s">
        <v>160</v>
      </c>
      <c r="AM124" s="7" t="s">
        <v>161</v>
      </c>
      <c r="AN124" s="7" t="s">
        <v>162</v>
      </c>
      <c r="AO124" s="7" t="s">
        <v>163</v>
      </c>
      <c r="AP124" s="7" t="s">
        <v>164</v>
      </c>
      <c r="AR124" s="7" t="s">
        <v>146</v>
      </c>
      <c r="AS124" s="7" t="s">
        <v>147</v>
      </c>
      <c r="AT124" s="7" t="s">
        <v>165</v>
      </c>
      <c r="AU124" s="7" t="s">
        <v>166</v>
      </c>
      <c r="AV124" s="7" t="s">
        <v>167</v>
      </c>
      <c r="AW124" s="7" t="s">
        <v>168</v>
      </c>
      <c r="AX124" s="14"/>
    </row>
    <row r="125" spans="1:50" ht="24" customHeight="1" thickTop="1" thickBot="1" x14ac:dyDescent="0.35">
      <c r="A125" s="63"/>
      <c r="B125" s="76"/>
      <c r="C125" s="25"/>
      <c r="D125" s="86"/>
      <c r="E125" s="1" t="s">
        <v>151</v>
      </c>
      <c r="F125" s="36">
        <v>2</v>
      </c>
      <c r="G125" s="86"/>
      <c r="H125" s="36" t="s">
        <v>199</v>
      </c>
      <c r="I125" s="36">
        <v>3</v>
      </c>
      <c r="J125" s="87"/>
      <c r="K125" s="38" t="s">
        <v>168</v>
      </c>
      <c r="L125" s="38">
        <v>1</v>
      </c>
      <c r="M125" s="18"/>
      <c r="O125" s="1">
        <v>4</v>
      </c>
      <c r="P125" s="1">
        <v>0</v>
      </c>
      <c r="Q125" s="1">
        <v>2</v>
      </c>
      <c r="R125" s="1">
        <v>5</v>
      </c>
      <c r="S125" s="14"/>
      <c r="U125" s="9" t="s">
        <v>171</v>
      </c>
      <c r="V125" s="10" t="s">
        <v>172</v>
      </c>
      <c r="W125" s="9">
        <v>7.51</v>
      </c>
      <c r="X125" s="9">
        <v>0.78</v>
      </c>
      <c r="Y125" s="9">
        <v>1.19</v>
      </c>
      <c r="Z125" s="9">
        <v>0.63</v>
      </c>
      <c r="AA125" s="9">
        <v>2.64</v>
      </c>
      <c r="AB125" s="9">
        <v>0.87</v>
      </c>
      <c r="AC125" s="9">
        <v>0.93</v>
      </c>
      <c r="AD125" s="9">
        <v>1.1200000000000001</v>
      </c>
      <c r="AE125" s="9">
        <v>1.3</v>
      </c>
      <c r="AF125" s="9">
        <v>1.92</v>
      </c>
      <c r="AH125" s="9" t="s">
        <v>173</v>
      </c>
      <c r="AI125" s="10" t="s">
        <v>174</v>
      </c>
      <c r="AJ125" s="9">
        <v>6.29</v>
      </c>
      <c r="AK125" s="9">
        <v>6.64</v>
      </c>
      <c r="AL125" s="9">
        <v>3</v>
      </c>
      <c r="AM125" s="9">
        <v>6.84</v>
      </c>
      <c r="AN125" s="9">
        <v>1.64</v>
      </c>
      <c r="AO125" s="9">
        <v>7.29</v>
      </c>
      <c r="AP125" s="9">
        <v>5.29</v>
      </c>
      <c r="AR125" s="9" t="s">
        <v>175</v>
      </c>
      <c r="AS125" s="10" t="s">
        <v>176</v>
      </c>
      <c r="AT125" s="9">
        <v>2.82</v>
      </c>
      <c r="AU125" s="9">
        <v>1.0900000000000001</v>
      </c>
      <c r="AV125" s="9">
        <v>2.5</v>
      </c>
      <c r="AW125" s="9">
        <v>2</v>
      </c>
      <c r="AX125" s="14"/>
    </row>
    <row r="126" spans="1:50" ht="24" customHeight="1" thickTop="1" thickBot="1" x14ac:dyDescent="0.35">
      <c r="A126" s="63"/>
      <c r="B126" s="76"/>
      <c r="C126" s="25"/>
      <c r="D126" s="86"/>
      <c r="E126" s="36" t="s">
        <v>152</v>
      </c>
      <c r="F126" s="36">
        <v>2</v>
      </c>
      <c r="G126" s="86"/>
      <c r="H126" s="36" t="s">
        <v>200</v>
      </c>
      <c r="I126" s="36">
        <v>2</v>
      </c>
      <c r="J126" s="39"/>
      <c r="K126" s="39"/>
      <c r="L126" s="39"/>
      <c r="M126" s="18"/>
      <c r="O126" s="1">
        <v>5</v>
      </c>
      <c r="P126" s="1">
        <v>1</v>
      </c>
      <c r="Q126" s="1">
        <v>1</v>
      </c>
      <c r="R126" s="1">
        <v>1</v>
      </c>
      <c r="S126" s="14"/>
      <c r="U126" s="9" t="s">
        <v>179</v>
      </c>
      <c r="V126" s="10" t="s">
        <v>180</v>
      </c>
      <c r="W126" s="9">
        <v>8.33</v>
      </c>
      <c r="X126" s="9">
        <v>0.69</v>
      </c>
      <c r="Y126" s="9">
        <v>1.01</v>
      </c>
      <c r="Z126" s="9">
        <v>0.61</v>
      </c>
      <c r="AA126" s="9">
        <v>2.5</v>
      </c>
      <c r="AB126" s="9">
        <v>0.83</v>
      </c>
      <c r="AC126" s="9">
        <v>0.97</v>
      </c>
      <c r="AD126" s="9">
        <v>1</v>
      </c>
      <c r="AE126" s="9">
        <v>1.25</v>
      </c>
      <c r="AF126" s="9">
        <v>2.2400000000000002</v>
      </c>
      <c r="AH126" s="11" t="s">
        <v>181</v>
      </c>
      <c r="AI126" s="12" t="s">
        <v>182</v>
      </c>
      <c r="AJ126" s="11">
        <v>6.86</v>
      </c>
      <c r="AK126" s="11">
        <v>7.35</v>
      </c>
      <c r="AL126" s="11">
        <v>3</v>
      </c>
      <c r="AM126" s="11">
        <v>7.74</v>
      </c>
      <c r="AN126" s="11">
        <v>2.34</v>
      </c>
      <c r="AO126" s="11">
        <v>8.74</v>
      </c>
      <c r="AP126" s="11">
        <v>5.79</v>
      </c>
      <c r="AR126" s="11" t="s">
        <v>183</v>
      </c>
      <c r="AS126" s="12" t="s">
        <v>184</v>
      </c>
      <c r="AT126" s="11">
        <v>3.29</v>
      </c>
      <c r="AU126" s="11">
        <v>1.1599999999999999</v>
      </c>
      <c r="AV126" s="11">
        <v>2.25</v>
      </c>
      <c r="AW126" s="11">
        <v>2</v>
      </c>
      <c r="AX126" s="14"/>
    </row>
    <row r="127" spans="1:50" ht="23.5" customHeight="1" thickTop="1" thickBot="1" x14ac:dyDescent="0.35">
      <c r="A127" s="63"/>
      <c r="B127" s="76"/>
      <c r="C127" s="25"/>
      <c r="D127" s="86"/>
      <c r="E127" s="36" t="s">
        <v>153</v>
      </c>
      <c r="F127" s="36">
        <v>2</v>
      </c>
      <c r="G127" s="86"/>
      <c r="H127" s="36" t="s">
        <v>201</v>
      </c>
      <c r="I127" s="36">
        <v>1</v>
      </c>
      <c r="J127" s="25"/>
      <c r="K127" s="25"/>
      <c r="L127" s="25"/>
      <c r="M127" s="18"/>
      <c r="O127" s="1">
        <v>6</v>
      </c>
      <c r="P127" s="1">
        <v>2</v>
      </c>
      <c r="Q127" s="1">
        <v>1</v>
      </c>
      <c r="R127" s="1">
        <v>1</v>
      </c>
      <c r="S127" s="14"/>
      <c r="U127" s="11" t="s">
        <v>187</v>
      </c>
      <c r="V127" s="12" t="s">
        <v>188</v>
      </c>
      <c r="W127" s="11">
        <v>9.1</v>
      </c>
      <c r="X127" s="11">
        <v>0.85</v>
      </c>
      <c r="Y127" s="11">
        <v>1.25</v>
      </c>
      <c r="Z127" s="11">
        <v>0.75</v>
      </c>
      <c r="AA127" s="11">
        <v>2.99</v>
      </c>
      <c r="AB127" s="11">
        <v>0.81</v>
      </c>
      <c r="AC127" s="11">
        <v>0.91</v>
      </c>
      <c r="AD127" s="11">
        <v>1.2</v>
      </c>
      <c r="AE127" s="11">
        <v>1.35</v>
      </c>
      <c r="AF127" s="11">
        <v>1.5</v>
      </c>
      <c r="AX127" s="14"/>
    </row>
    <row r="128" spans="1:50" ht="23.5" customHeight="1" thickTop="1" thickBot="1" x14ac:dyDescent="0.35">
      <c r="A128" s="63"/>
      <c r="B128" s="76"/>
      <c r="C128" s="25"/>
      <c r="D128" s="86"/>
      <c r="E128" s="1" t="s">
        <v>156</v>
      </c>
      <c r="F128" s="36">
        <v>2</v>
      </c>
      <c r="G128" s="87"/>
      <c r="H128" s="38" t="s">
        <v>164</v>
      </c>
      <c r="I128" s="38">
        <v>1</v>
      </c>
      <c r="J128" s="36"/>
      <c r="K128" s="25"/>
      <c r="L128" s="25"/>
      <c r="M128" s="18"/>
      <c r="O128" s="1">
        <v>7</v>
      </c>
      <c r="P128" s="1">
        <v>1</v>
      </c>
      <c r="Q128" s="1">
        <v>1</v>
      </c>
      <c r="R128" s="1">
        <v>1</v>
      </c>
      <c r="S128" s="14"/>
      <c r="U128" s="9"/>
      <c r="V128" s="10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X128" s="14"/>
    </row>
    <row r="129" spans="1:50" ht="23.5" customHeight="1" thickTop="1" thickBot="1" x14ac:dyDescent="0.35">
      <c r="A129" s="63"/>
      <c r="B129" s="76"/>
      <c r="C129" s="25"/>
      <c r="D129" s="87"/>
      <c r="E129" s="38" t="s">
        <v>197</v>
      </c>
      <c r="F129" s="38">
        <v>1</v>
      </c>
      <c r="G129" s="39"/>
      <c r="H129" s="39"/>
      <c r="I129" s="39"/>
      <c r="J129" s="36"/>
      <c r="K129" s="36"/>
      <c r="L129" s="25"/>
      <c r="M129" s="18"/>
      <c r="O129" s="1">
        <v>8</v>
      </c>
      <c r="P129" s="1">
        <v>1</v>
      </c>
      <c r="Q129" s="1">
        <v>3</v>
      </c>
      <c r="R129" s="1">
        <v>1</v>
      </c>
      <c r="S129" s="14"/>
      <c r="U129" s="9"/>
      <c r="V129" s="10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X129" s="14"/>
    </row>
    <row r="130" spans="1:50" ht="23" customHeight="1" thickTop="1" x14ac:dyDescent="0.3">
      <c r="A130" s="63"/>
      <c r="B130" s="76"/>
      <c r="C130" s="25"/>
      <c r="D130" s="39"/>
      <c r="E130" s="39"/>
      <c r="F130" s="39"/>
      <c r="G130" s="25"/>
      <c r="H130" s="25"/>
      <c r="I130" s="25"/>
      <c r="J130" s="25"/>
      <c r="K130" s="25"/>
      <c r="L130" s="25"/>
      <c r="M130" s="18"/>
      <c r="O130" s="1">
        <v>9</v>
      </c>
      <c r="P130" s="1">
        <v>3</v>
      </c>
      <c r="Q130" s="1">
        <v>2</v>
      </c>
      <c r="R130" s="1">
        <v>1</v>
      </c>
      <c r="S130" s="14"/>
      <c r="AX130" s="14"/>
    </row>
    <row r="131" spans="1:50" ht="23" customHeight="1" thickBot="1" x14ac:dyDescent="0.35">
      <c r="A131" s="63"/>
      <c r="B131" s="76"/>
      <c r="C131" s="25"/>
      <c r="D131" s="36"/>
      <c r="E131" s="36"/>
      <c r="F131" s="36"/>
      <c r="G131" s="25"/>
      <c r="H131" s="25"/>
      <c r="I131" s="25"/>
      <c r="J131" s="25"/>
      <c r="K131" s="25"/>
      <c r="L131" s="25"/>
      <c r="M131" s="18"/>
      <c r="O131" s="4">
        <v>10</v>
      </c>
      <c r="P131" s="4">
        <v>2</v>
      </c>
      <c r="Q131" s="4">
        <v>0</v>
      </c>
      <c r="R131" s="4">
        <v>2</v>
      </c>
      <c r="S131" s="14"/>
      <c r="AX131" s="14"/>
    </row>
    <row r="132" spans="1:50" ht="23.5" customHeight="1" thickTop="1" thickBot="1" x14ac:dyDescent="0.35">
      <c r="A132" s="63"/>
      <c r="B132" s="81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19"/>
      <c r="N132" s="15"/>
      <c r="O132" s="15"/>
      <c r="P132" s="15"/>
      <c r="Q132" s="15"/>
      <c r="R132" s="15"/>
      <c r="S132" s="16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6"/>
    </row>
    <row r="133" spans="1:50" ht="15" customHeight="1" thickTop="1" thickBot="1" x14ac:dyDescent="0.35">
      <c r="A133" s="98">
        <v>2</v>
      </c>
      <c r="B133" s="89" t="s">
        <v>114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17"/>
      <c r="N133" s="24"/>
      <c r="O133" s="24"/>
      <c r="P133" s="24"/>
      <c r="Q133" s="24"/>
      <c r="R133" s="24"/>
      <c r="S133" s="17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17"/>
    </row>
    <row r="134" spans="1:50" ht="16" customHeight="1" thickTop="1" thickBot="1" x14ac:dyDescent="0.35">
      <c r="A134" s="63"/>
      <c r="B134" s="76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17"/>
      <c r="N134" s="24"/>
      <c r="O134" s="82" t="s">
        <v>205</v>
      </c>
      <c r="P134" s="82" t="s">
        <v>206</v>
      </c>
      <c r="Q134" s="83"/>
      <c r="R134" s="83"/>
      <c r="S134" s="17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17"/>
    </row>
    <row r="135" spans="1:50" ht="31" customHeight="1" thickTop="1" thickBot="1" x14ac:dyDescent="0.35">
      <c r="A135" s="63"/>
      <c r="B135" s="76"/>
      <c r="C135" s="24"/>
      <c r="D135" s="27" t="s">
        <v>191</v>
      </c>
      <c r="E135" s="27" t="s">
        <v>192</v>
      </c>
      <c r="F135" s="27" t="s">
        <v>193</v>
      </c>
      <c r="G135" s="27" t="s">
        <v>191</v>
      </c>
      <c r="H135" s="27" t="s">
        <v>192</v>
      </c>
      <c r="I135" s="27" t="s">
        <v>193</v>
      </c>
      <c r="J135" s="27" t="s">
        <v>191</v>
      </c>
      <c r="K135" s="27" t="s">
        <v>192</v>
      </c>
      <c r="L135" s="27" t="s">
        <v>193</v>
      </c>
      <c r="M135" s="17"/>
      <c r="N135" s="24"/>
      <c r="O135" s="84"/>
      <c r="P135" s="2" t="s">
        <v>178</v>
      </c>
      <c r="Q135" s="2" t="s">
        <v>186</v>
      </c>
      <c r="R135" s="2" t="s">
        <v>190</v>
      </c>
      <c r="S135" s="17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17"/>
    </row>
    <row r="136" spans="1:50" ht="23" customHeight="1" thickTop="1" x14ac:dyDescent="0.3">
      <c r="A136" s="63"/>
      <c r="B136" s="76"/>
      <c r="C136" s="33"/>
      <c r="D136" s="88" t="s">
        <v>194</v>
      </c>
      <c r="E136" s="36" t="s">
        <v>148</v>
      </c>
      <c r="F136" s="36">
        <v>5</v>
      </c>
      <c r="G136" s="85" t="s">
        <v>198</v>
      </c>
      <c r="H136" s="36" t="s">
        <v>158</v>
      </c>
      <c r="I136" s="36">
        <v>2</v>
      </c>
      <c r="J136" s="85" t="s">
        <v>202</v>
      </c>
      <c r="K136" s="36" t="s">
        <v>203</v>
      </c>
      <c r="L136" s="36">
        <v>3</v>
      </c>
      <c r="M136" s="18"/>
      <c r="N136" s="13"/>
      <c r="O136" s="1">
        <v>1</v>
      </c>
      <c r="P136" s="1">
        <v>1</v>
      </c>
      <c r="Q136" s="1">
        <v>0</v>
      </c>
      <c r="R136" s="1">
        <v>0</v>
      </c>
      <c r="S136" s="14"/>
      <c r="T136" s="13"/>
      <c r="U136" s="24"/>
      <c r="AX136" s="14"/>
    </row>
    <row r="137" spans="1:50" ht="23" customHeight="1" thickBot="1" x14ac:dyDescent="0.35">
      <c r="A137" s="63"/>
      <c r="B137" s="76"/>
      <c r="C137" s="25"/>
      <c r="D137" s="86"/>
      <c r="E137" s="36" t="s">
        <v>195</v>
      </c>
      <c r="F137" s="36">
        <v>2</v>
      </c>
      <c r="G137" s="86"/>
      <c r="H137" s="36" t="s">
        <v>159</v>
      </c>
      <c r="I137" s="36">
        <v>2</v>
      </c>
      <c r="J137" s="86"/>
      <c r="K137" s="36" t="s">
        <v>166</v>
      </c>
      <c r="L137" s="36">
        <v>3</v>
      </c>
      <c r="M137" s="18"/>
      <c r="O137" s="1">
        <v>2</v>
      </c>
      <c r="P137" s="1">
        <v>2</v>
      </c>
      <c r="Q137" s="1">
        <v>2</v>
      </c>
      <c r="R137" s="1">
        <v>0</v>
      </c>
      <c r="S137" s="14"/>
      <c r="Z137" s="23" t="s">
        <v>194</v>
      </c>
      <c r="AK137" s="23" t="s">
        <v>198</v>
      </c>
      <c r="AT137" s="23" t="s">
        <v>202</v>
      </c>
      <c r="AX137" s="14"/>
    </row>
    <row r="138" spans="1:50" ht="25" customHeight="1" thickTop="1" thickBot="1" x14ac:dyDescent="0.35">
      <c r="A138" s="63"/>
      <c r="B138" s="76"/>
      <c r="C138" s="25"/>
      <c r="D138" s="86"/>
      <c r="E138" s="36" t="s">
        <v>196</v>
      </c>
      <c r="F138" s="36">
        <v>2</v>
      </c>
      <c r="G138" s="86"/>
      <c r="H138" s="36" t="s">
        <v>160</v>
      </c>
      <c r="I138" s="36">
        <v>2</v>
      </c>
      <c r="J138" s="86"/>
      <c r="K138" s="36" t="s">
        <v>167</v>
      </c>
      <c r="L138" s="36">
        <v>2</v>
      </c>
      <c r="M138" s="18"/>
      <c r="O138" s="1">
        <v>3</v>
      </c>
      <c r="P138" s="1">
        <v>0</v>
      </c>
      <c r="Q138" s="1">
        <v>1</v>
      </c>
      <c r="R138" s="1">
        <v>1</v>
      </c>
      <c r="S138" s="14"/>
      <c r="U138" s="7" t="s">
        <v>146</v>
      </c>
      <c r="V138" s="7" t="s">
        <v>147</v>
      </c>
      <c r="W138" s="7" t="s">
        <v>148</v>
      </c>
      <c r="X138" s="7" t="s">
        <v>149</v>
      </c>
      <c r="Y138" s="7" t="s">
        <v>150</v>
      </c>
      <c r="Z138" s="8" t="s">
        <v>151</v>
      </c>
      <c r="AA138" s="7" t="s">
        <v>152</v>
      </c>
      <c r="AB138" s="7" t="s">
        <v>153</v>
      </c>
      <c r="AC138" s="7" t="s">
        <v>154</v>
      </c>
      <c r="AD138" s="7" t="s">
        <v>155</v>
      </c>
      <c r="AE138" s="8" t="s">
        <v>156</v>
      </c>
      <c r="AF138" s="7" t="s">
        <v>157</v>
      </c>
      <c r="AH138" s="7" t="s">
        <v>146</v>
      </c>
      <c r="AI138" s="7" t="s">
        <v>147</v>
      </c>
      <c r="AJ138" s="7" t="s">
        <v>158</v>
      </c>
      <c r="AK138" s="7" t="s">
        <v>159</v>
      </c>
      <c r="AL138" s="7" t="s">
        <v>160</v>
      </c>
      <c r="AM138" s="7" t="s">
        <v>161</v>
      </c>
      <c r="AN138" s="7" t="s">
        <v>162</v>
      </c>
      <c r="AO138" s="7" t="s">
        <v>163</v>
      </c>
      <c r="AP138" s="7" t="s">
        <v>164</v>
      </c>
      <c r="AR138" s="7" t="s">
        <v>146</v>
      </c>
      <c r="AS138" s="7" t="s">
        <v>147</v>
      </c>
      <c r="AT138" s="7" t="s">
        <v>165</v>
      </c>
      <c r="AU138" s="7" t="s">
        <v>166</v>
      </c>
      <c r="AV138" s="7" t="s">
        <v>167</v>
      </c>
      <c r="AW138" s="7" t="s">
        <v>168</v>
      </c>
      <c r="AX138" s="14"/>
    </row>
    <row r="139" spans="1:50" ht="24" customHeight="1" thickTop="1" thickBot="1" x14ac:dyDescent="0.35">
      <c r="A139" s="63"/>
      <c r="B139" s="76"/>
      <c r="C139" s="25"/>
      <c r="D139" s="86"/>
      <c r="E139" s="1" t="s">
        <v>151</v>
      </c>
      <c r="F139" s="36">
        <v>2</v>
      </c>
      <c r="G139" s="86"/>
      <c r="H139" s="36" t="s">
        <v>199</v>
      </c>
      <c r="I139" s="36">
        <v>2</v>
      </c>
      <c r="J139" s="87"/>
      <c r="K139" s="38" t="s">
        <v>168</v>
      </c>
      <c r="L139" s="38">
        <v>2</v>
      </c>
      <c r="M139" s="18"/>
      <c r="O139" s="1">
        <v>4</v>
      </c>
      <c r="P139" s="1">
        <v>0</v>
      </c>
      <c r="Q139" s="1">
        <v>2</v>
      </c>
      <c r="R139" s="1">
        <v>0</v>
      </c>
      <c r="S139" s="14"/>
      <c r="U139" s="9" t="s">
        <v>171</v>
      </c>
      <c r="V139" s="10" t="s">
        <v>172</v>
      </c>
      <c r="W139" s="9">
        <v>7.19</v>
      </c>
      <c r="X139" s="9">
        <v>0.73</v>
      </c>
      <c r="Y139" s="9">
        <v>1.1100000000000001</v>
      </c>
      <c r="Z139" s="9">
        <v>0.67</v>
      </c>
      <c r="AA139" s="9">
        <v>2.5</v>
      </c>
      <c r="AB139" s="9">
        <v>0.86</v>
      </c>
      <c r="AC139" s="9">
        <v>0.97</v>
      </c>
      <c r="AD139" s="9">
        <v>1.1299999999999999</v>
      </c>
      <c r="AE139" s="9">
        <v>1.26</v>
      </c>
      <c r="AF139" s="9">
        <v>1.87</v>
      </c>
      <c r="AH139" s="9" t="s">
        <v>173</v>
      </c>
      <c r="AI139" s="10" t="s">
        <v>174</v>
      </c>
      <c r="AJ139" s="9">
        <v>6.4</v>
      </c>
      <c r="AK139" s="9">
        <v>6.73</v>
      </c>
      <c r="AL139" s="9">
        <v>3</v>
      </c>
      <c r="AM139" s="9">
        <v>6.37</v>
      </c>
      <c r="AN139" s="9">
        <v>1.98</v>
      </c>
      <c r="AO139" s="9">
        <v>7.4</v>
      </c>
      <c r="AP139" s="9">
        <v>5.3</v>
      </c>
      <c r="AR139" s="9" t="s">
        <v>175</v>
      </c>
      <c r="AS139" s="10" t="s">
        <v>176</v>
      </c>
      <c r="AT139" s="9">
        <v>3.1</v>
      </c>
      <c r="AU139" s="9">
        <v>1.22</v>
      </c>
      <c r="AV139" s="9">
        <v>2.95</v>
      </c>
      <c r="AW139" s="9">
        <v>2</v>
      </c>
      <c r="AX139" s="14"/>
    </row>
    <row r="140" spans="1:50" ht="24" customHeight="1" thickTop="1" thickBot="1" x14ac:dyDescent="0.35">
      <c r="A140" s="63"/>
      <c r="B140" s="76"/>
      <c r="C140" s="25"/>
      <c r="D140" s="86"/>
      <c r="E140" s="36" t="s">
        <v>152</v>
      </c>
      <c r="F140" s="36">
        <v>2</v>
      </c>
      <c r="G140" s="86"/>
      <c r="H140" s="36" t="s">
        <v>200</v>
      </c>
      <c r="I140" s="36">
        <v>2</v>
      </c>
      <c r="J140" s="39"/>
      <c r="K140" s="39"/>
      <c r="L140" s="39"/>
      <c r="M140" s="18"/>
      <c r="O140" s="1">
        <v>5</v>
      </c>
      <c r="P140" s="1">
        <v>1</v>
      </c>
      <c r="Q140" s="1">
        <v>1</v>
      </c>
      <c r="R140" s="1">
        <v>1</v>
      </c>
      <c r="S140" s="14"/>
      <c r="U140" s="9" t="s">
        <v>179</v>
      </c>
      <c r="V140" s="10" t="s">
        <v>180</v>
      </c>
      <c r="W140" s="9">
        <v>8.51</v>
      </c>
      <c r="X140" s="9">
        <v>0.65</v>
      </c>
      <c r="Y140" s="9">
        <v>1.05</v>
      </c>
      <c r="Z140" s="9">
        <v>0.75</v>
      </c>
      <c r="AA140" s="9">
        <v>2.72</v>
      </c>
      <c r="AB140" s="9">
        <v>0.8</v>
      </c>
      <c r="AC140" s="9">
        <v>0.92</v>
      </c>
      <c r="AD140" s="9">
        <v>1.04</v>
      </c>
      <c r="AE140" s="9">
        <v>1.1000000000000001</v>
      </c>
      <c r="AF140" s="9">
        <v>2.21</v>
      </c>
      <c r="AH140" s="11" t="s">
        <v>181</v>
      </c>
      <c r="AI140" s="12" t="s">
        <v>182</v>
      </c>
      <c r="AJ140" s="11">
        <v>6.75</v>
      </c>
      <c r="AK140" s="11">
        <v>7.19</v>
      </c>
      <c r="AL140" s="11">
        <v>3</v>
      </c>
      <c r="AM140" s="11">
        <v>7.45</v>
      </c>
      <c r="AN140" s="11">
        <v>2.29</v>
      </c>
      <c r="AO140" s="11">
        <v>8.4</v>
      </c>
      <c r="AP140" s="11">
        <v>5.6</v>
      </c>
      <c r="AR140" s="11" t="s">
        <v>183</v>
      </c>
      <c r="AS140" s="12" t="s">
        <v>184</v>
      </c>
      <c r="AT140" s="11">
        <v>2.74</v>
      </c>
      <c r="AU140" s="11">
        <v>1.03</v>
      </c>
      <c r="AV140" s="11">
        <v>2.65</v>
      </c>
      <c r="AW140" s="11">
        <v>2</v>
      </c>
      <c r="AX140" s="14"/>
    </row>
    <row r="141" spans="1:50" ht="23.5" customHeight="1" thickTop="1" thickBot="1" x14ac:dyDescent="0.35">
      <c r="A141" s="63"/>
      <c r="B141" s="76"/>
      <c r="C141" s="25"/>
      <c r="D141" s="86"/>
      <c r="E141" s="36" t="s">
        <v>153</v>
      </c>
      <c r="F141" s="36">
        <v>2</v>
      </c>
      <c r="G141" s="86"/>
      <c r="H141" s="36" t="s">
        <v>201</v>
      </c>
      <c r="I141" s="36">
        <v>1</v>
      </c>
      <c r="J141" s="25"/>
      <c r="K141" s="25"/>
      <c r="L141" s="25"/>
      <c r="M141" s="18"/>
      <c r="O141" s="1">
        <v>6</v>
      </c>
      <c r="P141" s="1">
        <v>2</v>
      </c>
      <c r="Q141" s="1">
        <v>1</v>
      </c>
      <c r="R141" s="1">
        <v>1</v>
      </c>
      <c r="S141" s="14"/>
      <c r="U141" s="11" t="s">
        <v>187</v>
      </c>
      <c r="V141" s="12" t="s">
        <v>188</v>
      </c>
      <c r="W141" s="11">
        <v>9.24</v>
      </c>
      <c r="X141" s="11">
        <v>0.85</v>
      </c>
      <c r="Y141" s="11">
        <v>1.25</v>
      </c>
      <c r="Z141" s="11">
        <v>0.56999999999999995</v>
      </c>
      <c r="AA141" s="11">
        <v>2.93</v>
      </c>
      <c r="AB141" s="11">
        <v>0.89</v>
      </c>
      <c r="AC141" s="11">
        <v>0.95</v>
      </c>
      <c r="AD141" s="11">
        <v>1.2</v>
      </c>
      <c r="AE141" s="11">
        <v>1.39</v>
      </c>
      <c r="AF141" s="11">
        <v>2.4500000000000002</v>
      </c>
      <c r="AX141" s="14"/>
    </row>
    <row r="142" spans="1:50" ht="23.5" customHeight="1" thickTop="1" thickBot="1" x14ac:dyDescent="0.35">
      <c r="A142" s="63"/>
      <c r="B142" s="76"/>
      <c r="C142" s="25"/>
      <c r="D142" s="86"/>
      <c r="E142" s="1" t="s">
        <v>156</v>
      </c>
      <c r="F142" s="36">
        <v>2</v>
      </c>
      <c r="G142" s="87"/>
      <c r="H142" s="38" t="s">
        <v>164</v>
      </c>
      <c r="I142" s="38">
        <v>1</v>
      </c>
      <c r="J142" s="36"/>
      <c r="K142" s="25"/>
      <c r="L142" s="25"/>
      <c r="M142" s="18"/>
      <c r="O142" s="1">
        <v>7</v>
      </c>
      <c r="P142" s="1">
        <v>1</v>
      </c>
      <c r="Q142" s="1">
        <v>1</v>
      </c>
      <c r="R142" s="1">
        <v>1</v>
      </c>
      <c r="S142" s="14"/>
      <c r="U142" s="9"/>
      <c r="V142" s="10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X142" s="14"/>
    </row>
    <row r="143" spans="1:50" ht="23.5" customHeight="1" thickTop="1" thickBot="1" x14ac:dyDescent="0.35">
      <c r="A143" s="63"/>
      <c r="B143" s="76"/>
      <c r="C143" s="25"/>
      <c r="D143" s="87"/>
      <c r="E143" s="38" t="s">
        <v>197</v>
      </c>
      <c r="F143" s="38">
        <v>1</v>
      </c>
      <c r="G143" s="39"/>
      <c r="H143" s="39"/>
      <c r="I143" s="39"/>
      <c r="J143" s="36"/>
      <c r="K143" s="36"/>
      <c r="L143" s="25"/>
      <c r="M143" s="18"/>
      <c r="O143" s="1">
        <v>8</v>
      </c>
      <c r="P143" s="1">
        <v>1</v>
      </c>
      <c r="Q143" s="1">
        <v>1</v>
      </c>
      <c r="R143" s="1">
        <v>3</v>
      </c>
      <c r="S143" s="14"/>
      <c r="U143" s="9"/>
      <c r="V143" s="10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X143" s="14"/>
    </row>
    <row r="144" spans="1:50" ht="23" customHeight="1" thickTop="1" x14ac:dyDescent="0.3">
      <c r="A144" s="63"/>
      <c r="B144" s="76"/>
      <c r="C144" s="25"/>
      <c r="D144" s="39"/>
      <c r="E144" s="39"/>
      <c r="F144" s="39"/>
      <c r="G144" s="25"/>
      <c r="H144" s="25"/>
      <c r="I144" s="25"/>
      <c r="J144" s="25"/>
      <c r="K144" s="25"/>
      <c r="L144" s="25"/>
      <c r="M144" s="18"/>
      <c r="O144" s="1">
        <v>9</v>
      </c>
      <c r="P144" s="1">
        <v>1</v>
      </c>
      <c r="Q144" s="1">
        <v>1</v>
      </c>
      <c r="R144" s="1">
        <v>0</v>
      </c>
      <c r="S144" s="14"/>
      <c r="AX144" s="14"/>
    </row>
    <row r="145" spans="1:50" ht="23" customHeight="1" thickBot="1" x14ac:dyDescent="0.35">
      <c r="A145" s="63"/>
      <c r="B145" s="76"/>
      <c r="C145" s="25"/>
      <c r="D145" s="36"/>
      <c r="E145" s="36"/>
      <c r="F145" s="36"/>
      <c r="G145" s="25"/>
      <c r="H145" s="25"/>
      <c r="I145" s="25"/>
      <c r="J145" s="25"/>
      <c r="K145" s="25"/>
      <c r="L145" s="25"/>
      <c r="M145" s="18"/>
      <c r="O145" s="4">
        <v>10</v>
      </c>
      <c r="P145" s="4">
        <v>2</v>
      </c>
      <c r="Q145" s="4">
        <v>0</v>
      </c>
      <c r="R145" s="4">
        <v>2</v>
      </c>
      <c r="S145" s="14"/>
      <c r="AX145" s="14"/>
    </row>
    <row r="146" spans="1:50" ht="23.5" customHeight="1" thickTop="1" thickBot="1" x14ac:dyDescent="0.35">
      <c r="A146" s="63"/>
      <c r="B146" s="8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19"/>
      <c r="N146" s="15"/>
      <c r="O146" s="15"/>
      <c r="P146" s="15"/>
      <c r="Q146" s="15"/>
      <c r="R146" s="15"/>
      <c r="S146" s="16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6"/>
    </row>
    <row r="147" spans="1:50" ht="15" customHeight="1" thickTop="1" thickBot="1" x14ac:dyDescent="0.35">
      <c r="A147" s="63"/>
      <c r="B147" s="89" t="s">
        <v>115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17"/>
      <c r="N147" s="24"/>
      <c r="O147" s="24"/>
      <c r="P147" s="24"/>
      <c r="Q147" s="24"/>
      <c r="R147" s="24"/>
      <c r="S147" s="17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17"/>
    </row>
    <row r="148" spans="1:50" ht="16" customHeight="1" thickTop="1" thickBot="1" x14ac:dyDescent="0.35">
      <c r="A148" s="63"/>
      <c r="B148" s="76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17"/>
      <c r="N148" s="24"/>
      <c r="O148" s="82" t="s">
        <v>205</v>
      </c>
      <c r="P148" s="82" t="s">
        <v>206</v>
      </c>
      <c r="Q148" s="83"/>
      <c r="R148" s="83"/>
      <c r="S148" s="17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17"/>
    </row>
    <row r="149" spans="1:50" ht="31" customHeight="1" thickTop="1" thickBot="1" x14ac:dyDescent="0.35">
      <c r="A149" s="63"/>
      <c r="B149" s="76"/>
      <c r="C149" s="24"/>
      <c r="D149" s="27" t="s">
        <v>191</v>
      </c>
      <c r="E149" s="27" t="s">
        <v>192</v>
      </c>
      <c r="F149" s="27" t="s">
        <v>193</v>
      </c>
      <c r="G149" s="27" t="s">
        <v>191</v>
      </c>
      <c r="H149" s="27" t="s">
        <v>192</v>
      </c>
      <c r="I149" s="27" t="s">
        <v>193</v>
      </c>
      <c r="J149" s="27" t="s">
        <v>191</v>
      </c>
      <c r="K149" s="27" t="s">
        <v>192</v>
      </c>
      <c r="L149" s="27" t="s">
        <v>193</v>
      </c>
      <c r="M149" s="17"/>
      <c r="N149" s="24"/>
      <c r="O149" s="84"/>
      <c r="P149" s="2" t="s">
        <v>178</v>
      </c>
      <c r="Q149" s="2" t="s">
        <v>186</v>
      </c>
      <c r="R149" s="2" t="s">
        <v>190</v>
      </c>
      <c r="S149" s="17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17"/>
    </row>
    <row r="150" spans="1:50" ht="23" customHeight="1" thickTop="1" x14ac:dyDescent="0.3">
      <c r="A150" s="63"/>
      <c r="B150" s="76"/>
      <c r="C150" s="33"/>
      <c r="D150" s="88" t="s">
        <v>194</v>
      </c>
      <c r="E150" s="36" t="s">
        <v>148</v>
      </c>
      <c r="F150" s="36">
        <v>5</v>
      </c>
      <c r="G150" s="85" t="s">
        <v>198</v>
      </c>
      <c r="H150" s="36" t="s">
        <v>158</v>
      </c>
      <c r="I150" s="36">
        <v>2</v>
      </c>
      <c r="J150" s="85" t="s">
        <v>202</v>
      </c>
      <c r="K150" s="36" t="s">
        <v>203</v>
      </c>
      <c r="L150" s="36">
        <v>3</v>
      </c>
      <c r="M150" s="18"/>
      <c r="N150" s="13"/>
      <c r="O150" s="1">
        <v>1</v>
      </c>
      <c r="P150" s="1">
        <v>1</v>
      </c>
      <c r="Q150" s="1">
        <v>0</v>
      </c>
      <c r="R150" s="1">
        <v>0</v>
      </c>
      <c r="S150" s="14"/>
      <c r="T150" s="13"/>
      <c r="U150" s="24"/>
      <c r="AX150" s="14"/>
    </row>
    <row r="151" spans="1:50" ht="23" customHeight="1" thickBot="1" x14ac:dyDescent="0.35">
      <c r="A151" s="63"/>
      <c r="B151" s="76"/>
      <c r="C151" s="25"/>
      <c r="D151" s="86"/>
      <c r="E151" s="36" t="s">
        <v>195</v>
      </c>
      <c r="F151" s="36">
        <v>2</v>
      </c>
      <c r="G151" s="86"/>
      <c r="H151" s="36" t="s">
        <v>159</v>
      </c>
      <c r="I151" s="36">
        <v>2</v>
      </c>
      <c r="J151" s="86"/>
      <c r="K151" s="36" t="s">
        <v>166</v>
      </c>
      <c r="L151" s="36">
        <v>3</v>
      </c>
      <c r="M151" s="18"/>
      <c r="O151" s="1">
        <v>2</v>
      </c>
      <c r="P151" s="1">
        <v>1</v>
      </c>
      <c r="Q151" s="1">
        <v>1</v>
      </c>
      <c r="R151" s="1">
        <v>1</v>
      </c>
      <c r="S151" s="14"/>
      <c r="Z151" s="23" t="s">
        <v>194</v>
      </c>
      <c r="AK151" s="23" t="s">
        <v>198</v>
      </c>
      <c r="AT151" s="23" t="s">
        <v>202</v>
      </c>
      <c r="AX151" s="14"/>
    </row>
    <row r="152" spans="1:50" ht="25" customHeight="1" thickTop="1" thickBot="1" x14ac:dyDescent="0.35">
      <c r="A152" s="63"/>
      <c r="B152" s="76"/>
      <c r="C152" s="25"/>
      <c r="D152" s="86"/>
      <c r="E152" s="36" t="s">
        <v>196</v>
      </c>
      <c r="F152" s="36">
        <v>2</v>
      </c>
      <c r="G152" s="86"/>
      <c r="H152" s="36" t="s">
        <v>160</v>
      </c>
      <c r="I152" s="36">
        <v>2</v>
      </c>
      <c r="J152" s="86"/>
      <c r="K152" s="36" t="s">
        <v>167</v>
      </c>
      <c r="L152" s="36">
        <v>2</v>
      </c>
      <c r="M152" s="18"/>
      <c r="O152" s="1">
        <v>3</v>
      </c>
      <c r="P152" s="1">
        <v>0</v>
      </c>
      <c r="Q152" s="1">
        <v>1</v>
      </c>
      <c r="R152" s="1">
        <v>1</v>
      </c>
      <c r="S152" s="14"/>
      <c r="U152" s="7" t="s">
        <v>146</v>
      </c>
      <c r="V152" s="7" t="s">
        <v>147</v>
      </c>
      <c r="W152" s="7" t="s">
        <v>148</v>
      </c>
      <c r="X152" s="7" t="s">
        <v>149</v>
      </c>
      <c r="Y152" s="7" t="s">
        <v>150</v>
      </c>
      <c r="Z152" s="8" t="s">
        <v>151</v>
      </c>
      <c r="AA152" s="7" t="s">
        <v>152</v>
      </c>
      <c r="AB152" s="7" t="s">
        <v>153</v>
      </c>
      <c r="AC152" s="7" t="s">
        <v>154</v>
      </c>
      <c r="AD152" s="7" t="s">
        <v>155</v>
      </c>
      <c r="AE152" s="8" t="s">
        <v>156</v>
      </c>
      <c r="AF152" s="7" t="s">
        <v>157</v>
      </c>
      <c r="AH152" s="7" t="s">
        <v>146</v>
      </c>
      <c r="AI152" s="7" t="s">
        <v>147</v>
      </c>
      <c r="AJ152" s="7" t="s">
        <v>158</v>
      </c>
      <c r="AK152" s="7" t="s">
        <v>159</v>
      </c>
      <c r="AL152" s="7" t="s">
        <v>160</v>
      </c>
      <c r="AM152" s="7" t="s">
        <v>161</v>
      </c>
      <c r="AN152" s="7" t="s">
        <v>162</v>
      </c>
      <c r="AO152" s="7" t="s">
        <v>163</v>
      </c>
      <c r="AP152" s="7" t="s">
        <v>164</v>
      </c>
      <c r="AR152" s="7" t="s">
        <v>146</v>
      </c>
      <c r="AS152" s="7" t="s">
        <v>147</v>
      </c>
      <c r="AT152" s="7" t="s">
        <v>165</v>
      </c>
      <c r="AU152" s="7" t="s">
        <v>166</v>
      </c>
      <c r="AV152" s="7" t="s">
        <v>167</v>
      </c>
      <c r="AW152" s="7" t="s">
        <v>168</v>
      </c>
      <c r="AX152" s="14"/>
    </row>
    <row r="153" spans="1:50" ht="24" customHeight="1" thickTop="1" thickBot="1" x14ac:dyDescent="0.35">
      <c r="A153" s="63"/>
      <c r="B153" s="76"/>
      <c r="C153" s="25"/>
      <c r="D153" s="86"/>
      <c r="E153" s="1" t="s">
        <v>151</v>
      </c>
      <c r="F153" s="36">
        <v>2</v>
      </c>
      <c r="G153" s="86"/>
      <c r="H153" s="36" t="s">
        <v>199</v>
      </c>
      <c r="I153" s="36">
        <v>2</v>
      </c>
      <c r="J153" s="87"/>
      <c r="K153" s="38" t="s">
        <v>168</v>
      </c>
      <c r="L153" s="38">
        <v>2</v>
      </c>
      <c r="M153" s="18"/>
      <c r="O153" s="1">
        <v>4</v>
      </c>
      <c r="P153" s="1">
        <v>3</v>
      </c>
      <c r="Q153" s="1">
        <v>2</v>
      </c>
      <c r="R153" s="1">
        <v>1</v>
      </c>
      <c r="S153" s="14"/>
      <c r="U153" s="9" t="s">
        <v>171</v>
      </c>
      <c r="V153" s="10" t="s">
        <v>172</v>
      </c>
      <c r="W153" s="9">
        <v>7.03</v>
      </c>
      <c r="X153" s="9">
        <v>0.78</v>
      </c>
      <c r="Y153" s="9">
        <v>1.18</v>
      </c>
      <c r="Z153" s="9">
        <v>0.69</v>
      </c>
      <c r="AA153" s="9">
        <v>2.6</v>
      </c>
      <c r="AB153" s="9">
        <v>0.87</v>
      </c>
      <c r="AC153" s="9">
        <v>0.93</v>
      </c>
      <c r="AD153" s="9">
        <v>1.05</v>
      </c>
      <c r="AE153" s="9">
        <v>1.03</v>
      </c>
      <c r="AF153" s="9">
        <v>1.55</v>
      </c>
      <c r="AH153" s="9" t="s">
        <v>173</v>
      </c>
      <c r="AI153" s="10" t="s">
        <v>174</v>
      </c>
      <c r="AJ153" s="9">
        <v>6.92</v>
      </c>
      <c r="AK153" s="9">
        <v>7.46</v>
      </c>
      <c r="AL153" s="9">
        <v>3</v>
      </c>
      <c r="AM153" s="9">
        <v>7.85</v>
      </c>
      <c r="AN153" s="9">
        <v>2.46</v>
      </c>
      <c r="AO153" s="9">
        <v>8.92</v>
      </c>
      <c r="AP153" s="9">
        <v>5.92</v>
      </c>
      <c r="AR153" s="9" t="s">
        <v>175</v>
      </c>
      <c r="AS153" s="10" t="s">
        <v>176</v>
      </c>
      <c r="AT153" s="9">
        <v>2.93</v>
      </c>
      <c r="AU153" s="9">
        <v>1.18</v>
      </c>
      <c r="AV153" s="9">
        <v>2.4500000000000002</v>
      </c>
      <c r="AW153" s="9">
        <v>2</v>
      </c>
      <c r="AX153" s="14"/>
    </row>
    <row r="154" spans="1:50" ht="24" customHeight="1" thickTop="1" thickBot="1" x14ac:dyDescent="0.35">
      <c r="A154" s="63"/>
      <c r="B154" s="76"/>
      <c r="C154" s="25"/>
      <c r="D154" s="86"/>
      <c r="E154" s="36" t="s">
        <v>152</v>
      </c>
      <c r="F154" s="36">
        <v>2</v>
      </c>
      <c r="G154" s="86"/>
      <c r="H154" s="36" t="s">
        <v>200</v>
      </c>
      <c r="I154" s="36">
        <v>2</v>
      </c>
      <c r="J154" s="39"/>
      <c r="K154" s="39"/>
      <c r="L154" s="39"/>
      <c r="M154" s="18"/>
      <c r="O154" s="1">
        <v>5</v>
      </c>
      <c r="P154" s="1">
        <v>0</v>
      </c>
      <c r="Q154" s="1">
        <v>1</v>
      </c>
      <c r="R154" s="1">
        <v>1</v>
      </c>
      <c r="S154" s="14"/>
      <c r="U154" s="9" t="s">
        <v>179</v>
      </c>
      <c r="V154" s="10" t="s">
        <v>180</v>
      </c>
      <c r="W154" s="9">
        <v>8.7899999999999991</v>
      </c>
      <c r="X154" s="9">
        <v>0.9</v>
      </c>
      <c r="Y154" s="9">
        <v>1.02</v>
      </c>
      <c r="Z154" s="9">
        <v>0.61</v>
      </c>
      <c r="AA154" s="9">
        <v>2.5</v>
      </c>
      <c r="AB154" s="9">
        <v>0.83</v>
      </c>
      <c r="AC154" s="9">
        <v>0.99</v>
      </c>
      <c r="AD154" s="9">
        <v>1.17</v>
      </c>
      <c r="AE154" s="9">
        <v>1.29</v>
      </c>
      <c r="AF154" s="9">
        <v>2.1</v>
      </c>
      <c r="AH154" s="11" t="s">
        <v>181</v>
      </c>
      <c r="AI154" s="12" t="s">
        <v>182</v>
      </c>
      <c r="AJ154" s="11">
        <v>6.05</v>
      </c>
      <c r="AK154" s="11">
        <v>6.52</v>
      </c>
      <c r="AL154" s="11">
        <v>3</v>
      </c>
      <c r="AM154" s="11">
        <v>6.01</v>
      </c>
      <c r="AN154" s="11">
        <v>1.52</v>
      </c>
      <c r="AO154" s="11">
        <v>7.01</v>
      </c>
      <c r="AP154" s="11">
        <v>5.05</v>
      </c>
      <c r="AR154" s="11" t="s">
        <v>183</v>
      </c>
      <c r="AS154" s="12" t="s">
        <v>184</v>
      </c>
      <c r="AT154" s="11">
        <v>3.44</v>
      </c>
      <c r="AU154" s="11">
        <v>1.07</v>
      </c>
      <c r="AV154" s="11">
        <v>2.1800000000000002</v>
      </c>
      <c r="AW154" s="11">
        <v>2</v>
      </c>
      <c r="AX154" s="14"/>
    </row>
    <row r="155" spans="1:50" ht="23.5" customHeight="1" thickTop="1" thickBot="1" x14ac:dyDescent="0.35">
      <c r="A155" s="63"/>
      <c r="B155" s="76"/>
      <c r="C155" s="25"/>
      <c r="D155" s="86"/>
      <c r="E155" s="36" t="s">
        <v>153</v>
      </c>
      <c r="F155" s="36">
        <v>2</v>
      </c>
      <c r="G155" s="86"/>
      <c r="H155" s="36" t="s">
        <v>201</v>
      </c>
      <c r="I155" s="36">
        <v>1</v>
      </c>
      <c r="J155" s="25"/>
      <c r="K155" s="25"/>
      <c r="L155" s="25"/>
      <c r="M155" s="18"/>
      <c r="O155" s="1">
        <v>6</v>
      </c>
      <c r="P155" s="1">
        <v>2</v>
      </c>
      <c r="Q155" s="1">
        <v>1</v>
      </c>
      <c r="R155" s="1">
        <v>1</v>
      </c>
      <c r="S155" s="14"/>
      <c r="U155" s="11" t="s">
        <v>187</v>
      </c>
      <c r="V155" s="12" t="s">
        <v>188</v>
      </c>
      <c r="W155" s="11">
        <v>9.17</v>
      </c>
      <c r="X155" s="11">
        <v>0.65</v>
      </c>
      <c r="Y155" s="11">
        <v>1.25</v>
      </c>
      <c r="Z155" s="11">
        <v>0.72</v>
      </c>
      <c r="AA155" s="11">
        <v>2.88</v>
      </c>
      <c r="AB155" s="11">
        <v>0.81</v>
      </c>
      <c r="AC155" s="11">
        <v>1</v>
      </c>
      <c r="AD155" s="11">
        <v>1</v>
      </c>
      <c r="AE155" s="11">
        <v>1.4</v>
      </c>
      <c r="AF155" s="11">
        <v>1.73</v>
      </c>
      <c r="AX155" s="14"/>
    </row>
    <row r="156" spans="1:50" ht="23.5" customHeight="1" thickTop="1" thickBot="1" x14ac:dyDescent="0.35">
      <c r="A156" s="63"/>
      <c r="B156" s="76"/>
      <c r="C156" s="25"/>
      <c r="D156" s="86"/>
      <c r="E156" s="1" t="s">
        <v>156</v>
      </c>
      <c r="F156" s="36">
        <v>2</v>
      </c>
      <c r="G156" s="87"/>
      <c r="H156" s="38" t="s">
        <v>164</v>
      </c>
      <c r="I156" s="38">
        <v>1</v>
      </c>
      <c r="J156" s="36"/>
      <c r="K156" s="25"/>
      <c r="L156" s="25"/>
      <c r="M156" s="18"/>
      <c r="O156" s="1">
        <v>7</v>
      </c>
      <c r="P156" s="1">
        <v>1</v>
      </c>
      <c r="Q156" s="1">
        <v>1</v>
      </c>
      <c r="R156" s="1">
        <v>1</v>
      </c>
      <c r="S156" s="14"/>
      <c r="U156" s="9"/>
      <c r="V156" s="10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X156" s="14"/>
    </row>
    <row r="157" spans="1:50" ht="23.5" customHeight="1" thickTop="1" thickBot="1" x14ac:dyDescent="0.35">
      <c r="A157" s="63"/>
      <c r="B157" s="76"/>
      <c r="C157" s="25"/>
      <c r="D157" s="87"/>
      <c r="E157" s="38" t="s">
        <v>197</v>
      </c>
      <c r="F157" s="38">
        <v>1</v>
      </c>
      <c r="G157" s="39"/>
      <c r="H157" s="39"/>
      <c r="I157" s="39"/>
      <c r="J157" s="36"/>
      <c r="K157" s="36"/>
      <c r="L157" s="25"/>
      <c r="M157" s="18"/>
      <c r="O157" s="1">
        <v>8</v>
      </c>
      <c r="P157" s="1">
        <v>0</v>
      </c>
      <c r="Q157" s="1">
        <v>0</v>
      </c>
      <c r="R157" s="1">
        <v>3</v>
      </c>
      <c r="S157" s="14"/>
      <c r="U157" s="9"/>
      <c r="V157" s="10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X157" s="14"/>
    </row>
    <row r="158" spans="1:50" ht="23" customHeight="1" thickTop="1" x14ac:dyDescent="0.3">
      <c r="A158" s="63"/>
      <c r="B158" s="76"/>
      <c r="C158" s="25"/>
      <c r="D158" s="39"/>
      <c r="E158" s="39"/>
      <c r="F158" s="39"/>
      <c r="G158" s="25"/>
      <c r="H158" s="25"/>
      <c r="I158" s="25"/>
      <c r="J158" s="25"/>
      <c r="K158" s="25"/>
      <c r="L158" s="25"/>
      <c r="M158" s="18"/>
      <c r="O158" s="1">
        <v>9</v>
      </c>
      <c r="P158" s="1">
        <v>0</v>
      </c>
      <c r="Q158" s="1">
        <v>4</v>
      </c>
      <c r="R158" s="1">
        <v>1</v>
      </c>
      <c r="S158" s="14"/>
      <c r="AX158" s="14"/>
    </row>
    <row r="159" spans="1:50" ht="23" customHeight="1" thickBot="1" x14ac:dyDescent="0.35">
      <c r="A159" s="63"/>
      <c r="B159" s="76"/>
      <c r="C159" s="25"/>
      <c r="D159" s="36"/>
      <c r="E159" s="36"/>
      <c r="F159" s="36"/>
      <c r="G159" s="25"/>
      <c r="H159" s="25"/>
      <c r="I159" s="25"/>
      <c r="J159" s="25"/>
      <c r="K159" s="25"/>
      <c r="L159" s="25"/>
      <c r="M159" s="18"/>
      <c r="O159" s="4">
        <v>10</v>
      </c>
      <c r="P159" s="4">
        <v>2</v>
      </c>
      <c r="Q159" s="4">
        <v>0</v>
      </c>
      <c r="R159" s="4">
        <v>2</v>
      </c>
      <c r="S159" s="14"/>
      <c r="AX159" s="14"/>
    </row>
    <row r="160" spans="1:50" ht="23.5" customHeight="1" thickTop="1" thickBot="1" x14ac:dyDescent="0.35">
      <c r="A160" s="63"/>
      <c r="B160" s="81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19"/>
      <c r="N160" s="15"/>
      <c r="O160" s="15"/>
      <c r="P160" s="15"/>
      <c r="Q160" s="15"/>
      <c r="R160" s="15"/>
      <c r="S160" s="16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6"/>
    </row>
    <row r="161" spans="1:50" ht="15" customHeight="1" thickTop="1" thickBot="1" x14ac:dyDescent="0.35">
      <c r="A161" s="63"/>
      <c r="B161" s="89" t="s">
        <v>116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17"/>
      <c r="N161" s="24"/>
      <c r="O161" s="24"/>
      <c r="P161" s="24"/>
      <c r="Q161" s="24"/>
      <c r="R161" s="24"/>
      <c r="S161" s="17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17"/>
    </row>
    <row r="162" spans="1:50" ht="16" customHeight="1" thickTop="1" thickBot="1" x14ac:dyDescent="0.35">
      <c r="A162" s="63"/>
      <c r="B162" s="76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17"/>
      <c r="N162" s="24"/>
      <c r="O162" s="82" t="s">
        <v>205</v>
      </c>
      <c r="P162" s="82" t="s">
        <v>206</v>
      </c>
      <c r="Q162" s="83"/>
      <c r="R162" s="83"/>
      <c r="S162" s="17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17"/>
    </row>
    <row r="163" spans="1:50" ht="31" customHeight="1" thickTop="1" thickBot="1" x14ac:dyDescent="0.35">
      <c r="A163" s="63"/>
      <c r="B163" s="76"/>
      <c r="C163" s="24"/>
      <c r="D163" s="27" t="s">
        <v>191</v>
      </c>
      <c r="E163" s="27" t="s">
        <v>192</v>
      </c>
      <c r="F163" s="27" t="s">
        <v>193</v>
      </c>
      <c r="G163" s="27" t="s">
        <v>191</v>
      </c>
      <c r="H163" s="27" t="s">
        <v>192</v>
      </c>
      <c r="I163" s="27" t="s">
        <v>193</v>
      </c>
      <c r="J163" s="27" t="s">
        <v>191</v>
      </c>
      <c r="K163" s="27" t="s">
        <v>192</v>
      </c>
      <c r="L163" s="27" t="s">
        <v>193</v>
      </c>
      <c r="M163" s="17"/>
      <c r="N163" s="24"/>
      <c r="O163" s="84"/>
      <c r="P163" s="2" t="s">
        <v>178</v>
      </c>
      <c r="Q163" s="2" t="s">
        <v>186</v>
      </c>
      <c r="R163" s="2" t="s">
        <v>190</v>
      </c>
      <c r="S163" s="17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17"/>
    </row>
    <row r="164" spans="1:50" ht="23" customHeight="1" thickTop="1" x14ac:dyDescent="0.3">
      <c r="A164" s="63"/>
      <c r="B164" s="76"/>
      <c r="C164" s="33"/>
      <c r="D164" s="88" t="s">
        <v>194</v>
      </c>
      <c r="E164" s="36" t="s">
        <v>148</v>
      </c>
      <c r="F164" s="36">
        <v>5</v>
      </c>
      <c r="G164" s="85" t="s">
        <v>198</v>
      </c>
      <c r="H164" s="36" t="s">
        <v>158</v>
      </c>
      <c r="I164" s="36">
        <v>2</v>
      </c>
      <c r="J164" s="85" t="s">
        <v>202</v>
      </c>
      <c r="K164" s="36" t="s">
        <v>203</v>
      </c>
      <c r="L164" s="36">
        <v>3</v>
      </c>
      <c r="M164" s="18"/>
      <c r="N164" s="13"/>
      <c r="O164" s="1">
        <v>1</v>
      </c>
      <c r="P164" s="1">
        <v>1</v>
      </c>
      <c r="Q164" s="1">
        <v>3</v>
      </c>
      <c r="R164" s="1">
        <v>1</v>
      </c>
      <c r="S164" s="14"/>
      <c r="T164" s="13"/>
      <c r="U164" s="24"/>
      <c r="AX164" s="14"/>
    </row>
    <row r="165" spans="1:50" ht="23" customHeight="1" thickBot="1" x14ac:dyDescent="0.35">
      <c r="A165" s="63"/>
      <c r="B165" s="76"/>
      <c r="C165" s="25"/>
      <c r="D165" s="86"/>
      <c r="E165" s="36" t="s">
        <v>195</v>
      </c>
      <c r="F165" s="36">
        <v>2</v>
      </c>
      <c r="G165" s="86"/>
      <c r="H165" s="36" t="s">
        <v>159</v>
      </c>
      <c r="I165" s="36">
        <v>2</v>
      </c>
      <c r="J165" s="86"/>
      <c r="K165" s="36" t="s">
        <v>166</v>
      </c>
      <c r="L165" s="36">
        <v>3</v>
      </c>
      <c r="M165" s="18"/>
      <c r="O165" s="1">
        <v>2</v>
      </c>
      <c r="P165" s="1">
        <v>2</v>
      </c>
      <c r="Q165" s="1">
        <v>2</v>
      </c>
      <c r="R165" s="1">
        <v>1</v>
      </c>
      <c r="S165" s="14"/>
      <c r="Z165" s="23" t="s">
        <v>194</v>
      </c>
      <c r="AK165" s="23" t="s">
        <v>198</v>
      </c>
      <c r="AT165" s="23" t="s">
        <v>202</v>
      </c>
      <c r="AX165" s="14"/>
    </row>
    <row r="166" spans="1:50" ht="25" customHeight="1" thickTop="1" thickBot="1" x14ac:dyDescent="0.35">
      <c r="A166" s="63"/>
      <c r="B166" s="76"/>
      <c r="C166" s="25"/>
      <c r="D166" s="86"/>
      <c r="E166" s="36" t="s">
        <v>196</v>
      </c>
      <c r="F166" s="36">
        <v>2</v>
      </c>
      <c r="G166" s="86"/>
      <c r="H166" s="36" t="s">
        <v>160</v>
      </c>
      <c r="I166" s="36">
        <v>2</v>
      </c>
      <c r="J166" s="86"/>
      <c r="K166" s="36" t="s">
        <v>167</v>
      </c>
      <c r="L166" s="36">
        <v>3</v>
      </c>
      <c r="M166" s="18"/>
      <c r="O166" s="1">
        <v>3</v>
      </c>
      <c r="P166" s="1">
        <v>0</v>
      </c>
      <c r="Q166" s="1">
        <v>1</v>
      </c>
      <c r="R166" s="1">
        <v>1</v>
      </c>
      <c r="S166" s="14"/>
      <c r="U166" s="7" t="s">
        <v>146</v>
      </c>
      <c r="V166" s="7" t="s">
        <v>147</v>
      </c>
      <c r="W166" s="7" t="s">
        <v>148</v>
      </c>
      <c r="X166" s="7" t="s">
        <v>149</v>
      </c>
      <c r="Y166" s="7" t="s">
        <v>150</v>
      </c>
      <c r="Z166" s="8" t="s">
        <v>151</v>
      </c>
      <c r="AA166" s="7" t="s">
        <v>152</v>
      </c>
      <c r="AB166" s="7" t="s">
        <v>153</v>
      </c>
      <c r="AC166" s="7" t="s">
        <v>154</v>
      </c>
      <c r="AD166" s="7" t="s">
        <v>155</v>
      </c>
      <c r="AE166" s="8" t="s">
        <v>156</v>
      </c>
      <c r="AF166" s="7" t="s">
        <v>157</v>
      </c>
      <c r="AH166" s="7" t="s">
        <v>146</v>
      </c>
      <c r="AI166" s="7" t="s">
        <v>147</v>
      </c>
      <c r="AJ166" s="7" t="s">
        <v>158</v>
      </c>
      <c r="AK166" s="7" t="s">
        <v>159</v>
      </c>
      <c r="AL166" s="7" t="s">
        <v>160</v>
      </c>
      <c r="AM166" s="7" t="s">
        <v>161</v>
      </c>
      <c r="AN166" s="7" t="s">
        <v>162</v>
      </c>
      <c r="AO166" s="7" t="s">
        <v>163</v>
      </c>
      <c r="AP166" s="7" t="s">
        <v>164</v>
      </c>
      <c r="AR166" s="7" t="s">
        <v>146</v>
      </c>
      <c r="AS166" s="7" t="s">
        <v>147</v>
      </c>
      <c r="AT166" s="7" t="s">
        <v>165</v>
      </c>
      <c r="AU166" s="7" t="s">
        <v>166</v>
      </c>
      <c r="AV166" s="7" t="s">
        <v>167</v>
      </c>
      <c r="AW166" s="7" t="s">
        <v>168</v>
      </c>
      <c r="AX166" s="14"/>
    </row>
    <row r="167" spans="1:50" ht="24" customHeight="1" thickTop="1" thickBot="1" x14ac:dyDescent="0.35">
      <c r="A167" s="63"/>
      <c r="B167" s="76"/>
      <c r="C167" s="25"/>
      <c r="D167" s="86"/>
      <c r="E167" s="1" t="s">
        <v>151</v>
      </c>
      <c r="F167" s="36">
        <v>2</v>
      </c>
      <c r="G167" s="86"/>
      <c r="H167" s="36" t="s">
        <v>199</v>
      </c>
      <c r="I167" s="36">
        <v>2</v>
      </c>
      <c r="J167" s="87"/>
      <c r="K167" s="38" t="s">
        <v>168</v>
      </c>
      <c r="L167" s="38">
        <v>2</v>
      </c>
      <c r="M167" s="18"/>
      <c r="O167" s="1">
        <v>4</v>
      </c>
      <c r="P167" s="1">
        <v>0</v>
      </c>
      <c r="Q167" s="1">
        <v>2</v>
      </c>
      <c r="R167" s="1">
        <v>0</v>
      </c>
      <c r="S167" s="14"/>
      <c r="U167" s="9" t="s">
        <v>171</v>
      </c>
      <c r="V167" s="10" t="s">
        <v>172</v>
      </c>
      <c r="W167" s="9">
        <v>7.77</v>
      </c>
      <c r="X167" s="9">
        <v>0.71</v>
      </c>
      <c r="Y167" s="9">
        <v>1.1399999999999999</v>
      </c>
      <c r="Z167" s="9">
        <v>0.57999999999999996</v>
      </c>
      <c r="AA167" s="9">
        <v>2.5</v>
      </c>
      <c r="AB167" s="9">
        <v>0.85</v>
      </c>
      <c r="AC167" s="9">
        <v>0.98</v>
      </c>
      <c r="AD167" s="9">
        <v>1.2</v>
      </c>
      <c r="AE167" s="9">
        <v>1.06</v>
      </c>
      <c r="AF167" s="9">
        <v>2.08</v>
      </c>
      <c r="AH167" s="9" t="s">
        <v>173</v>
      </c>
      <c r="AI167" s="10" t="s">
        <v>174</v>
      </c>
      <c r="AJ167" s="9">
        <v>6.37</v>
      </c>
      <c r="AK167" s="9">
        <v>6.74</v>
      </c>
      <c r="AL167" s="9">
        <v>3</v>
      </c>
      <c r="AM167" s="9">
        <v>6.86</v>
      </c>
      <c r="AN167" s="9">
        <v>1.74</v>
      </c>
      <c r="AO167" s="9">
        <v>7.22</v>
      </c>
      <c r="AP167" s="9">
        <v>5.36</v>
      </c>
      <c r="AR167" s="9" t="s">
        <v>175</v>
      </c>
      <c r="AS167" s="10" t="s">
        <v>176</v>
      </c>
      <c r="AT167" s="9">
        <v>2.67</v>
      </c>
      <c r="AU167" s="9">
        <v>1.1399999999999999</v>
      </c>
      <c r="AV167" s="9">
        <v>2.7</v>
      </c>
      <c r="AW167" s="9">
        <v>2</v>
      </c>
      <c r="AX167" s="14"/>
    </row>
    <row r="168" spans="1:50" ht="24" customHeight="1" thickTop="1" thickBot="1" x14ac:dyDescent="0.35">
      <c r="A168" s="63"/>
      <c r="B168" s="76"/>
      <c r="C168" s="25"/>
      <c r="D168" s="86"/>
      <c r="E168" s="36" t="s">
        <v>152</v>
      </c>
      <c r="F168" s="36">
        <v>2</v>
      </c>
      <c r="G168" s="86"/>
      <c r="H168" s="36" t="s">
        <v>200</v>
      </c>
      <c r="I168" s="36">
        <v>2</v>
      </c>
      <c r="J168" s="39"/>
      <c r="K168" s="39"/>
      <c r="L168" s="39"/>
      <c r="M168" s="18"/>
      <c r="O168" s="1">
        <v>5</v>
      </c>
      <c r="P168" s="1">
        <v>1</v>
      </c>
      <c r="Q168" s="1">
        <v>1</v>
      </c>
      <c r="R168" s="1">
        <v>0</v>
      </c>
      <c r="S168" s="14"/>
      <c r="U168" s="9" t="s">
        <v>179</v>
      </c>
      <c r="V168" s="10" t="s">
        <v>180</v>
      </c>
      <c r="W168" s="9">
        <v>8.1999999999999993</v>
      </c>
      <c r="X168" s="9">
        <v>0.84</v>
      </c>
      <c r="Y168" s="9">
        <v>1.07</v>
      </c>
      <c r="Z168" s="9">
        <v>0.65</v>
      </c>
      <c r="AA168" s="9">
        <v>2.75</v>
      </c>
      <c r="AB168" s="9">
        <v>0.81</v>
      </c>
      <c r="AC168" s="9">
        <v>0.91</v>
      </c>
      <c r="AD168" s="9">
        <v>1.03</v>
      </c>
      <c r="AE168" s="9">
        <v>1.1499999999999999</v>
      </c>
      <c r="AF168" s="9">
        <v>1.67</v>
      </c>
      <c r="AH168" s="11" t="s">
        <v>181</v>
      </c>
      <c r="AI168" s="12" t="s">
        <v>182</v>
      </c>
      <c r="AJ168" s="11">
        <v>6.88</v>
      </c>
      <c r="AK168" s="11">
        <v>7.31</v>
      </c>
      <c r="AL168" s="11">
        <v>3</v>
      </c>
      <c r="AM168" s="11">
        <v>7.52</v>
      </c>
      <c r="AN168" s="11">
        <v>2.2400000000000002</v>
      </c>
      <c r="AO168" s="11">
        <v>8.52</v>
      </c>
      <c r="AP168" s="11">
        <v>5.88</v>
      </c>
      <c r="AR168" s="11" t="s">
        <v>183</v>
      </c>
      <c r="AS168" s="12" t="s">
        <v>184</v>
      </c>
      <c r="AT168" s="11">
        <v>3.37</v>
      </c>
      <c r="AU168" s="11">
        <v>1.05</v>
      </c>
      <c r="AV168" s="11">
        <v>2.2999999999999998</v>
      </c>
      <c r="AW168" s="11">
        <v>2</v>
      </c>
      <c r="AX168" s="14"/>
    </row>
    <row r="169" spans="1:50" ht="23.5" customHeight="1" thickTop="1" thickBot="1" x14ac:dyDescent="0.35">
      <c r="A169" s="63"/>
      <c r="B169" s="76"/>
      <c r="C169" s="25"/>
      <c r="D169" s="86"/>
      <c r="E169" s="36" t="s">
        <v>153</v>
      </c>
      <c r="F169" s="36">
        <v>2</v>
      </c>
      <c r="G169" s="86"/>
      <c r="H169" s="36" t="s">
        <v>201</v>
      </c>
      <c r="I169" s="36">
        <v>1</v>
      </c>
      <c r="J169" s="25"/>
      <c r="K169" s="25"/>
      <c r="L169" s="25"/>
      <c r="M169" s="18"/>
      <c r="O169" s="1">
        <v>6</v>
      </c>
      <c r="P169" s="1">
        <v>2</v>
      </c>
      <c r="Q169" s="1">
        <v>1</v>
      </c>
      <c r="R169" s="1">
        <v>1</v>
      </c>
      <c r="S169" s="14"/>
      <c r="U169" s="11" t="s">
        <v>187</v>
      </c>
      <c r="V169" s="12" t="s">
        <v>188</v>
      </c>
      <c r="W169" s="11">
        <v>9.0500000000000007</v>
      </c>
      <c r="X169" s="11">
        <v>0.67</v>
      </c>
      <c r="Y169" s="11">
        <v>1.2</v>
      </c>
      <c r="Z169" s="11">
        <v>0.71</v>
      </c>
      <c r="AA169" s="11">
        <v>2.5</v>
      </c>
      <c r="AB169" s="11">
        <v>0.88</v>
      </c>
      <c r="AC169" s="11">
        <v>0.95</v>
      </c>
      <c r="AD169" s="11">
        <v>1.1499999999999999</v>
      </c>
      <c r="AE169" s="11">
        <v>1.32</v>
      </c>
      <c r="AF169" s="11">
        <v>2.4</v>
      </c>
      <c r="AX169" s="14"/>
    </row>
    <row r="170" spans="1:50" ht="23.5" customHeight="1" thickTop="1" thickBot="1" x14ac:dyDescent="0.35">
      <c r="A170" s="63"/>
      <c r="B170" s="76"/>
      <c r="C170" s="25"/>
      <c r="D170" s="86"/>
      <c r="E170" s="1" t="s">
        <v>156</v>
      </c>
      <c r="F170" s="36">
        <v>2</v>
      </c>
      <c r="G170" s="87"/>
      <c r="H170" s="38" t="s">
        <v>164</v>
      </c>
      <c r="I170" s="38">
        <v>1</v>
      </c>
      <c r="J170" s="36"/>
      <c r="K170" s="25"/>
      <c r="L170" s="25"/>
      <c r="M170" s="18"/>
      <c r="O170" s="1">
        <v>7</v>
      </c>
      <c r="P170" s="1">
        <v>1</v>
      </c>
      <c r="Q170" s="1">
        <v>1</v>
      </c>
      <c r="R170" s="1">
        <v>1</v>
      </c>
      <c r="S170" s="14"/>
      <c r="U170" s="9"/>
      <c r="V170" s="10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X170" s="14"/>
    </row>
    <row r="171" spans="1:50" ht="23.5" customHeight="1" thickTop="1" thickBot="1" x14ac:dyDescent="0.35">
      <c r="A171" s="63"/>
      <c r="B171" s="76"/>
      <c r="C171" s="25"/>
      <c r="D171" s="87"/>
      <c r="E171" s="38" t="s">
        <v>197</v>
      </c>
      <c r="F171" s="38">
        <v>2</v>
      </c>
      <c r="G171" s="39"/>
      <c r="H171" s="39"/>
      <c r="I171" s="39"/>
      <c r="J171" s="36"/>
      <c r="K171" s="36"/>
      <c r="L171" s="25"/>
      <c r="M171" s="18"/>
      <c r="O171" s="1">
        <v>8</v>
      </c>
      <c r="P171" s="1">
        <v>1</v>
      </c>
      <c r="Q171" s="1">
        <v>2</v>
      </c>
      <c r="R171" s="1">
        <v>2</v>
      </c>
      <c r="S171" s="14"/>
      <c r="U171" s="9"/>
      <c r="V171" s="10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X171" s="14"/>
    </row>
    <row r="172" spans="1:50" ht="23" customHeight="1" thickTop="1" x14ac:dyDescent="0.3">
      <c r="A172" s="63"/>
      <c r="B172" s="76"/>
      <c r="C172" s="25"/>
      <c r="D172" s="39"/>
      <c r="E172" s="39"/>
      <c r="F172" s="39"/>
      <c r="G172" s="25"/>
      <c r="H172" s="25"/>
      <c r="I172" s="25"/>
      <c r="J172" s="25"/>
      <c r="K172" s="25"/>
      <c r="L172" s="25"/>
      <c r="M172" s="18"/>
      <c r="O172" s="1">
        <v>9</v>
      </c>
      <c r="P172" s="1">
        <v>1</v>
      </c>
      <c r="Q172" s="1">
        <v>0</v>
      </c>
      <c r="R172" s="1">
        <v>1</v>
      </c>
      <c r="S172" s="14"/>
      <c r="AX172" s="14"/>
    </row>
    <row r="173" spans="1:50" ht="23" customHeight="1" thickBot="1" x14ac:dyDescent="0.35">
      <c r="A173" s="63"/>
      <c r="B173" s="76"/>
      <c r="C173" s="25"/>
      <c r="D173" s="36"/>
      <c r="E173" s="36"/>
      <c r="F173" s="36"/>
      <c r="G173" s="25"/>
      <c r="H173" s="25"/>
      <c r="I173" s="25"/>
      <c r="J173" s="25"/>
      <c r="K173" s="25"/>
      <c r="L173" s="25"/>
      <c r="M173" s="18"/>
      <c r="O173" s="4">
        <v>10</v>
      </c>
      <c r="P173" s="4">
        <v>2</v>
      </c>
      <c r="Q173" s="4">
        <v>0</v>
      </c>
      <c r="R173" s="4">
        <v>2</v>
      </c>
      <c r="S173" s="14"/>
      <c r="AX173" s="14"/>
    </row>
    <row r="174" spans="1:50" ht="23.5" customHeight="1" thickTop="1" thickBot="1" x14ac:dyDescent="0.35">
      <c r="A174" s="63"/>
      <c r="B174" s="8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19"/>
      <c r="N174" s="15"/>
      <c r="O174" s="15"/>
      <c r="P174" s="15"/>
      <c r="Q174" s="15"/>
      <c r="R174" s="15"/>
      <c r="S174" s="16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6"/>
    </row>
    <row r="175" spans="1:50" ht="15" customHeight="1" thickTop="1" thickBot="1" x14ac:dyDescent="0.35">
      <c r="A175" s="63"/>
      <c r="B175" s="89" t="s">
        <v>117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17"/>
      <c r="N175" s="24"/>
      <c r="O175" s="24"/>
      <c r="P175" s="24"/>
      <c r="Q175" s="24"/>
      <c r="R175" s="24"/>
      <c r="S175" s="17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17"/>
    </row>
    <row r="176" spans="1:50" ht="16" customHeight="1" thickTop="1" thickBot="1" x14ac:dyDescent="0.35">
      <c r="A176" s="63"/>
      <c r="B176" s="76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17"/>
      <c r="N176" s="24"/>
      <c r="O176" s="82" t="s">
        <v>205</v>
      </c>
      <c r="P176" s="82" t="s">
        <v>206</v>
      </c>
      <c r="Q176" s="83"/>
      <c r="R176" s="83"/>
      <c r="S176" s="17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17"/>
    </row>
    <row r="177" spans="1:50" ht="31" customHeight="1" thickTop="1" thickBot="1" x14ac:dyDescent="0.35">
      <c r="A177" s="63"/>
      <c r="B177" s="76"/>
      <c r="C177" s="24"/>
      <c r="D177" s="27" t="s">
        <v>191</v>
      </c>
      <c r="E177" s="27" t="s">
        <v>192</v>
      </c>
      <c r="F177" s="27" t="s">
        <v>193</v>
      </c>
      <c r="G177" s="27" t="s">
        <v>191</v>
      </c>
      <c r="H177" s="27" t="s">
        <v>192</v>
      </c>
      <c r="I177" s="27" t="s">
        <v>193</v>
      </c>
      <c r="J177" s="27" t="s">
        <v>191</v>
      </c>
      <c r="K177" s="27" t="s">
        <v>192</v>
      </c>
      <c r="L177" s="27" t="s">
        <v>193</v>
      </c>
      <c r="M177" s="17"/>
      <c r="N177" s="24"/>
      <c r="O177" s="84"/>
      <c r="P177" s="2" t="s">
        <v>178</v>
      </c>
      <c r="Q177" s="2" t="s">
        <v>186</v>
      </c>
      <c r="R177" s="2" t="s">
        <v>190</v>
      </c>
      <c r="S177" s="1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17"/>
    </row>
    <row r="178" spans="1:50" ht="23" customHeight="1" thickTop="1" x14ac:dyDescent="0.3">
      <c r="A178" s="63"/>
      <c r="B178" s="76"/>
      <c r="C178" s="33"/>
      <c r="D178" s="88" t="s">
        <v>194</v>
      </c>
      <c r="E178" s="36" t="s">
        <v>148</v>
      </c>
      <c r="F178" s="36">
        <v>5</v>
      </c>
      <c r="G178" s="85" t="s">
        <v>198</v>
      </c>
      <c r="H178" s="36" t="s">
        <v>158</v>
      </c>
      <c r="I178" s="36">
        <v>2</v>
      </c>
      <c r="J178" s="85" t="s">
        <v>202</v>
      </c>
      <c r="K178" s="36" t="s">
        <v>203</v>
      </c>
      <c r="L178" s="36">
        <v>3</v>
      </c>
      <c r="M178" s="18"/>
      <c r="N178" s="13"/>
      <c r="O178" s="1">
        <v>1</v>
      </c>
      <c r="P178" s="1">
        <v>1</v>
      </c>
      <c r="Q178" s="1">
        <v>0</v>
      </c>
      <c r="R178" s="1">
        <v>1</v>
      </c>
      <c r="S178" s="14"/>
      <c r="T178" s="13"/>
      <c r="U178" s="24"/>
      <c r="AX178" s="14"/>
    </row>
    <row r="179" spans="1:50" ht="23" customHeight="1" thickBot="1" x14ac:dyDescent="0.35">
      <c r="A179" s="63"/>
      <c r="B179" s="76"/>
      <c r="C179" s="25"/>
      <c r="D179" s="86"/>
      <c r="E179" s="36" t="s">
        <v>195</v>
      </c>
      <c r="F179" s="36">
        <v>2</v>
      </c>
      <c r="G179" s="86"/>
      <c r="H179" s="36" t="s">
        <v>159</v>
      </c>
      <c r="I179" s="36">
        <v>2</v>
      </c>
      <c r="J179" s="86"/>
      <c r="K179" s="36" t="s">
        <v>166</v>
      </c>
      <c r="L179" s="36">
        <v>3</v>
      </c>
      <c r="M179" s="18"/>
      <c r="O179" s="1">
        <v>2</v>
      </c>
      <c r="P179" s="1">
        <v>2</v>
      </c>
      <c r="Q179" s="1">
        <v>4</v>
      </c>
      <c r="R179" s="1">
        <v>1</v>
      </c>
      <c r="S179" s="14"/>
      <c r="Z179" s="23" t="s">
        <v>194</v>
      </c>
      <c r="AK179" s="23" t="s">
        <v>198</v>
      </c>
      <c r="AT179" s="23" t="s">
        <v>202</v>
      </c>
      <c r="AX179" s="14"/>
    </row>
    <row r="180" spans="1:50" ht="25" customHeight="1" thickTop="1" thickBot="1" x14ac:dyDescent="0.35">
      <c r="A180" s="63"/>
      <c r="B180" s="76"/>
      <c r="C180" s="25"/>
      <c r="D180" s="86"/>
      <c r="E180" s="36" t="s">
        <v>196</v>
      </c>
      <c r="F180" s="36">
        <v>2</v>
      </c>
      <c r="G180" s="86"/>
      <c r="H180" s="36" t="s">
        <v>160</v>
      </c>
      <c r="I180" s="36">
        <v>2</v>
      </c>
      <c r="J180" s="86"/>
      <c r="K180" s="36" t="s">
        <v>167</v>
      </c>
      <c r="L180" s="36">
        <v>3</v>
      </c>
      <c r="M180" s="18"/>
      <c r="O180" s="1">
        <v>3</v>
      </c>
      <c r="P180" s="1">
        <v>0</v>
      </c>
      <c r="Q180" s="1">
        <v>1</v>
      </c>
      <c r="R180" s="1">
        <v>1</v>
      </c>
      <c r="S180" s="14"/>
      <c r="U180" s="7" t="s">
        <v>146</v>
      </c>
      <c r="V180" s="7" t="s">
        <v>147</v>
      </c>
      <c r="W180" s="7" t="s">
        <v>148</v>
      </c>
      <c r="X180" s="7" t="s">
        <v>149</v>
      </c>
      <c r="Y180" s="7" t="s">
        <v>150</v>
      </c>
      <c r="Z180" s="8" t="s">
        <v>151</v>
      </c>
      <c r="AA180" s="7" t="s">
        <v>152</v>
      </c>
      <c r="AB180" s="7" t="s">
        <v>153</v>
      </c>
      <c r="AC180" s="7" t="s">
        <v>154</v>
      </c>
      <c r="AD180" s="7" t="s">
        <v>155</v>
      </c>
      <c r="AE180" s="8" t="s">
        <v>156</v>
      </c>
      <c r="AF180" s="7" t="s">
        <v>157</v>
      </c>
      <c r="AH180" s="7" t="s">
        <v>146</v>
      </c>
      <c r="AI180" s="7" t="s">
        <v>147</v>
      </c>
      <c r="AJ180" s="7" t="s">
        <v>158</v>
      </c>
      <c r="AK180" s="7" t="s">
        <v>159</v>
      </c>
      <c r="AL180" s="7" t="s">
        <v>160</v>
      </c>
      <c r="AM180" s="7" t="s">
        <v>161</v>
      </c>
      <c r="AN180" s="7" t="s">
        <v>162</v>
      </c>
      <c r="AO180" s="7" t="s">
        <v>163</v>
      </c>
      <c r="AP180" s="7" t="s">
        <v>164</v>
      </c>
      <c r="AR180" s="7" t="s">
        <v>146</v>
      </c>
      <c r="AS180" s="7" t="s">
        <v>147</v>
      </c>
      <c r="AT180" s="7" t="s">
        <v>165</v>
      </c>
      <c r="AU180" s="7" t="s">
        <v>166</v>
      </c>
      <c r="AV180" s="7" t="s">
        <v>167</v>
      </c>
      <c r="AW180" s="7" t="s">
        <v>168</v>
      </c>
      <c r="AX180" s="14"/>
    </row>
    <row r="181" spans="1:50" ht="24" customHeight="1" thickTop="1" thickBot="1" x14ac:dyDescent="0.35">
      <c r="A181" s="63"/>
      <c r="B181" s="76"/>
      <c r="C181" s="25"/>
      <c r="D181" s="86"/>
      <c r="E181" s="1" t="s">
        <v>151</v>
      </c>
      <c r="F181" s="36">
        <v>2</v>
      </c>
      <c r="G181" s="86"/>
      <c r="H181" s="36" t="s">
        <v>199</v>
      </c>
      <c r="I181" s="36">
        <v>2</v>
      </c>
      <c r="J181" s="87"/>
      <c r="K181" s="38" t="s">
        <v>168</v>
      </c>
      <c r="L181" s="38">
        <v>2</v>
      </c>
      <c r="M181" s="18"/>
      <c r="O181" s="1">
        <v>4</v>
      </c>
      <c r="P181" s="1">
        <v>0</v>
      </c>
      <c r="Q181" s="1">
        <v>2</v>
      </c>
      <c r="R181" s="1">
        <v>0</v>
      </c>
      <c r="S181" s="14"/>
      <c r="U181" s="9" t="s">
        <v>171</v>
      </c>
      <c r="V181" s="10" t="s">
        <v>172</v>
      </c>
      <c r="W181" s="9">
        <v>7.54</v>
      </c>
      <c r="X181" s="9">
        <v>0.81</v>
      </c>
      <c r="Y181" s="9">
        <v>1.1599999999999999</v>
      </c>
      <c r="Z181" s="9">
        <v>0.63</v>
      </c>
      <c r="AA181" s="9">
        <v>2.8</v>
      </c>
      <c r="AB181" s="9">
        <v>0.84</v>
      </c>
      <c r="AC181" s="9">
        <v>0.96</v>
      </c>
      <c r="AD181" s="9">
        <v>1.1200000000000001</v>
      </c>
      <c r="AE181" s="9">
        <v>1.3</v>
      </c>
      <c r="AF181" s="9">
        <v>1.89</v>
      </c>
      <c r="AH181" s="9" t="s">
        <v>173</v>
      </c>
      <c r="AI181" s="10" t="s">
        <v>174</v>
      </c>
      <c r="AJ181" s="9">
        <v>6.11</v>
      </c>
      <c r="AK181" s="9">
        <v>6.51</v>
      </c>
      <c r="AL181" s="9">
        <v>3</v>
      </c>
      <c r="AM181" s="9">
        <v>6.04</v>
      </c>
      <c r="AN181" s="9">
        <v>1.51</v>
      </c>
      <c r="AO181" s="9">
        <v>7.01</v>
      </c>
      <c r="AP181" s="9">
        <v>5.01</v>
      </c>
      <c r="AR181" s="9" t="s">
        <v>175</v>
      </c>
      <c r="AS181" s="10" t="s">
        <v>176</v>
      </c>
      <c r="AT181" s="9">
        <v>3.05</v>
      </c>
      <c r="AU181" s="9">
        <v>1.24</v>
      </c>
      <c r="AV181" s="9">
        <v>2.2000000000000002</v>
      </c>
      <c r="AW181" s="9">
        <v>2</v>
      </c>
      <c r="AX181" s="14"/>
    </row>
    <row r="182" spans="1:50" ht="24" customHeight="1" thickTop="1" thickBot="1" x14ac:dyDescent="0.35">
      <c r="A182" s="63"/>
      <c r="B182" s="76"/>
      <c r="C182" s="25"/>
      <c r="D182" s="86"/>
      <c r="E182" s="36" t="s">
        <v>152</v>
      </c>
      <c r="F182" s="36">
        <v>2</v>
      </c>
      <c r="G182" s="86"/>
      <c r="H182" s="36" t="s">
        <v>200</v>
      </c>
      <c r="I182" s="36">
        <v>2</v>
      </c>
      <c r="J182" s="39"/>
      <c r="K182" s="39"/>
      <c r="L182" s="39"/>
      <c r="M182" s="18"/>
      <c r="O182" s="1">
        <v>5</v>
      </c>
      <c r="P182" s="1">
        <v>1</v>
      </c>
      <c r="Q182" s="1">
        <v>1</v>
      </c>
      <c r="R182" s="1">
        <v>1</v>
      </c>
      <c r="S182" s="14"/>
      <c r="U182" s="9" t="s">
        <v>179</v>
      </c>
      <c r="V182" s="10" t="s">
        <v>180</v>
      </c>
      <c r="W182" s="9">
        <v>8.6199999999999992</v>
      </c>
      <c r="X182" s="9">
        <v>0.75</v>
      </c>
      <c r="Y182" s="9">
        <v>1.03</v>
      </c>
      <c r="Z182" s="9">
        <v>0.59</v>
      </c>
      <c r="AA182" s="9">
        <v>2.5</v>
      </c>
      <c r="AB182" s="9">
        <v>0.8</v>
      </c>
      <c r="AC182" s="9">
        <v>0.98</v>
      </c>
      <c r="AD182" s="9">
        <v>1.07</v>
      </c>
      <c r="AE182" s="9">
        <v>1.02</v>
      </c>
      <c r="AF182" s="9">
        <v>2.2999999999999998</v>
      </c>
      <c r="AH182" s="11" t="s">
        <v>181</v>
      </c>
      <c r="AI182" s="12" t="s">
        <v>182</v>
      </c>
      <c r="AJ182" s="11">
        <v>6.97</v>
      </c>
      <c r="AK182" s="11">
        <v>7.41</v>
      </c>
      <c r="AL182" s="11">
        <v>3</v>
      </c>
      <c r="AM182" s="11">
        <v>7.93</v>
      </c>
      <c r="AN182" s="11">
        <v>2.41</v>
      </c>
      <c r="AO182" s="11">
        <v>8.93</v>
      </c>
      <c r="AP182" s="11">
        <v>5.97</v>
      </c>
      <c r="AR182" s="11" t="s">
        <v>183</v>
      </c>
      <c r="AS182" s="12" t="s">
        <v>184</v>
      </c>
      <c r="AT182" s="11">
        <v>2.86</v>
      </c>
      <c r="AU182" s="11">
        <v>1.01</v>
      </c>
      <c r="AV182" s="11">
        <v>2.85</v>
      </c>
      <c r="AW182" s="11">
        <v>2</v>
      </c>
      <c r="AX182" s="14"/>
    </row>
    <row r="183" spans="1:50" ht="23.5" customHeight="1" thickTop="1" thickBot="1" x14ac:dyDescent="0.35">
      <c r="A183" s="63"/>
      <c r="B183" s="76"/>
      <c r="C183" s="25"/>
      <c r="D183" s="86"/>
      <c r="E183" s="36" t="s">
        <v>153</v>
      </c>
      <c r="F183" s="36">
        <v>2</v>
      </c>
      <c r="G183" s="86"/>
      <c r="H183" s="36" t="s">
        <v>201</v>
      </c>
      <c r="I183" s="36">
        <v>1</v>
      </c>
      <c r="J183" s="25"/>
      <c r="K183" s="25"/>
      <c r="L183" s="25"/>
      <c r="M183" s="18"/>
      <c r="O183" s="1">
        <v>6</v>
      </c>
      <c r="P183" s="1">
        <v>2</v>
      </c>
      <c r="Q183" s="1">
        <v>1</v>
      </c>
      <c r="R183" s="1">
        <v>1</v>
      </c>
      <c r="S183" s="14"/>
      <c r="U183" s="11" t="s">
        <v>187</v>
      </c>
      <c r="V183" s="12" t="s">
        <v>188</v>
      </c>
      <c r="W183" s="11">
        <v>9.2200000000000006</v>
      </c>
      <c r="X183" s="11">
        <v>0.72</v>
      </c>
      <c r="Y183" s="11">
        <v>1.25</v>
      </c>
      <c r="Z183" s="11">
        <v>0.75</v>
      </c>
      <c r="AA183" s="11">
        <v>2.69</v>
      </c>
      <c r="AB183" s="11">
        <v>0.82</v>
      </c>
      <c r="AC183" s="11">
        <v>0.91</v>
      </c>
      <c r="AD183" s="11">
        <v>1.2</v>
      </c>
      <c r="AE183" s="11">
        <v>1.38</v>
      </c>
      <c r="AF183" s="11">
        <v>1.5</v>
      </c>
      <c r="AX183" s="14"/>
    </row>
    <row r="184" spans="1:50" ht="23.5" customHeight="1" thickTop="1" thickBot="1" x14ac:dyDescent="0.35">
      <c r="A184" s="63"/>
      <c r="B184" s="76"/>
      <c r="C184" s="25"/>
      <c r="D184" s="86"/>
      <c r="E184" s="1" t="s">
        <v>156</v>
      </c>
      <c r="F184" s="36">
        <v>2</v>
      </c>
      <c r="G184" s="87"/>
      <c r="H184" s="38" t="s">
        <v>164</v>
      </c>
      <c r="I184" s="38">
        <v>1</v>
      </c>
      <c r="J184" s="36"/>
      <c r="K184" s="25"/>
      <c r="L184" s="25"/>
      <c r="M184" s="18"/>
      <c r="O184" s="1">
        <v>7</v>
      </c>
      <c r="P184" s="1">
        <v>1</v>
      </c>
      <c r="Q184" s="1">
        <v>1</v>
      </c>
      <c r="R184" s="1">
        <v>1</v>
      </c>
      <c r="S184" s="14"/>
      <c r="U184" s="9"/>
      <c r="V184" s="10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X184" s="14"/>
    </row>
    <row r="185" spans="1:50" ht="23.5" customHeight="1" thickTop="1" thickBot="1" x14ac:dyDescent="0.35">
      <c r="A185" s="63"/>
      <c r="B185" s="76"/>
      <c r="C185" s="25"/>
      <c r="D185" s="87"/>
      <c r="E185" s="38" t="s">
        <v>197</v>
      </c>
      <c r="F185" s="38">
        <v>2</v>
      </c>
      <c r="G185" s="39"/>
      <c r="H185" s="39"/>
      <c r="I185" s="39"/>
      <c r="J185" s="36"/>
      <c r="K185" s="36"/>
      <c r="L185" s="25"/>
      <c r="M185" s="18"/>
      <c r="O185" s="1">
        <v>8</v>
      </c>
      <c r="P185" s="1">
        <v>1</v>
      </c>
      <c r="Q185" s="1">
        <v>1</v>
      </c>
      <c r="R185" s="1">
        <v>3</v>
      </c>
      <c r="S185" s="14"/>
      <c r="U185" s="9"/>
      <c r="V185" s="10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X185" s="14"/>
    </row>
    <row r="186" spans="1:50" ht="23" customHeight="1" thickTop="1" x14ac:dyDescent="0.3">
      <c r="A186" s="63"/>
      <c r="B186" s="76"/>
      <c r="C186" s="25"/>
      <c r="D186" s="39"/>
      <c r="E186" s="39"/>
      <c r="F186" s="39"/>
      <c r="G186" s="25"/>
      <c r="H186" s="25"/>
      <c r="I186" s="25"/>
      <c r="J186" s="25"/>
      <c r="K186" s="25"/>
      <c r="L186" s="25"/>
      <c r="M186" s="18"/>
      <c r="O186" s="1">
        <v>9</v>
      </c>
      <c r="P186" s="1">
        <v>1</v>
      </c>
      <c r="Q186" s="1">
        <v>1</v>
      </c>
      <c r="R186" s="1">
        <v>1</v>
      </c>
      <c r="S186" s="14"/>
      <c r="AX186" s="14"/>
    </row>
    <row r="187" spans="1:50" ht="23" customHeight="1" thickBot="1" x14ac:dyDescent="0.35">
      <c r="A187" s="63"/>
      <c r="B187" s="76"/>
      <c r="C187" s="25"/>
      <c r="D187" s="36"/>
      <c r="E187" s="36"/>
      <c r="F187" s="36"/>
      <c r="G187" s="25"/>
      <c r="H187" s="25"/>
      <c r="I187" s="25"/>
      <c r="J187" s="25"/>
      <c r="K187" s="25"/>
      <c r="L187" s="25"/>
      <c r="M187" s="18"/>
      <c r="O187" s="4">
        <v>10</v>
      </c>
      <c r="P187" s="4">
        <v>2</v>
      </c>
      <c r="Q187" s="4">
        <v>1</v>
      </c>
      <c r="R187" s="4">
        <v>2</v>
      </c>
      <c r="S187" s="14"/>
      <c r="AX187" s="14"/>
    </row>
    <row r="188" spans="1:50" ht="23.5" customHeight="1" thickTop="1" thickBot="1" x14ac:dyDescent="0.35">
      <c r="A188" s="63"/>
      <c r="B188" s="81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19"/>
      <c r="N188" s="15"/>
      <c r="O188" s="15"/>
      <c r="P188" s="15"/>
      <c r="Q188" s="15"/>
      <c r="R188" s="15"/>
      <c r="S188" s="16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6"/>
    </row>
    <row r="189" spans="1:50" ht="15" customHeight="1" thickTop="1" thickBot="1" x14ac:dyDescent="0.35">
      <c r="A189" s="63"/>
      <c r="B189" s="89" t="s">
        <v>118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17"/>
      <c r="N189" s="24"/>
      <c r="O189" s="24"/>
      <c r="P189" s="24"/>
      <c r="Q189" s="24"/>
      <c r="R189" s="24"/>
      <c r="S189" s="1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17"/>
    </row>
    <row r="190" spans="1:50" ht="16" customHeight="1" thickTop="1" thickBot="1" x14ac:dyDescent="0.35">
      <c r="A190" s="63"/>
      <c r="B190" s="76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17"/>
      <c r="N190" s="24"/>
      <c r="O190" s="82" t="s">
        <v>205</v>
      </c>
      <c r="P190" s="82" t="s">
        <v>206</v>
      </c>
      <c r="Q190" s="83"/>
      <c r="R190" s="83"/>
      <c r="S190" s="1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17"/>
    </row>
    <row r="191" spans="1:50" ht="31" customHeight="1" thickTop="1" thickBot="1" x14ac:dyDescent="0.35">
      <c r="A191" s="63"/>
      <c r="B191" s="76"/>
      <c r="C191" s="24"/>
      <c r="D191" s="27" t="s">
        <v>191</v>
      </c>
      <c r="E191" s="27" t="s">
        <v>192</v>
      </c>
      <c r="F191" s="27" t="s">
        <v>193</v>
      </c>
      <c r="G191" s="27" t="s">
        <v>191</v>
      </c>
      <c r="H191" s="27" t="s">
        <v>192</v>
      </c>
      <c r="I191" s="27" t="s">
        <v>193</v>
      </c>
      <c r="J191" s="27" t="s">
        <v>191</v>
      </c>
      <c r="K191" s="27" t="s">
        <v>192</v>
      </c>
      <c r="L191" s="27" t="s">
        <v>193</v>
      </c>
      <c r="M191" s="17"/>
      <c r="N191" s="24"/>
      <c r="O191" s="84"/>
      <c r="P191" s="2" t="s">
        <v>178</v>
      </c>
      <c r="Q191" s="2" t="s">
        <v>186</v>
      </c>
      <c r="R191" s="2" t="s">
        <v>190</v>
      </c>
      <c r="S191" s="17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17"/>
    </row>
    <row r="192" spans="1:50" ht="23" customHeight="1" thickTop="1" x14ac:dyDescent="0.3">
      <c r="A192" s="63"/>
      <c r="B192" s="76"/>
      <c r="C192" s="33"/>
      <c r="D192" s="88" t="s">
        <v>194</v>
      </c>
      <c r="E192" s="36" t="s">
        <v>148</v>
      </c>
      <c r="F192" s="36">
        <v>6</v>
      </c>
      <c r="G192" s="85" t="s">
        <v>198</v>
      </c>
      <c r="H192" s="36" t="s">
        <v>158</v>
      </c>
      <c r="I192" s="36">
        <v>2</v>
      </c>
      <c r="J192" s="85" t="s">
        <v>202</v>
      </c>
      <c r="K192" s="36" t="s">
        <v>203</v>
      </c>
      <c r="L192" s="36">
        <v>3</v>
      </c>
      <c r="M192" s="18"/>
      <c r="N192" s="13"/>
      <c r="O192" s="1">
        <v>1</v>
      </c>
      <c r="P192" s="1">
        <v>1</v>
      </c>
      <c r="Q192" s="1">
        <v>2</v>
      </c>
      <c r="R192" s="1">
        <v>0</v>
      </c>
      <c r="S192" s="14"/>
      <c r="T192" s="13"/>
      <c r="U192" s="24"/>
      <c r="AX192" s="14"/>
    </row>
    <row r="193" spans="1:50" ht="23" customHeight="1" thickBot="1" x14ac:dyDescent="0.35">
      <c r="A193" s="63"/>
      <c r="B193" s="76"/>
      <c r="C193" s="25"/>
      <c r="D193" s="86"/>
      <c r="E193" s="36" t="s">
        <v>195</v>
      </c>
      <c r="F193" s="36">
        <v>2</v>
      </c>
      <c r="G193" s="86"/>
      <c r="H193" s="36" t="s">
        <v>159</v>
      </c>
      <c r="I193" s="36">
        <v>2</v>
      </c>
      <c r="J193" s="86"/>
      <c r="K193" s="36" t="s">
        <v>166</v>
      </c>
      <c r="L193" s="36">
        <v>3</v>
      </c>
      <c r="M193" s="18"/>
      <c r="O193" s="1">
        <v>2</v>
      </c>
      <c r="P193" s="1">
        <v>1</v>
      </c>
      <c r="Q193" s="1">
        <v>2</v>
      </c>
      <c r="R193" s="1">
        <v>1</v>
      </c>
      <c r="S193" s="14"/>
      <c r="Z193" s="23" t="s">
        <v>194</v>
      </c>
      <c r="AK193" s="23" t="s">
        <v>198</v>
      </c>
      <c r="AT193" s="23" t="s">
        <v>202</v>
      </c>
      <c r="AX193" s="14"/>
    </row>
    <row r="194" spans="1:50" ht="25" customHeight="1" thickTop="1" thickBot="1" x14ac:dyDescent="0.35">
      <c r="A194" s="63"/>
      <c r="B194" s="76"/>
      <c r="C194" s="25"/>
      <c r="D194" s="86"/>
      <c r="E194" s="36" t="s">
        <v>196</v>
      </c>
      <c r="F194" s="36">
        <v>2</v>
      </c>
      <c r="G194" s="86"/>
      <c r="H194" s="36" t="s">
        <v>160</v>
      </c>
      <c r="I194" s="36">
        <v>2</v>
      </c>
      <c r="J194" s="86"/>
      <c r="K194" s="36" t="s">
        <v>167</v>
      </c>
      <c r="L194" s="36">
        <v>2</v>
      </c>
      <c r="M194" s="18"/>
      <c r="O194" s="1">
        <v>3</v>
      </c>
      <c r="P194" s="1">
        <v>0</v>
      </c>
      <c r="Q194" s="1">
        <v>1</v>
      </c>
      <c r="R194" s="1">
        <v>1</v>
      </c>
      <c r="S194" s="14"/>
      <c r="U194" s="7" t="s">
        <v>146</v>
      </c>
      <c r="V194" s="7" t="s">
        <v>147</v>
      </c>
      <c r="W194" s="7" t="s">
        <v>148</v>
      </c>
      <c r="X194" s="7" t="s">
        <v>149</v>
      </c>
      <c r="Y194" s="7" t="s">
        <v>150</v>
      </c>
      <c r="Z194" s="8" t="s">
        <v>151</v>
      </c>
      <c r="AA194" s="7" t="s">
        <v>152</v>
      </c>
      <c r="AB194" s="7" t="s">
        <v>153</v>
      </c>
      <c r="AC194" s="7" t="s">
        <v>154</v>
      </c>
      <c r="AD194" s="7" t="s">
        <v>155</v>
      </c>
      <c r="AE194" s="8" t="s">
        <v>156</v>
      </c>
      <c r="AF194" s="7" t="s">
        <v>157</v>
      </c>
      <c r="AH194" s="7" t="s">
        <v>146</v>
      </c>
      <c r="AI194" s="7" t="s">
        <v>147</v>
      </c>
      <c r="AJ194" s="7" t="s">
        <v>158</v>
      </c>
      <c r="AK194" s="7" t="s">
        <v>159</v>
      </c>
      <c r="AL194" s="7" t="s">
        <v>160</v>
      </c>
      <c r="AM194" s="7" t="s">
        <v>161</v>
      </c>
      <c r="AN194" s="7" t="s">
        <v>162</v>
      </c>
      <c r="AO194" s="7" t="s">
        <v>163</v>
      </c>
      <c r="AP194" s="7" t="s">
        <v>164</v>
      </c>
      <c r="AR194" s="7" t="s">
        <v>146</v>
      </c>
      <c r="AS194" s="7" t="s">
        <v>147</v>
      </c>
      <c r="AT194" s="7" t="s">
        <v>165</v>
      </c>
      <c r="AU194" s="7" t="s">
        <v>166</v>
      </c>
      <c r="AV194" s="7" t="s">
        <v>167</v>
      </c>
      <c r="AW194" s="7" t="s">
        <v>168</v>
      </c>
      <c r="AX194" s="14"/>
    </row>
    <row r="195" spans="1:50" ht="24" customHeight="1" thickTop="1" thickBot="1" x14ac:dyDescent="0.35">
      <c r="A195" s="63"/>
      <c r="B195" s="76"/>
      <c r="C195" s="25"/>
      <c r="D195" s="86"/>
      <c r="E195" s="1" t="s">
        <v>151</v>
      </c>
      <c r="F195" s="36">
        <v>2</v>
      </c>
      <c r="G195" s="86"/>
      <c r="H195" s="36" t="s">
        <v>199</v>
      </c>
      <c r="I195" s="36">
        <v>2</v>
      </c>
      <c r="J195" s="87"/>
      <c r="K195" s="38" t="s">
        <v>168</v>
      </c>
      <c r="L195" s="38">
        <v>2</v>
      </c>
      <c r="M195" s="18"/>
      <c r="O195" s="1">
        <v>4</v>
      </c>
      <c r="P195" s="1">
        <v>1</v>
      </c>
      <c r="Q195" s="1">
        <v>2</v>
      </c>
      <c r="R195" s="1">
        <v>0</v>
      </c>
      <c r="S195" s="14"/>
      <c r="U195" s="9" t="s">
        <v>171</v>
      </c>
      <c r="V195" s="10" t="s">
        <v>172</v>
      </c>
      <c r="W195" s="9">
        <v>7.15</v>
      </c>
      <c r="X195" s="9">
        <v>0.78</v>
      </c>
      <c r="Y195" s="9">
        <v>1.1000000000000001</v>
      </c>
      <c r="Z195" s="9">
        <v>0.68</v>
      </c>
      <c r="AA195" s="9">
        <v>2.5</v>
      </c>
      <c r="AB195" s="9">
        <v>0.89</v>
      </c>
      <c r="AC195" s="9">
        <v>0.94</v>
      </c>
      <c r="AD195" s="9">
        <v>1.1499999999999999</v>
      </c>
      <c r="AE195" s="9">
        <v>1.28</v>
      </c>
      <c r="AF195" s="9">
        <v>2.16</v>
      </c>
      <c r="AH195" s="9" t="s">
        <v>173</v>
      </c>
      <c r="AI195" s="10" t="s">
        <v>174</v>
      </c>
      <c r="AJ195" s="9">
        <v>6.55</v>
      </c>
      <c r="AK195" s="9">
        <v>6.87</v>
      </c>
      <c r="AL195" s="9">
        <v>3</v>
      </c>
      <c r="AM195" s="9">
        <v>6.44</v>
      </c>
      <c r="AN195" s="9">
        <v>1.87</v>
      </c>
      <c r="AO195" s="9">
        <v>7.64</v>
      </c>
      <c r="AP195" s="9">
        <v>5.45</v>
      </c>
      <c r="AR195" s="9" t="s">
        <v>175</v>
      </c>
      <c r="AS195" s="10" t="s">
        <v>176</v>
      </c>
      <c r="AT195" s="9">
        <v>3.33</v>
      </c>
      <c r="AU195" s="9">
        <v>1.1200000000000001</v>
      </c>
      <c r="AV195" s="9">
        <v>2.5499999999999998</v>
      </c>
      <c r="AW195" s="9">
        <v>2</v>
      </c>
      <c r="AX195" s="14"/>
    </row>
    <row r="196" spans="1:50" ht="24" customHeight="1" thickTop="1" thickBot="1" x14ac:dyDescent="0.35">
      <c r="A196" s="63"/>
      <c r="B196" s="76"/>
      <c r="C196" s="25"/>
      <c r="D196" s="86"/>
      <c r="E196" s="36" t="s">
        <v>152</v>
      </c>
      <c r="F196" s="36">
        <v>2</v>
      </c>
      <c r="G196" s="86"/>
      <c r="H196" s="36" t="s">
        <v>200</v>
      </c>
      <c r="I196" s="36">
        <v>2</v>
      </c>
      <c r="J196" s="39"/>
      <c r="K196" s="39"/>
      <c r="L196" s="39"/>
      <c r="M196" s="18"/>
      <c r="O196" s="1">
        <v>5</v>
      </c>
      <c r="P196" s="1">
        <v>1</v>
      </c>
      <c r="Q196" s="1">
        <v>2</v>
      </c>
      <c r="R196" s="1">
        <v>1</v>
      </c>
      <c r="S196" s="14"/>
      <c r="U196" s="9" t="s">
        <v>179</v>
      </c>
      <c r="V196" s="10" t="s">
        <v>180</v>
      </c>
      <c r="W196" s="9">
        <v>8.5299999999999994</v>
      </c>
      <c r="X196" s="9">
        <v>0.65</v>
      </c>
      <c r="Y196" s="9">
        <v>1.04</v>
      </c>
      <c r="Z196" s="9">
        <v>0.61</v>
      </c>
      <c r="AA196" s="9">
        <v>2.9</v>
      </c>
      <c r="AB196" s="9">
        <v>0.83</v>
      </c>
      <c r="AC196" s="9">
        <v>0.99</v>
      </c>
      <c r="AD196" s="9">
        <v>1</v>
      </c>
      <c r="AE196" s="9">
        <v>1.1100000000000001</v>
      </c>
      <c r="AF196" s="9">
        <v>1.6</v>
      </c>
      <c r="AH196" s="11" t="s">
        <v>181</v>
      </c>
      <c r="AI196" s="12" t="s">
        <v>182</v>
      </c>
      <c r="AJ196" s="11">
        <v>6.79</v>
      </c>
      <c r="AK196" s="11">
        <v>7.23</v>
      </c>
      <c r="AL196" s="11">
        <v>3</v>
      </c>
      <c r="AM196" s="11">
        <v>7.24</v>
      </c>
      <c r="AN196" s="11">
        <v>2.17</v>
      </c>
      <c r="AO196" s="11">
        <v>8.24</v>
      </c>
      <c r="AP196" s="11">
        <v>5.69</v>
      </c>
      <c r="AR196" s="11" t="s">
        <v>183</v>
      </c>
      <c r="AS196" s="12" t="s">
        <v>184</v>
      </c>
      <c r="AT196" s="11">
        <v>2.54</v>
      </c>
      <c r="AU196" s="11">
        <v>1.17</v>
      </c>
      <c r="AV196" s="11">
        <v>2.4</v>
      </c>
      <c r="AW196" s="11">
        <v>2</v>
      </c>
      <c r="AX196" s="14"/>
    </row>
    <row r="197" spans="1:50" ht="23.5" customHeight="1" thickTop="1" thickBot="1" x14ac:dyDescent="0.35">
      <c r="A197" s="63"/>
      <c r="B197" s="76"/>
      <c r="C197" s="25"/>
      <c r="D197" s="86"/>
      <c r="E197" s="36" t="s">
        <v>153</v>
      </c>
      <c r="F197" s="36">
        <v>2</v>
      </c>
      <c r="G197" s="86"/>
      <c r="H197" s="36" t="s">
        <v>201</v>
      </c>
      <c r="I197" s="36">
        <v>2</v>
      </c>
      <c r="J197" s="25"/>
      <c r="K197" s="25"/>
      <c r="L197" s="25"/>
      <c r="M197" s="18"/>
      <c r="O197" s="1">
        <v>6</v>
      </c>
      <c r="P197" s="1">
        <v>2</v>
      </c>
      <c r="Q197" s="1">
        <v>1</v>
      </c>
      <c r="R197" s="1">
        <v>1</v>
      </c>
      <c r="S197" s="14"/>
      <c r="U197" s="11" t="s">
        <v>187</v>
      </c>
      <c r="V197" s="12" t="s">
        <v>188</v>
      </c>
      <c r="W197" s="11">
        <v>9.18</v>
      </c>
      <c r="X197" s="11">
        <v>0.85</v>
      </c>
      <c r="Y197" s="11">
        <v>1.23</v>
      </c>
      <c r="Z197" s="11">
        <v>0.72</v>
      </c>
      <c r="AA197" s="11">
        <v>2.5</v>
      </c>
      <c r="AB197" s="11">
        <v>0.81</v>
      </c>
      <c r="AC197" s="11">
        <v>0.93</v>
      </c>
      <c r="AD197" s="11">
        <v>1.2</v>
      </c>
      <c r="AE197" s="11">
        <v>1.4</v>
      </c>
      <c r="AF197" s="11">
        <v>2.2000000000000002</v>
      </c>
      <c r="AX197" s="14"/>
    </row>
    <row r="198" spans="1:50" ht="23.5" customHeight="1" thickTop="1" thickBot="1" x14ac:dyDescent="0.35">
      <c r="A198" s="63"/>
      <c r="B198" s="76"/>
      <c r="C198" s="25"/>
      <c r="D198" s="86"/>
      <c r="E198" s="1" t="s">
        <v>156</v>
      </c>
      <c r="F198" s="36">
        <v>2</v>
      </c>
      <c r="G198" s="87"/>
      <c r="H198" s="38" t="s">
        <v>164</v>
      </c>
      <c r="I198" s="38">
        <v>1</v>
      </c>
      <c r="J198" s="36"/>
      <c r="K198" s="25"/>
      <c r="L198" s="25"/>
      <c r="M198" s="18"/>
      <c r="O198" s="1">
        <v>7</v>
      </c>
      <c r="P198" s="1">
        <v>1</v>
      </c>
      <c r="Q198" s="1">
        <v>1</v>
      </c>
      <c r="R198" s="1">
        <v>1</v>
      </c>
      <c r="S198" s="14"/>
      <c r="U198" s="9"/>
      <c r="V198" s="10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X198" s="14"/>
    </row>
    <row r="199" spans="1:50" ht="23.5" customHeight="1" thickTop="1" thickBot="1" x14ac:dyDescent="0.35">
      <c r="A199" s="63"/>
      <c r="B199" s="76"/>
      <c r="C199" s="25"/>
      <c r="D199" s="87"/>
      <c r="E199" s="38" t="s">
        <v>197</v>
      </c>
      <c r="F199" s="38">
        <v>2</v>
      </c>
      <c r="G199" s="39"/>
      <c r="H199" s="39"/>
      <c r="I199" s="39"/>
      <c r="J199" s="36"/>
      <c r="K199" s="36"/>
      <c r="L199" s="25"/>
      <c r="M199" s="18"/>
      <c r="O199" s="1">
        <v>8</v>
      </c>
      <c r="P199" s="1">
        <v>0</v>
      </c>
      <c r="Q199" s="1">
        <v>1</v>
      </c>
      <c r="R199" s="1">
        <v>3</v>
      </c>
      <c r="S199" s="14"/>
      <c r="U199" s="9"/>
      <c r="V199" s="10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X199" s="14"/>
    </row>
    <row r="200" spans="1:50" ht="23" customHeight="1" thickTop="1" x14ac:dyDescent="0.3">
      <c r="A200" s="63"/>
      <c r="B200" s="76"/>
      <c r="C200" s="25"/>
      <c r="D200" s="39"/>
      <c r="E200" s="39"/>
      <c r="F200" s="39"/>
      <c r="G200" s="25"/>
      <c r="H200" s="25"/>
      <c r="I200" s="25"/>
      <c r="J200" s="25"/>
      <c r="K200" s="25"/>
      <c r="L200" s="25"/>
      <c r="M200" s="18"/>
      <c r="O200" s="1">
        <v>9</v>
      </c>
      <c r="P200" s="1">
        <v>2</v>
      </c>
      <c r="Q200" s="1">
        <v>0</v>
      </c>
      <c r="R200" s="1">
        <v>2</v>
      </c>
      <c r="S200" s="14"/>
      <c r="AX200" s="14"/>
    </row>
    <row r="201" spans="1:50" ht="23" customHeight="1" thickBot="1" x14ac:dyDescent="0.35">
      <c r="A201" s="63"/>
      <c r="B201" s="76"/>
      <c r="C201" s="25"/>
      <c r="D201" s="36"/>
      <c r="E201" s="36"/>
      <c r="F201" s="36"/>
      <c r="G201" s="25"/>
      <c r="H201" s="25"/>
      <c r="I201" s="25"/>
      <c r="J201" s="25"/>
      <c r="K201" s="25"/>
      <c r="L201" s="25"/>
      <c r="M201" s="18"/>
      <c r="O201" s="4">
        <v>10</v>
      </c>
      <c r="P201" s="4">
        <v>2</v>
      </c>
      <c r="Q201" s="4">
        <v>1</v>
      </c>
      <c r="R201" s="4">
        <v>2</v>
      </c>
      <c r="S201" s="14"/>
      <c r="AX201" s="14"/>
    </row>
    <row r="202" spans="1:50" ht="23.5" customHeight="1" thickTop="1" thickBot="1" x14ac:dyDescent="0.35">
      <c r="A202" s="63"/>
      <c r="B202" s="8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19"/>
      <c r="N202" s="15"/>
      <c r="O202" s="15"/>
      <c r="P202" s="15"/>
      <c r="Q202" s="15"/>
      <c r="R202" s="15"/>
      <c r="S202" s="16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6"/>
    </row>
    <row r="203" spans="1:50" ht="15" customHeight="1" thickTop="1" thickBot="1" x14ac:dyDescent="0.35">
      <c r="A203" s="63"/>
      <c r="B203" s="89" t="s">
        <v>119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17"/>
      <c r="N203" s="24"/>
      <c r="O203" s="24"/>
      <c r="P203" s="24"/>
      <c r="Q203" s="24"/>
      <c r="R203" s="24"/>
      <c r="S203" s="17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17"/>
    </row>
    <row r="204" spans="1:50" ht="16" customHeight="1" thickTop="1" thickBot="1" x14ac:dyDescent="0.35">
      <c r="A204" s="63"/>
      <c r="B204" s="76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17"/>
      <c r="N204" s="24"/>
      <c r="O204" s="82" t="s">
        <v>205</v>
      </c>
      <c r="P204" s="82" t="s">
        <v>206</v>
      </c>
      <c r="Q204" s="83"/>
      <c r="R204" s="83"/>
      <c r="S204" s="17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17"/>
    </row>
    <row r="205" spans="1:50" ht="31" customHeight="1" thickTop="1" thickBot="1" x14ac:dyDescent="0.35">
      <c r="A205" s="63"/>
      <c r="B205" s="76"/>
      <c r="C205" s="24"/>
      <c r="D205" s="27" t="s">
        <v>191</v>
      </c>
      <c r="E205" s="27" t="s">
        <v>192</v>
      </c>
      <c r="F205" s="27" t="s">
        <v>193</v>
      </c>
      <c r="G205" s="27" t="s">
        <v>191</v>
      </c>
      <c r="H205" s="27" t="s">
        <v>192</v>
      </c>
      <c r="I205" s="27" t="s">
        <v>193</v>
      </c>
      <c r="J205" s="27" t="s">
        <v>191</v>
      </c>
      <c r="K205" s="27" t="s">
        <v>192</v>
      </c>
      <c r="L205" s="27" t="s">
        <v>193</v>
      </c>
      <c r="M205" s="17"/>
      <c r="N205" s="24"/>
      <c r="O205" s="84"/>
      <c r="P205" s="2" t="s">
        <v>178</v>
      </c>
      <c r="Q205" s="2" t="s">
        <v>186</v>
      </c>
      <c r="R205" s="2" t="s">
        <v>190</v>
      </c>
      <c r="S205" s="17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17"/>
    </row>
    <row r="206" spans="1:50" ht="23" customHeight="1" thickTop="1" x14ac:dyDescent="0.3">
      <c r="A206" s="63"/>
      <c r="B206" s="76"/>
      <c r="C206" s="33"/>
      <c r="D206" s="88" t="s">
        <v>194</v>
      </c>
      <c r="E206" s="36" t="s">
        <v>148</v>
      </c>
      <c r="F206" s="36">
        <v>6</v>
      </c>
      <c r="G206" s="85" t="s">
        <v>198</v>
      </c>
      <c r="H206" s="36" t="s">
        <v>158</v>
      </c>
      <c r="I206" s="36">
        <v>2</v>
      </c>
      <c r="J206" s="85" t="s">
        <v>202</v>
      </c>
      <c r="K206" s="36" t="s">
        <v>203</v>
      </c>
      <c r="L206" s="36">
        <v>3</v>
      </c>
      <c r="M206" s="18"/>
      <c r="N206" s="13"/>
      <c r="O206" s="1">
        <v>1</v>
      </c>
      <c r="P206" s="1">
        <v>1</v>
      </c>
      <c r="Q206" s="1">
        <v>1</v>
      </c>
      <c r="R206" s="1">
        <v>1</v>
      </c>
      <c r="S206" s="14"/>
      <c r="T206" s="13"/>
      <c r="U206" s="24"/>
      <c r="AX206" s="14"/>
    </row>
    <row r="207" spans="1:50" ht="23" customHeight="1" thickBot="1" x14ac:dyDescent="0.35">
      <c r="A207" s="63"/>
      <c r="B207" s="76"/>
      <c r="C207" s="25"/>
      <c r="D207" s="86"/>
      <c r="E207" s="36" t="s">
        <v>195</v>
      </c>
      <c r="F207" s="36">
        <v>2</v>
      </c>
      <c r="G207" s="86"/>
      <c r="H207" s="36" t="s">
        <v>159</v>
      </c>
      <c r="I207" s="36">
        <v>2</v>
      </c>
      <c r="J207" s="86"/>
      <c r="K207" s="36" t="s">
        <v>166</v>
      </c>
      <c r="L207" s="36">
        <v>3</v>
      </c>
      <c r="M207" s="18"/>
      <c r="O207" s="1">
        <v>2</v>
      </c>
      <c r="P207" s="1">
        <v>2</v>
      </c>
      <c r="Q207" s="1">
        <v>2</v>
      </c>
      <c r="R207" s="1">
        <v>1</v>
      </c>
      <c r="S207" s="14"/>
      <c r="Z207" s="23" t="s">
        <v>194</v>
      </c>
      <c r="AK207" s="23" t="s">
        <v>198</v>
      </c>
      <c r="AT207" s="23" t="s">
        <v>202</v>
      </c>
      <c r="AX207" s="14"/>
    </row>
    <row r="208" spans="1:50" ht="25" customHeight="1" thickTop="1" thickBot="1" x14ac:dyDescent="0.35">
      <c r="A208" s="63"/>
      <c r="B208" s="76"/>
      <c r="C208" s="25"/>
      <c r="D208" s="86"/>
      <c r="E208" s="36" t="s">
        <v>196</v>
      </c>
      <c r="F208" s="36">
        <v>2</v>
      </c>
      <c r="G208" s="86"/>
      <c r="H208" s="36" t="s">
        <v>160</v>
      </c>
      <c r="I208" s="36">
        <v>2</v>
      </c>
      <c r="J208" s="86"/>
      <c r="K208" s="36" t="s">
        <v>167</v>
      </c>
      <c r="L208" s="36">
        <v>2</v>
      </c>
      <c r="M208" s="18"/>
      <c r="O208" s="1">
        <v>3</v>
      </c>
      <c r="P208" s="1">
        <v>2</v>
      </c>
      <c r="Q208" s="1">
        <v>1</v>
      </c>
      <c r="R208" s="1">
        <v>0</v>
      </c>
      <c r="S208" s="14"/>
      <c r="U208" s="7" t="s">
        <v>146</v>
      </c>
      <c r="V208" s="7" t="s">
        <v>147</v>
      </c>
      <c r="W208" s="7" t="s">
        <v>148</v>
      </c>
      <c r="X208" s="7" t="s">
        <v>149</v>
      </c>
      <c r="Y208" s="7" t="s">
        <v>150</v>
      </c>
      <c r="Z208" s="8" t="s">
        <v>151</v>
      </c>
      <c r="AA208" s="7" t="s">
        <v>152</v>
      </c>
      <c r="AB208" s="7" t="s">
        <v>153</v>
      </c>
      <c r="AC208" s="7" t="s">
        <v>154</v>
      </c>
      <c r="AD208" s="7" t="s">
        <v>155</v>
      </c>
      <c r="AE208" s="8" t="s">
        <v>156</v>
      </c>
      <c r="AF208" s="7" t="s">
        <v>157</v>
      </c>
      <c r="AH208" s="7" t="s">
        <v>146</v>
      </c>
      <c r="AI208" s="7" t="s">
        <v>147</v>
      </c>
      <c r="AJ208" s="7" t="s">
        <v>158</v>
      </c>
      <c r="AK208" s="7" t="s">
        <v>159</v>
      </c>
      <c r="AL208" s="7" t="s">
        <v>160</v>
      </c>
      <c r="AM208" s="7" t="s">
        <v>161</v>
      </c>
      <c r="AN208" s="7" t="s">
        <v>162</v>
      </c>
      <c r="AO208" s="7" t="s">
        <v>163</v>
      </c>
      <c r="AP208" s="7" t="s">
        <v>164</v>
      </c>
      <c r="AR208" s="7" t="s">
        <v>146</v>
      </c>
      <c r="AS208" s="7" t="s">
        <v>147</v>
      </c>
      <c r="AT208" s="7" t="s">
        <v>165</v>
      </c>
      <c r="AU208" s="7" t="s">
        <v>166</v>
      </c>
      <c r="AV208" s="7" t="s">
        <v>167</v>
      </c>
      <c r="AW208" s="7" t="s">
        <v>168</v>
      </c>
      <c r="AX208" s="14"/>
    </row>
    <row r="209" spans="1:50" ht="24" customHeight="1" thickTop="1" thickBot="1" x14ac:dyDescent="0.35">
      <c r="A209" s="63"/>
      <c r="B209" s="76"/>
      <c r="C209" s="25"/>
      <c r="D209" s="86"/>
      <c r="E209" s="1" t="s">
        <v>151</v>
      </c>
      <c r="F209" s="36">
        <v>2</v>
      </c>
      <c r="G209" s="86"/>
      <c r="H209" s="36" t="s">
        <v>199</v>
      </c>
      <c r="I209" s="36">
        <v>2</v>
      </c>
      <c r="J209" s="87"/>
      <c r="K209" s="38" t="s">
        <v>168</v>
      </c>
      <c r="L209" s="38">
        <v>2</v>
      </c>
      <c r="M209" s="18"/>
      <c r="O209" s="1">
        <v>4</v>
      </c>
      <c r="P209" s="1">
        <v>0</v>
      </c>
      <c r="Q209" s="1">
        <v>2</v>
      </c>
      <c r="R209" s="1">
        <v>0</v>
      </c>
      <c r="S209" s="14"/>
      <c r="U209" s="9" t="s">
        <v>171</v>
      </c>
      <c r="V209" s="10" t="s">
        <v>172</v>
      </c>
      <c r="W209" s="9">
        <v>7.82</v>
      </c>
      <c r="X209" s="9">
        <v>0.68</v>
      </c>
      <c r="Y209" s="9">
        <v>1.19</v>
      </c>
      <c r="Z209" s="9">
        <v>0.75</v>
      </c>
      <c r="AA209" s="9">
        <v>2.67</v>
      </c>
      <c r="AB209" s="9">
        <v>0.85</v>
      </c>
      <c r="AC209" s="9">
        <v>0.98</v>
      </c>
      <c r="AD209" s="9">
        <v>1.05</v>
      </c>
      <c r="AE209" s="9">
        <v>1.08</v>
      </c>
      <c r="AF209" s="9">
        <v>1.9</v>
      </c>
      <c r="AH209" s="9" t="s">
        <v>173</v>
      </c>
      <c r="AI209" s="10" t="s">
        <v>174</v>
      </c>
      <c r="AJ209" s="9">
        <v>6.23</v>
      </c>
      <c r="AK209" s="9">
        <v>6.68</v>
      </c>
      <c r="AL209" s="9">
        <v>3</v>
      </c>
      <c r="AM209" s="9">
        <v>6.91</v>
      </c>
      <c r="AN209" s="9">
        <v>1.68</v>
      </c>
      <c r="AO209" s="9">
        <v>7.33</v>
      </c>
      <c r="AP209" s="9">
        <v>5.23</v>
      </c>
      <c r="AR209" s="9" t="s">
        <v>175</v>
      </c>
      <c r="AS209" s="10" t="s">
        <v>176</v>
      </c>
      <c r="AT209" s="9">
        <v>2.79</v>
      </c>
      <c r="AU209" s="9">
        <v>1.08</v>
      </c>
      <c r="AV209" s="9">
        <v>2.9</v>
      </c>
      <c r="AW209" s="9">
        <v>2</v>
      </c>
      <c r="AX209" s="14"/>
    </row>
    <row r="210" spans="1:50" ht="24" customHeight="1" thickTop="1" thickBot="1" x14ac:dyDescent="0.35">
      <c r="A210" s="63"/>
      <c r="B210" s="76"/>
      <c r="C210" s="25"/>
      <c r="D210" s="86"/>
      <c r="E210" s="36" t="s">
        <v>152</v>
      </c>
      <c r="F210" s="36">
        <v>2</v>
      </c>
      <c r="G210" s="86"/>
      <c r="H210" s="36" t="s">
        <v>200</v>
      </c>
      <c r="I210" s="36">
        <v>2</v>
      </c>
      <c r="J210" s="39"/>
      <c r="K210" s="39"/>
      <c r="L210" s="39"/>
      <c r="M210" s="18"/>
      <c r="O210" s="1">
        <v>5</v>
      </c>
      <c r="P210" s="1">
        <v>1</v>
      </c>
      <c r="Q210" s="1">
        <v>1</v>
      </c>
      <c r="R210" s="1">
        <v>1</v>
      </c>
      <c r="S210" s="14"/>
      <c r="U210" s="9" t="s">
        <v>179</v>
      </c>
      <c r="V210" s="10" t="s">
        <v>180</v>
      </c>
      <c r="W210" s="9">
        <v>8.35</v>
      </c>
      <c r="X210" s="9">
        <v>0.79</v>
      </c>
      <c r="Y210" s="9">
        <v>1.02</v>
      </c>
      <c r="Z210" s="9">
        <v>0.64</v>
      </c>
      <c r="AA210" s="9">
        <v>2.5</v>
      </c>
      <c r="AB210" s="9">
        <v>0.87</v>
      </c>
      <c r="AC210" s="9">
        <v>0.92</v>
      </c>
      <c r="AD210" s="9">
        <v>1.18</v>
      </c>
      <c r="AE210" s="9">
        <v>1.35</v>
      </c>
      <c r="AF210" s="9">
        <v>2.4700000000000002</v>
      </c>
      <c r="AH210" s="11" t="s">
        <v>181</v>
      </c>
      <c r="AI210" s="12" t="s">
        <v>182</v>
      </c>
      <c r="AJ210" s="11">
        <v>6.89</v>
      </c>
      <c r="AK210" s="11">
        <v>7.39</v>
      </c>
      <c r="AL210" s="11">
        <v>3</v>
      </c>
      <c r="AM210" s="11">
        <v>7.73</v>
      </c>
      <c r="AN210" s="11">
        <v>2.38</v>
      </c>
      <c r="AO210" s="11">
        <v>8.73</v>
      </c>
      <c r="AP210" s="11">
        <v>5.79</v>
      </c>
      <c r="AR210" s="11" t="s">
        <v>183</v>
      </c>
      <c r="AS210" s="12" t="s">
        <v>184</v>
      </c>
      <c r="AT210" s="11">
        <v>3.21</v>
      </c>
      <c r="AU210" s="11">
        <v>1.21</v>
      </c>
      <c r="AV210" s="11">
        <v>2.15</v>
      </c>
      <c r="AW210" s="11">
        <v>2</v>
      </c>
      <c r="AX210" s="14"/>
    </row>
    <row r="211" spans="1:50" ht="23.5" customHeight="1" thickTop="1" thickBot="1" x14ac:dyDescent="0.35">
      <c r="A211" s="63"/>
      <c r="B211" s="76"/>
      <c r="C211" s="25"/>
      <c r="D211" s="86"/>
      <c r="E211" s="36" t="s">
        <v>153</v>
      </c>
      <c r="F211" s="36">
        <v>2</v>
      </c>
      <c r="G211" s="86"/>
      <c r="H211" s="36" t="s">
        <v>201</v>
      </c>
      <c r="I211" s="36">
        <v>2</v>
      </c>
      <c r="J211" s="25"/>
      <c r="K211" s="25"/>
      <c r="L211" s="25"/>
      <c r="M211" s="18"/>
      <c r="O211" s="1">
        <v>6</v>
      </c>
      <c r="P211" s="1">
        <v>2</v>
      </c>
      <c r="Q211" s="1">
        <v>1</v>
      </c>
      <c r="R211" s="1">
        <v>2</v>
      </c>
      <c r="S211" s="14"/>
      <c r="U211" s="11" t="s">
        <v>187</v>
      </c>
      <c r="V211" s="12" t="s">
        <v>188</v>
      </c>
      <c r="W211" s="11">
        <v>9.09</v>
      </c>
      <c r="X211" s="11">
        <v>0.9</v>
      </c>
      <c r="Y211" s="11">
        <v>1.25</v>
      </c>
      <c r="Z211" s="11">
        <v>0.56999999999999995</v>
      </c>
      <c r="AA211" s="11">
        <v>2.87</v>
      </c>
      <c r="AB211" s="11">
        <v>0.8</v>
      </c>
      <c r="AC211" s="11">
        <v>0.95</v>
      </c>
      <c r="AD211" s="11">
        <v>1.1499999999999999</v>
      </c>
      <c r="AE211" s="11">
        <v>1.3</v>
      </c>
      <c r="AF211" s="11">
        <v>1.77</v>
      </c>
      <c r="AX211" s="14"/>
    </row>
    <row r="212" spans="1:50" ht="23.5" customHeight="1" thickTop="1" thickBot="1" x14ac:dyDescent="0.35">
      <c r="A212" s="63"/>
      <c r="B212" s="76"/>
      <c r="C212" s="25"/>
      <c r="D212" s="86"/>
      <c r="E212" s="1" t="s">
        <v>156</v>
      </c>
      <c r="F212" s="36">
        <v>2</v>
      </c>
      <c r="G212" s="87"/>
      <c r="H212" s="38" t="s">
        <v>164</v>
      </c>
      <c r="I212" s="38">
        <v>1</v>
      </c>
      <c r="J212" s="36"/>
      <c r="K212" s="25"/>
      <c r="L212" s="25"/>
      <c r="M212" s="18"/>
      <c r="O212" s="1">
        <v>7</v>
      </c>
      <c r="P212" s="1">
        <v>1</v>
      </c>
      <c r="Q212" s="1">
        <v>1</v>
      </c>
      <c r="R212" s="1">
        <v>1</v>
      </c>
      <c r="S212" s="14"/>
      <c r="U212" s="9"/>
      <c r="V212" s="10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X212" s="14"/>
    </row>
    <row r="213" spans="1:50" ht="23.5" customHeight="1" thickTop="1" thickBot="1" x14ac:dyDescent="0.35">
      <c r="A213" s="63"/>
      <c r="B213" s="76"/>
      <c r="C213" s="25"/>
      <c r="D213" s="87"/>
      <c r="E213" s="38" t="s">
        <v>197</v>
      </c>
      <c r="F213" s="38">
        <v>2</v>
      </c>
      <c r="G213" s="39"/>
      <c r="H213" s="39"/>
      <c r="I213" s="39"/>
      <c r="J213" s="36"/>
      <c r="K213" s="36"/>
      <c r="L213" s="25"/>
      <c r="M213" s="18"/>
      <c r="O213" s="1">
        <v>8</v>
      </c>
      <c r="P213" s="1">
        <v>2</v>
      </c>
      <c r="Q213" s="1">
        <v>2</v>
      </c>
      <c r="R213" s="1">
        <v>2</v>
      </c>
      <c r="S213" s="14"/>
      <c r="U213" s="9"/>
      <c r="V213" s="10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X213" s="14"/>
    </row>
    <row r="214" spans="1:50" ht="23" customHeight="1" thickTop="1" x14ac:dyDescent="0.3">
      <c r="A214" s="63"/>
      <c r="B214" s="76"/>
      <c r="C214" s="25"/>
      <c r="D214" s="39"/>
      <c r="E214" s="39"/>
      <c r="F214" s="39"/>
      <c r="G214" s="25"/>
      <c r="H214" s="25"/>
      <c r="I214" s="25"/>
      <c r="J214" s="25"/>
      <c r="K214" s="25"/>
      <c r="L214" s="25"/>
      <c r="M214" s="18"/>
      <c r="O214" s="1">
        <v>9</v>
      </c>
      <c r="P214" s="1">
        <v>0</v>
      </c>
      <c r="Q214" s="1">
        <v>3</v>
      </c>
      <c r="R214" s="1">
        <v>3</v>
      </c>
      <c r="S214" s="14"/>
      <c r="AX214" s="14"/>
    </row>
    <row r="215" spans="1:50" ht="23" customHeight="1" thickBot="1" x14ac:dyDescent="0.35">
      <c r="A215" s="63"/>
      <c r="B215" s="76"/>
      <c r="C215" s="25"/>
      <c r="D215" s="36"/>
      <c r="E215" s="36"/>
      <c r="F215" s="36"/>
      <c r="G215" s="25"/>
      <c r="H215" s="25"/>
      <c r="I215" s="25"/>
      <c r="J215" s="25"/>
      <c r="K215" s="25"/>
      <c r="L215" s="25"/>
      <c r="M215" s="18"/>
      <c r="O215" s="4">
        <v>10</v>
      </c>
      <c r="P215" s="4">
        <v>1</v>
      </c>
      <c r="Q215" s="4">
        <v>0</v>
      </c>
      <c r="R215" s="4">
        <v>2</v>
      </c>
      <c r="S215" s="14"/>
      <c r="AX215" s="14"/>
    </row>
    <row r="216" spans="1:50" ht="23.5" customHeight="1" thickTop="1" thickBot="1" x14ac:dyDescent="0.35">
      <c r="A216" s="63"/>
      <c r="B216" s="81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19"/>
      <c r="N216" s="15"/>
      <c r="O216" s="15"/>
      <c r="P216" s="15"/>
      <c r="Q216" s="15"/>
      <c r="R216" s="15"/>
      <c r="S216" s="16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6"/>
    </row>
    <row r="217" spans="1:50" ht="15" customHeight="1" thickTop="1" thickBot="1" x14ac:dyDescent="0.35">
      <c r="A217" s="63"/>
      <c r="B217" s="89" t="s">
        <v>120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17"/>
      <c r="N217" s="24"/>
      <c r="O217" s="24"/>
      <c r="P217" s="24"/>
      <c r="Q217" s="24"/>
      <c r="R217" s="24"/>
      <c r="S217" s="17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17"/>
    </row>
    <row r="218" spans="1:50" ht="16" customHeight="1" thickTop="1" thickBot="1" x14ac:dyDescent="0.35">
      <c r="A218" s="63"/>
      <c r="B218" s="76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17"/>
      <c r="N218" s="24"/>
      <c r="O218" s="82" t="s">
        <v>205</v>
      </c>
      <c r="P218" s="82" t="s">
        <v>206</v>
      </c>
      <c r="Q218" s="83"/>
      <c r="R218" s="83"/>
      <c r="S218" s="17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17"/>
    </row>
    <row r="219" spans="1:50" ht="31" customHeight="1" thickTop="1" thickBot="1" x14ac:dyDescent="0.35">
      <c r="A219" s="63"/>
      <c r="B219" s="76"/>
      <c r="C219" s="24"/>
      <c r="D219" s="27" t="s">
        <v>191</v>
      </c>
      <c r="E219" s="27" t="s">
        <v>192</v>
      </c>
      <c r="F219" s="27" t="s">
        <v>193</v>
      </c>
      <c r="G219" s="27" t="s">
        <v>191</v>
      </c>
      <c r="H219" s="27" t="s">
        <v>192</v>
      </c>
      <c r="I219" s="27" t="s">
        <v>193</v>
      </c>
      <c r="J219" s="27" t="s">
        <v>191</v>
      </c>
      <c r="K219" s="27" t="s">
        <v>192</v>
      </c>
      <c r="L219" s="27" t="s">
        <v>193</v>
      </c>
      <c r="M219" s="17"/>
      <c r="N219" s="24"/>
      <c r="O219" s="84"/>
      <c r="P219" s="2" t="s">
        <v>178</v>
      </c>
      <c r="Q219" s="2" t="s">
        <v>186</v>
      </c>
      <c r="R219" s="2" t="s">
        <v>190</v>
      </c>
      <c r="S219" s="17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17"/>
    </row>
    <row r="220" spans="1:50" ht="23" customHeight="1" thickTop="1" x14ac:dyDescent="0.3">
      <c r="A220" s="63"/>
      <c r="B220" s="76"/>
      <c r="C220" s="33"/>
      <c r="D220" s="88" t="s">
        <v>194</v>
      </c>
      <c r="E220" s="36" t="s">
        <v>148</v>
      </c>
      <c r="F220" s="36">
        <v>6</v>
      </c>
      <c r="G220" s="85" t="s">
        <v>198</v>
      </c>
      <c r="H220" s="36" t="s">
        <v>158</v>
      </c>
      <c r="I220" s="36">
        <v>3</v>
      </c>
      <c r="J220" s="85" t="s">
        <v>202</v>
      </c>
      <c r="K220" s="36" t="s">
        <v>203</v>
      </c>
      <c r="L220" s="36">
        <v>3</v>
      </c>
      <c r="M220" s="18"/>
      <c r="N220" s="13"/>
      <c r="O220" s="1">
        <v>1</v>
      </c>
      <c r="P220" s="1">
        <v>1</v>
      </c>
      <c r="Q220" s="1">
        <v>0</v>
      </c>
      <c r="R220" s="1">
        <v>3</v>
      </c>
      <c r="S220" s="14"/>
      <c r="T220" s="13"/>
      <c r="U220" s="24"/>
      <c r="AX220" s="14"/>
    </row>
    <row r="221" spans="1:50" ht="23" customHeight="1" thickBot="1" x14ac:dyDescent="0.35">
      <c r="A221" s="63"/>
      <c r="B221" s="76"/>
      <c r="C221" s="25"/>
      <c r="D221" s="86"/>
      <c r="E221" s="36" t="s">
        <v>195</v>
      </c>
      <c r="F221" s="36">
        <v>3</v>
      </c>
      <c r="G221" s="86"/>
      <c r="H221" s="36" t="s">
        <v>159</v>
      </c>
      <c r="I221" s="36">
        <v>2</v>
      </c>
      <c r="J221" s="86"/>
      <c r="K221" s="36" t="s">
        <v>166</v>
      </c>
      <c r="L221" s="36">
        <v>3</v>
      </c>
      <c r="M221" s="18"/>
      <c r="O221" s="1">
        <v>2</v>
      </c>
      <c r="P221" s="1">
        <v>2</v>
      </c>
      <c r="Q221" s="1">
        <v>1</v>
      </c>
      <c r="R221" s="1">
        <v>1</v>
      </c>
      <c r="S221" s="14"/>
      <c r="Z221" s="23" t="s">
        <v>194</v>
      </c>
      <c r="AK221" s="23" t="s">
        <v>198</v>
      </c>
      <c r="AT221" s="23" t="s">
        <v>202</v>
      </c>
      <c r="AX221" s="14"/>
    </row>
    <row r="222" spans="1:50" ht="25" customHeight="1" thickTop="1" thickBot="1" x14ac:dyDescent="0.35">
      <c r="A222" s="63"/>
      <c r="B222" s="76"/>
      <c r="C222" s="25"/>
      <c r="D222" s="86"/>
      <c r="E222" s="36" t="s">
        <v>196</v>
      </c>
      <c r="F222" s="36">
        <v>2</v>
      </c>
      <c r="G222" s="86"/>
      <c r="H222" s="36" t="s">
        <v>160</v>
      </c>
      <c r="I222" s="36">
        <v>2</v>
      </c>
      <c r="J222" s="86"/>
      <c r="K222" s="36" t="s">
        <v>167</v>
      </c>
      <c r="L222" s="36">
        <v>3</v>
      </c>
      <c r="M222" s="18"/>
      <c r="O222" s="1">
        <v>3</v>
      </c>
      <c r="P222" s="1">
        <v>1</v>
      </c>
      <c r="Q222" s="1">
        <v>1</v>
      </c>
      <c r="R222" s="1">
        <v>1</v>
      </c>
      <c r="S222" s="14"/>
      <c r="U222" s="7" t="s">
        <v>146</v>
      </c>
      <c r="V222" s="7" t="s">
        <v>147</v>
      </c>
      <c r="W222" s="7" t="s">
        <v>148</v>
      </c>
      <c r="X222" s="7" t="s">
        <v>149</v>
      </c>
      <c r="Y222" s="7" t="s">
        <v>150</v>
      </c>
      <c r="Z222" s="8" t="s">
        <v>151</v>
      </c>
      <c r="AA222" s="7" t="s">
        <v>152</v>
      </c>
      <c r="AB222" s="7" t="s">
        <v>153</v>
      </c>
      <c r="AC222" s="7" t="s">
        <v>154</v>
      </c>
      <c r="AD222" s="7" t="s">
        <v>155</v>
      </c>
      <c r="AE222" s="8" t="s">
        <v>156</v>
      </c>
      <c r="AF222" s="7" t="s">
        <v>157</v>
      </c>
      <c r="AH222" s="7" t="s">
        <v>146</v>
      </c>
      <c r="AI222" s="7" t="s">
        <v>147</v>
      </c>
      <c r="AJ222" s="7" t="s">
        <v>158</v>
      </c>
      <c r="AK222" s="7" t="s">
        <v>159</v>
      </c>
      <c r="AL222" s="7" t="s">
        <v>160</v>
      </c>
      <c r="AM222" s="7" t="s">
        <v>161</v>
      </c>
      <c r="AN222" s="7" t="s">
        <v>162</v>
      </c>
      <c r="AO222" s="7" t="s">
        <v>163</v>
      </c>
      <c r="AP222" s="7" t="s">
        <v>164</v>
      </c>
      <c r="AR222" s="7" t="s">
        <v>146</v>
      </c>
      <c r="AS222" s="7" t="s">
        <v>147</v>
      </c>
      <c r="AT222" s="7" t="s">
        <v>165</v>
      </c>
      <c r="AU222" s="7" t="s">
        <v>166</v>
      </c>
      <c r="AV222" s="7" t="s">
        <v>167</v>
      </c>
      <c r="AW222" s="7" t="s">
        <v>168</v>
      </c>
      <c r="AX222" s="14"/>
    </row>
    <row r="223" spans="1:50" ht="24" customHeight="1" thickTop="1" thickBot="1" x14ac:dyDescent="0.35">
      <c r="A223" s="63"/>
      <c r="B223" s="76"/>
      <c r="C223" s="25"/>
      <c r="D223" s="86"/>
      <c r="E223" s="1" t="s">
        <v>151</v>
      </c>
      <c r="F223" s="36">
        <v>2</v>
      </c>
      <c r="G223" s="86"/>
      <c r="H223" s="36" t="s">
        <v>199</v>
      </c>
      <c r="I223" s="36">
        <v>2</v>
      </c>
      <c r="J223" s="87"/>
      <c r="K223" s="38" t="s">
        <v>168</v>
      </c>
      <c r="L223" s="38">
        <v>3</v>
      </c>
      <c r="M223" s="18"/>
      <c r="O223" s="1">
        <v>4</v>
      </c>
      <c r="P223" s="1">
        <v>0</v>
      </c>
      <c r="Q223" s="1">
        <v>2</v>
      </c>
      <c r="R223" s="1">
        <v>0</v>
      </c>
      <c r="S223" s="14"/>
      <c r="U223" s="9" t="s">
        <v>171</v>
      </c>
      <c r="V223" s="10" t="s">
        <v>172</v>
      </c>
      <c r="W223" s="9">
        <v>7.28</v>
      </c>
      <c r="X223" s="9">
        <v>0.74</v>
      </c>
      <c r="Y223" s="9">
        <v>1.1200000000000001</v>
      </c>
      <c r="Z223" s="9">
        <v>0.67</v>
      </c>
      <c r="AA223" s="9">
        <v>2.5</v>
      </c>
      <c r="AB223" s="9">
        <v>0.82</v>
      </c>
      <c r="AC223" s="9">
        <v>0.93</v>
      </c>
      <c r="AD223" s="9">
        <v>1.1000000000000001</v>
      </c>
      <c r="AE223" s="9">
        <v>1.1299999999999999</v>
      </c>
      <c r="AF223" s="9">
        <v>2.0099999999999998</v>
      </c>
      <c r="AH223" s="9" t="s">
        <v>173</v>
      </c>
      <c r="AI223" s="10" t="s">
        <v>174</v>
      </c>
      <c r="AJ223" s="9">
        <v>6.43</v>
      </c>
      <c r="AK223" s="9">
        <v>6.76</v>
      </c>
      <c r="AL223" s="9">
        <v>3</v>
      </c>
      <c r="AM223" s="9">
        <v>6.34</v>
      </c>
      <c r="AN223" s="9">
        <v>1.93</v>
      </c>
      <c r="AO223" s="9">
        <v>7.53</v>
      </c>
      <c r="AP223" s="9">
        <v>5.33</v>
      </c>
      <c r="AR223" s="9" t="s">
        <v>175</v>
      </c>
      <c r="AS223" s="10" t="s">
        <v>176</v>
      </c>
      <c r="AT223" s="9">
        <v>2.98</v>
      </c>
      <c r="AU223" s="9">
        <v>1.1000000000000001</v>
      </c>
      <c r="AV223" s="9">
        <v>2.6</v>
      </c>
      <c r="AW223" s="9">
        <v>2</v>
      </c>
      <c r="AX223" s="14"/>
    </row>
    <row r="224" spans="1:50" ht="24" customHeight="1" thickTop="1" thickBot="1" x14ac:dyDescent="0.35">
      <c r="A224" s="63"/>
      <c r="B224" s="76"/>
      <c r="C224" s="25"/>
      <c r="D224" s="86"/>
      <c r="E224" s="36" t="s">
        <v>152</v>
      </c>
      <c r="F224" s="36">
        <v>2</v>
      </c>
      <c r="G224" s="86"/>
      <c r="H224" s="36" t="s">
        <v>200</v>
      </c>
      <c r="I224" s="36">
        <v>2</v>
      </c>
      <c r="J224" s="39"/>
      <c r="K224" s="39"/>
      <c r="L224" s="39"/>
      <c r="M224" s="18"/>
      <c r="O224" s="1">
        <v>5</v>
      </c>
      <c r="P224" s="1">
        <v>1</v>
      </c>
      <c r="Q224" s="1">
        <v>1</v>
      </c>
      <c r="R224" s="1">
        <v>1</v>
      </c>
      <c r="S224" s="14"/>
      <c r="U224" s="9" t="s">
        <v>179</v>
      </c>
      <c r="V224" s="10" t="s">
        <v>180</v>
      </c>
      <c r="W224" s="9">
        <v>8.81</v>
      </c>
      <c r="X224" s="9">
        <v>0.83</v>
      </c>
      <c r="Y224" s="9">
        <v>1.06</v>
      </c>
      <c r="Z224" s="9">
        <v>0.57999999999999996</v>
      </c>
      <c r="AA224" s="9">
        <v>2.73</v>
      </c>
      <c r="AB224" s="9">
        <v>0.86</v>
      </c>
      <c r="AC224" s="9">
        <v>0.97</v>
      </c>
      <c r="AD224" s="9">
        <v>1.03</v>
      </c>
      <c r="AE224" s="9">
        <v>1.22</v>
      </c>
      <c r="AF224" s="9">
        <v>1.63</v>
      </c>
      <c r="AH224" s="11" t="s">
        <v>181</v>
      </c>
      <c r="AI224" s="12" t="s">
        <v>182</v>
      </c>
      <c r="AJ224" s="11">
        <v>6.77</v>
      </c>
      <c r="AK224" s="11">
        <v>7.13</v>
      </c>
      <c r="AL224" s="11">
        <v>3</v>
      </c>
      <c r="AM224" s="11">
        <v>7.43</v>
      </c>
      <c r="AN224" s="11">
        <v>2.23</v>
      </c>
      <c r="AO224" s="11">
        <v>8.43</v>
      </c>
      <c r="AP224" s="11">
        <v>5.67</v>
      </c>
      <c r="AR224" s="11" t="s">
        <v>183</v>
      </c>
      <c r="AS224" s="12" t="s">
        <v>184</v>
      </c>
      <c r="AT224" s="11">
        <v>3.46</v>
      </c>
      <c r="AU224" s="11">
        <v>1.0900000000000001</v>
      </c>
      <c r="AV224" s="11">
        <v>2.35</v>
      </c>
      <c r="AW224" s="11">
        <v>2</v>
      </c>
      <c r="AX224" s="14"/>
    </row>
    <row r="225" spans="1:50" ht="23.5" customHeight="1" thickTop="1" thickBot="1" x14ac:dyDescent="0.35">
      <c r="A225" s="63"/>
      <c r="B225" s="76"/>
      <c r="C225" s="25"/>
      <c r="D225" s="86"/>
      <c r="E225" s="36" t="s">
        <v>153</v>
      </c>
      <c r="F225" s="36">
        <v>2</v>
      </c>
      <c r="G225" s="86"/>
      <c r="H225" s="36" t="s">
        <v>201</v>
      </c>
      <c r="I225" s="36">
        <v>2</v>
      </c>
      <c r="J225" s="25"/>
      <c r="K225" s="25"/>
      <c r="L225" s="25"/>
      <c r="M225" s="18"/>
      <c r="O225" s="1">
        <v>6</v>
      </c>
      <c r="P225" s="1">
        <v>2</v>
      </c>
      <c r="Q225" s="1">
        <v>3</v>
      </c>
      <c r="R225" s="1">
        <v>1</v>
      </c>
      <c r="S225" s="14"/>
      <c r="U225" s="11" t="s">
        <v>187</v>
      </c>
      <c r="V225" s="12" t="s">
        <v>188</v>
      </c>
      <c r="W225" s="11">
        <v>9.14</v>
      </c>
      <c r="X225" s="11">
        <v>0.65</v>
      </c>
      <c r="Y225" s="11">
        <v>1.21</v>
      </c>
      <c r="Z225" s="11">
        <v>0.75</v>
      </c>
      <c r="AA225" s="11">
        <v>2.5</v>
      </c>
      <c r="AB225" s="11">
        <v>0.88</v>
      </c>
      <c r="AC225" s="11">
        <v>1</v>
      </c>
      <c r="AD225" s="11">
        <v>1.2</v>
      </c>
      <c r="AE225" s="11">
        <v>1.35</v>
      </c>
      <c r="AF225" s="11">
        <v>2.5</v>
      </c>
      <c r="AX225" s="14"/>
    </row>
    <row r="226" spans="1:50" ht="23.5" customHeight="1" thickTop="1" thickBot="1" x14ac:dyDescent="0.35">
      <c r="A226" s="63"/>
      <c r="B226" s="76"/>
      <c r="C226" s="25"/>
      <c r="D226" s="86"/>
      <c r="E226" s="1" t="s">
        <v>156</v>
      </c>
      <c r="F226" s="36">
        <v>2</v>
      </c>
      <c r="G226" s="87"/>
      <c r="H226" s="38" t="s">
        <v>164</v>
      </c>
      <c r="I226" s="38">
        <v>1</v>
      </c>
      <c r="J226" s="36"/>
      <c r="K226" s="25"/>
      <c r="L226" s="25"/>
      <c r="M226" s="18"/>
      <c r="O226" s="1">
        <v>7</v>
      </c>
      <c r="P226" s="1">
        <v>1</v>
      </c>
      <c r="Q226" s="1">
        <v>1</v>
      </c>
      <c r="R226" s="1">
        <v>1</v>
      </c>
      <c r="S226" s="14"/>
      <c r="U226" s="9"/>
      <c r="V226" s="10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X226" s="14"/>
    </row>
    <row r="227" spans="1:50" ht="23.5" customHeight="1" thickTop="1" thickBot="1" x14ac:dyDescent="0.35">
      <c r="A227" s="63"/>
      <c r="B227" s="76"/>
      <c r="C227" s="25"/>
      <c r="D227" s="87"/>
      <c r="E227" s="38" t="s">
        <v>197</v>
      </c>
      <c r="F227" s="38">
        <v>2</v>
      </c>
      <c r="G227" s="39"/>
      <c r="H227" s="39"/>
      <c r="I227" s="39"/>
      <c r="J227" s="36"/>
      <c r="K227" s="36"/>
      <c r="L227" s="25"/>
      <c r="M227" s="18"/>
      <c r="O227" s="1">
        <v>8</v>
      </c>
      <c r="P227" s="1">
        <v>2</v>
      </c>
      <c r="Q227" s="1">
        <v>1</v>
      </c>
      <c r="R227" s="1">
        <v>4</v>
      </c>
      <c r="S227" s="14"/>
      <c r="U227" s="9"/>
      <c r="V227" s="10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X227" s="14"/>
    </row>
    <row r="228" spans="1:50" ht="23" customHeight="1" thickTop="1" x14ac:dyDescent="0.3">
      <c r="A228" s="63"/>
      <c r="B228" s="76"/>
      <c r="C228" s="25"/>
      <c r="D228" s="39"/>
      <c r="E228" s="39"/>
      <c r="F228" s="39"/>
      <c r="G228" s="25"/>
      <c r="H228" s="25"/>
      <c r="I228" s="25"/>
      <c r="J228" s="25"/>
      <c r="K228" s="25"/>
      <c r="L228" s="25"/>
      <c r="M228" s="18"/>
      <c r="O228" s="1">
        <v>9</v>
      </c>
      <c r="P228" s="1">
        <v>2</v>
      </c>
      <c r="Q228" s="1">
        <v>3</v>
      </c>
      <c r="R228" s="1">
        <v>0</v>
      </c>
      <c r="S228" s="14"/>
      <c r="AX228" s="14"/>
    </row>
    <row r="229" spans="1:50" ht="23" customHeight="1" thickBot="1" x14ac:dyDescent="0.35">
      <c r="A229" s="63"/>
      <c r="B229" s="76"/>
      <c r="C229" s="25"/>
      <c r="D229" s="36"/>
      <c r="E229" s="36"/>
      <c r="F229" s="36"/>
      <c r="G229" s="25"/>
      <c r="H229" s="25"/>
      <c r="I229" s="25"/>
      <c r="J229" s="25"/>
      <c r="K229" s="25"/>
      <c r="L229" s="25"/>
      <c r="M229" s="18"/>
      <c r="O229" s="4">
        <v>10</v>
      </c>
      <c r="P229" s="4">
        <v>2</v>
      </c>
      <c r="Q229" s="4">
        <v>0</v>
      </c>
      <c r="R229" s="4">
        <v>2</v>
      </c>
      <c r="S229" s="14"/>
      <c r="AX229" s="14"/>
    </row>
    <row r="230" spans="1:50" ht="23.5" customHeight="1" thickTop="1" thickBot="1" x14ac:dyDescent="0.35">
      <c r="A230" s="63"/>
      <c r="B230" s="8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19"/>
      <c r="N230" s="15"/>
      <c r="O230" s="15"/>
      <c r="P230" s="15"/>
      <c r="Q230" s="15"/>
      <c r="R230" s="15"/>
      <c r="S230" s="16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6"/>
    </row>
    <row r="231" spans="1:50" ht="15" customHeight="1" thickTop="1" thickBot="1" x14ac:dyDescent="0.35">
      <c r="A231" s="63"/>
      <c r="B231" s="89" t="s">
        <v>121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17"/>
      <c r="N231" s="24"/>
      <c r="O231" s="24"/>
      <c r="P231" s="24"/>
      <c r="Q231" s="24"/>
      <c r="R231" s="24"/>
      <c r="S231" s="17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17"/>
    </row>
    <row r="232" spans="1:50" ht="16" customHeight="1" thickTop="1" thickBot="1" x14ac:dyDescent="0.35">
      <c r="A232" s="63"/>
      <c r="B232" s="76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17"/>
      <c r="N232" s="24"/>
      <c r="O232" s="82" t="s">
        <v>205</v>
      </c>
      <c r="P232" s="82" t="s">
        <v>206</v>
      </c>
      <c r="Q232" s="83"/>
      <c r="R232" s="83"/>
      <c r="S232" s="17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17"/>
    </row>
    <row r="233" spans="1:50" ht="31" customHeight="1" thickTop="1" thickBot="1" x14ac:dyDescent="0.35">
      <c r="A233" s="63"/>
      <c r="B233" s="76"/>
      <c r="C233" s="24"/>
      <c r="D233" s="27" t="s">
        <v>191</v>
      </c>
      <c r="E233" s="27" t="s">
        <v>192</v>
      </c>
      <c r="F233" s="27" t="s">
        <v>193</v>
      </c>
      <c r="G233" s="27" t="s">
        <v>191</v>
      </c>
      <c r="H233" s="27" t="s">
        <v>192</v>
      </c>
      <c r="I233" s="27" t="s">
        <v>193</v>
      </c>
      <c r="J233" s="27" t="s">
        <v>191</v>
      </c>
      <c r="K233" s="27" t="s">
        <v>192</v>
      </c>
      <c r="L233" s="27" t="s">
        <v>193</v>
      </c>
      <c r="M233" s="17"/>
      <c r="N233" s="24"/>
      <c r="O233" s="84"/>
      <c r="P233" s="2" t="s">
        <v>178</v>
      </c>
      <c r="Q233" s="2" t="s">
        <v>186</v>
      </c>
      <c r="R233" s="2" t="s">
        <v>190</v>
      </c>
      <c r="S233" s="17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17"/>
    </row>
    <row r="234" spans="1:50" ht="23" customHeight="1" thickTop="1" x14ac:dyDescent="0.3">
      <c r="A234" s="63"/>
      <c r="B234" s="76"/>
      <c r="C234" s="33"/>
      <c r="D234" s="88" t="s">
        <v>194</v>
      </c>
      <c r="E234" s="36" t="s">
        <v>148</v>
      </c>
      <c r="F234" s="36">
        <v>6</v>
      </c>
      <c r="G234" s="85" t="s">
        <v>198</v>
      </c>
      <c r="H234" s="36" t="s">
        <v>158</v>
      </c>
      <c r="I234" s="36">
        <v>3</v>
      </c>
      <c r="J234" s="85" t="s">
        <v>202</v>
      </c>
      <c r="K234" s="36" t="s">
        <v>203</v>
      </c>
      <c r="L234" s="36">
        <v>3</v>
      </c>
      <c r="M234" s="18"/>
      <c r="N234" s="13"/>
      <c r="O234" s="1">
        <v>1</v>
      </c>
      <c r="P234" s="1">
        <v>1</v>
      </c>
      <c r="Q234" s="1">
        <v>1</v>
      </c>
      <c r="R234" s="1">
        <v>0</v>
      </c>
      <c r="S234" s="14"/>
      <c r="T234" s="13"/>
      <c r="U234" s="24"/>
      <c r="AX234" s="14"/>
    </row>
    <row r="235" spans="1:50" ht="23" customHeight="1" thickBot="1" x14ac:dyDescent="0.35">
      <c r="A235" s="63"/>
      <c r="B235" s="76"/>
      <c r="C235" s="25"/>
      <c r="D235" s="86"/>
      <c r="E235" s="36" t="s">
        <v>195</v>
      </c>
      <c r="F235" s="36">
        <v>3</v>
      </c>
      <c r="G235" s="86"/>
      <c r="H235" s="36" t="s">
        <v>159</v>
      </c>
      <c r="I235" s="36">
        <v>2</v>
      </c>
      <c r="J235" s="86"/>
      <c r="K235" s="36" t="s">
        <v>166</v>
      </c>
      <c r="L235" s="36">
        <v>3</v>
      </c>
      <c r="M235" s="18"/>
      <c r="O235" s="1">
        <v>2</v>
      </c>
      <c r="P235" s="1">
        <v>2</v>
      </c>
      <c r="Q235" s="1">
        <v>2</v>
      </c>
      <c r="R235" s="1">
        <v>1</v>
      </c>
      <c r="S235" s="14"/>
      <c r="Z235" s="23" t="s">
        <v>194</v>
      </c>
      <c r="AK235" s="23" t="s">
        <v>198</v>
      </c>
      <c r="AT235" s="23" t="s">
        <v>202</v>
      </c>
      <c r="AX235" s="14"/>
    </row>
    <row r="236" spans="1:50" ht="25" customHeight="1" thickTop="1" thickBot="1" x14ac:dyDescent="0.35">
      <c r="A236" s="63"/>
      <c r="B236" s="76"/>
      <c r="C236" s="25"/>
      <c r="D236" s="86"/>
      <c r="E236" s="36" t="s">
        <v>196</v>
      </c>
      <c r="F236" s="36">
        <v>2</v>
      </c>
      <c r="G236" s="86"/>
      <c r="H236" s="36" t="s">
        <v>160</v>
      </c>
      <c r="I236" s="36">
        <v>2</v>
      </c>
      <c r="J236" s="86"/>
      <c r="K236" s="36" t="s">
        <v>167</v>
      </c>
      <c r="L236" s="36">
        <v>3</v>
      </c>
      <c r="M236" s="18"/>
      <c r="O236" s="1">
        <v>3</v>
      </c>
      <c r="P236" s="1">
        <v>0</v>
      </c>
      <c r="Q236" s="1">
        <v>1</v>
      </c>
      <c r="R236" s="1">
        <v>1</v>
      </c>
      <c r="S236" s="14"/>
      <c r="U236" s="7" t="s">
        <v>146</v>
      </c>
      <c r="V236" s="7" t="s">
        <v>147</v>
      </c>
      <c r="W236" s="7" t="s">
        <v>148</v>
      </c>
      <c r="X236" s="7" t="s">
        <v>149</v>
      </c>
      <c r="Y236" s="7" t="s">
        <v>150</v>
      </c>
      <c r="Z236" s="8" t="s">
        <v>151</v>
      </c>
      <c r="AA236" s="7" t="s">
        <v>152</v>
      </c>
      <c r="AB236" s="7" t="s">
        <v>153</v>
      </c>
      <c r="AC236" s="7" t="s">
        <v>154</v>
      </c>
      <c r="AD236" s="7" t="s">
        <v>155</v>
      </c>
      <c r="AE236" s="8" t="s">
        <v>156</v>
      </c>
      <c r="AF236" s="7" t="s">
        <v>157</v>
      </c>
      <c r="AH236" s="7" t="s">
        <v>146</v>
      </c>
      <c r="AI236" s="7" t="s">
        <v>147</v>
      </c>
      <c r="AJ236" s="7" t="s">
        <v>158</v>
      </c>
      <c r="AK236" s="7" t="s">
        <v>159</v>
      </c>
      <c r="AL236" s="7" t="s">
        <v>160</v>
      </c>
      <c r="AM236" s="7" t="s">
        <v>161</v>
      </c>
      <c r="AN236" s="7" t="s">
        <v>162</v>
      </c>
      <c r="AO236" s="7" t="s">
        <v>163</v>
      </c>
      <c r="AP236" s="7" t="s">
        <v>164</v>
      </c>
      <c r="AR236" s="7" t="s">
        <v>146</v>
      </c>
      <c r="AS236" s="7" t="s">
        <v>147</v>
      </c>
      <c r="AT236" s="7" t="s">
        <v>165</v>
      </c>
      <c r="AU236" s="7" t="s">
        <v>166</v>
      </c>
      <c r="AV236" s="7" t="s">
        <v>167</v>
      </c>
      <c r="AW236" s="7" t="s">
        <v>168</v>
      </c>
      <c r="AX236" s="14"/>
    </row>
    <row r="237" spans="1:50" ht="24" customHeight="1" thickTop="1" thickBot="1" x14ac:dyDescent="0.35">
      <c r="A237" s="63"/>
      <c r="B237" s="76"/>
      <c r="C237" s="25"/>
      <c r="D237" s="86"/>
      <c r="E237" s="1" t="s">
        <v>151</v>
      </c>
      <c r="F237" s="36">
        <v>2</v>
      </c>
      <c r="G237" s="86"/>
      <c r="H237" s="36" t="s">
        <v>199</v>
      </c>
      <c r="I237" s="36">
        <v>2</v>
      </c>
      <c r="J237" s="87"/>
      <c r="K237" s="38" t="s">
        <v>168</v>
      </c>
      <c r="L237" s="38">
        <v>3</v>
      </c>
      <c r="M237" s="18"/>
      <c r="O237" s="1">
        <v>4</v>
      </c>
      <c r="P237" s="1">
        <v>0</v>
      </c>
      <c r="Q237" s="1">
        <v>3</v>
      </c>
      <c r="R237" s="1">
        <v>5</v>
      </c>
      <c r="S237" s="14"/>
      <c r="U237" s="9" t="s">
        <v>171</v>
      </c>
      <c r="V237" s="10" t="s">
        <v>172</v>
      </c>
      <c r="W237" s="9">
        <v>7.68</v>
      </c>
      <c r="X237" s="9">
        <v>0.82</v>
      </c>
      <c r="Y237" s="9">
        <v>1.17</v>
      </c>
      <c r="Z237" s="9">
        <v>0.62</v>
      </c>
      <c r="AA237" s="9">
        <v>2.9</v>
      </c>
      <c r="AB237" s="9">
        <v>0.8</v>
      </c>
      <c r="AC237" s="9">
        <v>0.96</v>
      </c>
      <c r="AD237" s="9">
        <v>1.1200000000000001</v>
      </c>
      <c r="AE237" s="9">
        <v>1.05</v>
      </c>
      <c r="AF237" s="9">
        <v>1.5</v>
      </c>
      <c r="AH237" s="9" t="s">
        <v>173</v>
      </c>
      <c r="AI237" s="10" t="s">
        <v>174</v>
      </c>
      <c r="AJ237" s="9">
        <v>6.15</v>
      </c>
      <c r="AK237" s="9">
        <v>6.57</v>
      </c>
      <c r="AL237" s="9">
        <v>3</v>
      </c>
      <c r="AM237" s="9">
        <v>6.13</v>
      </c>
      <c r="AN237" s="9">
        <v>1.57</v>
      </c>
      <c r="AO237" s="9">
        <v>7.13</v>
      </c>
      <c r="AP237" s="9">
        <v>5.15</v>
      </c>
      <c r="AR237" s="9" t="s">
        <v>175</v>
      </c>
      <c r="AS237" s="10" t="s">
        <v>176</v>
      </c>
      <c r="AT237" s="9">
        <v>2.61</v>
      </c>
      <c r="AU237" s="9">
        <v>1.1599999999999999</v>
      </c>
      <c r="AV237" s="9">
        <v>2.12</v>
      </c>
      <c r="AW237" s="9">
        <v>2</v>
      </c>
      <c r="AX237" s="14"/>
    </row>
    <row r="238" spans="1:50" ht="24" customHeight="1" thickTop="1" thickBot="1" x14ac:dyDescent="0.35">
      <c r="A238" s="63"/>
      <c r="B238" s="76"/>
      <c r="C238" s="25"/>
      <c r="D238" s="86"/>
      <c r="E238" s="36" t="s">
        <v>152</v>
      </c>
      <c r="F238" s="36">
        <v>2</v>
      </c>
      <c r="G238" s="86"/>
      <c r="H238" s="36" t="s">
        <v>200</v>
      </c>
      <c r="I238" s="36">
        <v>2</v>
      </c>
      <c r="J238" s="39"/>
      <c r="K238" s="39"/>
      <c r="L238" s="39"/>
      <c r="M238" s="18"/>
      <c r="O238" s="1">
        <v>5</v>
      </c>
      <c r="P238" s="1">
        <v>1</v>
      </c>
      <c r="Q238" s="1">
        <v>1</v>
      </c>
      <c r="R238" s="1">
        <v>1</v>
      </c>
      <c r="S238" s="14"/>
      <c r="U238" s="9" t="s">
        <v>179</v>
      </c>
      <c r="V238" s="10" t="s">
        <v>180</v>
      </c>
      <c r="W238" s="9">
        <v>8.48</v>
      </c>
      <c r="X238" s="9">
        <v>0.69</v>
      </c>
      <c r="Y238" s="9">
        <v>1.01</v>
      </c>
      <c r="Z238" s="9">
        <v>0.7</v>
      </c>
      <c r="AA238" s="9">
        <v>2.5</v>
      </c>
      <c r="AB238" s="9">
        <v>0.84</v>
      </c>
      <c r="AC238" s="9">
        <v>0.91</v>
      </c>
      <c r="AD238" s="9">
        <v>1.07</v>
      </c>
      <c r="AE238" s="9">
        <v>1.27</v>
      </c>
      <c r="AF238" s="9">
        <v>2.2000000000000002</v>
      </c>
      <c r="AH238" s="11" t="s">
        <v>181</v>
      </c>
      <c r="AI238" s="12" t="s">
        <v>182</v>
      </c>
      <c r="AJ238" s="11">
        <v>6.93</v>
      </c>
      <c r="AK238" s="11">
        <v>7.45</v>
      </c>
      <c r="AL238" s="11">
        <v>3</v>
      </c>
      <c r="AM238" s="11">
        <v>7.87</v>
      </c>
      <c r="AN238" s="11">
        <v>2.4500000000000002</v>
      </c>
      <c r="AO238" s="11">
        <v>8.8699999999999992</v>
      </c>
      <c r="AP238" s="11">
        <v>5.93</v>
      </c>
      <c r="AR238" s="11" t="s">
        <v>183</v>
      </c>
      <c r="AS238" s="12" t="s">
        <v>184</v>
      </c>
      <c r="AT238" s="11">
        <v>3.19</v>
      </c>
      <c r="AU238" s="11">
        <v>1.03</v>
      </c>
      <c r="AV238" s="11">
        <v>2.75</v>
      </c>
      <c r="AW238" s="11">
        <v>2</v>
      </c>
      <c r="AX238" s="14"/>
    </row>
    <row r="239" spans="1:50" ht="23.5" customHeight="1" thickTop="1" thickBot="1" x14ac:dyDescent="0.35">
      <c r="A239" s="63"/>
      <c r="B239" s="76"/>
      <c r="C239" s="25"/>
      <c r="D239" s="86"/>
      <c r="E239" s="36" t="s">
        <v>153</v>
      </c>
      <c r="F239" s="36">
        <v>2</v>
      </c>
      <c r="G239" s="86"/>
      <c r="H239" s="36" t="s">
        <v>201</v>
      </c>
      <c r="I239" s="36">
        <v>2</v>
      </c>
      <c r="J239" s="25"/>
      <c r="K239" s="25"/>
      <c r="L239" s="25"/>
      <c r="M239" s="18"/>
      <c r="O239" s="1">
        <v>6</v>
      </c>
      <c r="P239" s="1">
        <v>2</v>
      </c>
      <c r="Q239" s="1">
        <v>1</v>
      </c>
      <c r="R239" s="1">
        <v>1</v>
      </c>
      <c r="S239" s="14"/>
      <c r="U239" s="11" t="s">
        <v>187</v>
      </c>
      <c r="V239" s="12" t="s">
        <v>188</v>
      </c>
      <c r="W239" s="11">
        <v>9.25</v>
      </c>
      <c r="X239" s="11">
        <v>0.76</v>
      </c>
      <c r="Y239" s="11">
        <v>1.25</v>
      </c>
      <c r="Z239" s="11">
        <v>0.65</v>
      </c>
      <c r="AA239" s="11">
        <v>2.61</v>
      </c>
      <c r="AB239" s="11">
        <v>0.89</v>
      </c>
      <c r="AC239" s="11">
        <v>0.99</v>
      </c>
      <c r="AD239" s="11">
        <v>1.2</v>
      </c>
      <c r="AE239" s="11">
        <v>1.4</v>
      </c>
      <c r="AF239" s="11">
        <v>1.85</v>
      </c>
      <c r="AX239" s="14"/>
    </row>
    <row r="240" spans="1:50" ht="23.5" customHeight="1" thickTop="1" thickBot="1" x14ac:dyDescent="0.35">
      <c r="A240" s="63"/>
      <c r="B240" s="76"/>
      <c r="C240" s="25"/>
      <c r="D240" s="86"/>
      <c r="E240" s="1" t="s">
        <v>156</v>
      </c>
      <c r="F240" s="36">
        <v>2</v>
      </c>
      <c r="G240" s="87"/>
      <c r="H240" s="38" t="s">
        <v>164</v>
      </c>
      <c r="I240" s="38">
        <v>1</v>
      </c>
      <c r="J240" s="36"/>
      <c r="K240" s="25"/>
      <c r="L240" s="25"/>
      <c r="M240" s="18"/>
      <c r="O240" s="1">
        <v>7</v>
      </c>
      <c r="P240" s="1">
        <v>1</v>
      </c>
      <c r="Q240" s="1">
        <v>1</v>
      </c>
      <c r="R240" s="1">
        <v>1</v>
      </c>
      <c r="S240" s="14"/>
      <c r="U240" s="9"/>
      <c r="V240" s="10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X240" s="14"/>
    </row>
    <row r="241" spans="1:50" ht="23.5" customHeight="1" thickTop="1" thickBot="1" x14ac:dyDescent="0.35">
      <c r="A241" s="63"/>
      <c r="B241" s="76"/>
      <c r="C241" s="25"/>
      <c r="D241" s="87"/>
      <c r="E241" s="38" t="s">
        <v>197</v>
      </c>
      <c r="F241" s="38">
        <v>2</v>
      </c>
      <c r="G241" s="39"/>
      <c r="H241" s="39"/>
      <c r="I241" s="39"/>
      <c r="J241" s="36"/>
      <c r="K241" s="36"/>
      <c r="L241" s="25"/>
      <c r="M241" s="18"/>
      <c r="O241" s="1">
        <v>8</v>
      </c>
      <c r="P241" s="1">
        <v>1</v>
      </c>
      <c r="Q241" s="1">
        <v>3</v>
      </c>
      <c r="R241" s="1">
        <v>1</v>
      </c>
      <c r="S241" s="14"/>
      <c r="U241" s="9"/>
      <c r="V241" s="10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X241" s="14"/>
    </row>
    <row r="242" spans="1:50" ht="23" customHeight="1" thickTop="1" x14ac:dyDescent="0.3">
      <c r="A242" s="63"/>
      <c r="B242" s="76"/>
      <c r="C242" s="25"/>
      <c r="D242" s="39"/>
      <c r="E242" s="39"/>
      <c r="F242" s="39"/>
      <c r="G242" s="25"/>
      <c r="H242" s="25"/>
      <c r="I242" s="25"/>
      <c r="J242" s="25"/>
      <c r="K242" s="25"/>
      <c r="L242" s="25"/>
      <c r="M242" s="18"/>
      <c r="O242" s="1">
        <v>9</v>
      </c>
      <c r="P242" s="1">
        <v>3</v>
      </c>
      <c r="Q242" s="1">
        <v>2</v>
      </c>
      <c r="R242" s="1">
        <v>1</v>
      </c>
      <c r="S242" s="14"/>
      <c r="AX242" s="14"/>
    </row>
    <row r="243" spans="1:50" ht="23" customHeight="1" thickBot="1" x14ac:dyDescent="0.35">
      <c r="A243" s="63"/>
      <c r="B243" s="76"/>
      <c r="C243" s="25"/>
      <c r="D243" s="36"/>
      <c r="E243" s="36"/>
      <c r="F243" s="36"/>
      <c r="G243" s="25"/>
      <c r="H243" s="25"/>
      <c r="I243" s="25"/>
      <c r="J243" s="25"/>
      <c r="K243" s="25"/>
      <c r="L243" s="25"/>
      <c r="M243" s="18"/>
      <c r="O243" s="4">
        <v>10</v>
      </c>
      <c r="P243" s="4">
        <v>2</v>
      </c>
      <c r="Q243" s="4">
        <v>0</v>
      </c>
      <c r="R243" s="4">
        <v>2</v>
      </c>
      <c r="S243" s="14"/>
      <c r="AX243" s="14"/>
    </row>
    <row r="244" spans="1:50" ht="23.5" customHeight="1" thickTop="1" thickBot="1" x14ac:dyDescent="0.35">
      <c r="A244" s="63"/>
      <c r="B244" s="81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19"/>
      <c r="N244" s="15"/>
      <c r="O244" s="15"/>
      <c r="P244" s="15"/>
      <c r="Q244" s="15"/>
      <c r="R244" s="15"/>
      <c r="S244" s="16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6"/>
    </row>
    <row r="245" spans="1:50" ht="15" customHeight="1" thickTop="1" thickBot="1" x14ac:dyDescent="0.35">
      <c r="A245" s="98">
        <v>3</v>
      </c>
      <c r="B245" s="89" t="s">
        <v>122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17"/>
      <c r="N245" s="24"/>
      <c r="O245" s="24"/>
      <c r="P245" s="24"/>
      <c r="Q245" s="24"/>
      <c r="R245" s="24"/>
      <c r="S245" s="17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17"/>
    </row>
    <row r="246" spans="1:50" ht="16" customHeight="1" thickTop="1" thickBot="1" x14ac:dyDescent="0.35">
      <c r="A246" s="63"/>
      <c r="B246" s="76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17"/>
      <c r="N246" s="24"/>
      <c r="O246" s="82" t="s">
        <v>205</v>
      </c>
      <c r="P246" s="82" t="s">
        <v>206</v>
      </c>
      <c r="Q246" s="83"/>
      <c r="R246" s="83"/>
      <c r="S246" s="17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17"/>
    </row>
    <row r="247" spans="1:50" ht="31" customHeight="1" thickTop="1" thickBot="1" x14ac:dyDescent="0.35">
      <c r="A247" s="63"/>
      <c r="B247" s="76"/>
      <c r="C247" s="24"/>
      <c r="D247" s="27" t="s">
        <v>191</v>
      </c>
      <c r="E247" s="27" t="s">
        <v>192</v>
      </c>
      <c r="F247" s="27" t="s">
        <v>193</v>
      </c>
      <c r="G247" s="27" t="s">
        <v>191</v>
      </c>
      <c r="H247" s="27" t="s">
        <v>192</v>
      </c>
      <c r="I247" s="27" t="s">
        <v>193</v>
      </c>
      <c r="J247" s="27" t="s">
        <v>191</v>
      </c>
      <c r="K247" s="27" t="s">
        <v>192</v>
      </c>
      <c r="L247" s="27" t="s">
        <v>193</v>
      </c>
      <c r="M247" s="17"/>
      <c r="N247" s="24"/>
      <c r="O247" s="84"/>
      <c r="P247" s="2" t="s">
        <v>178</v>
      </c>
      <c r="Q247" s="2" t="s">
        <v>186</v>
      </c>
      <c r="R247" s="2" t="s">
        <v>190</v>
      </c>
      <c r="S247" s="17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17"/>
    </row>
    <row r="248" spans="1:50" ht="23" customHeight="1" thickTop="1" x14ac:dyDescent="0.3">
      <c r="A248" s="63"/>
      <c r="B248" s="76"/>
      <c r="C248" s="33"/>
      <c r="D248" s="88" t="s">
        <v>194</v>
      </c>
      <c r="E248" s="36" t="s">
        <v>148</v>
      </c>
      <c r="F248" s="36">
        <v>5</v>
      </c>
      <c r="G248" s="85" t="s">
        <v>198</v>
      </c>
      <c r="H248" s="36" t="s">
        <v>158</v>
      </c>
      <c r="I248" s="36">
        <v>2</v>
      </c>
      <c r="J248" s="85" t="s">
        <v>202</v>
      </c>
      <c r="K248" s="36" t="s">
        <v>203</v>
      </c>
      <c r="L248" s="36">
        <v>3</v>
      </c>
      <c r="M248" s="18"/>
      <c r="N248" s="13"/>
      <c r="O248" s="1">
        <v>1</v>
      </c>
      <c r="P248" s="1">
        <v>1</v>
      </c>
      <c r="Q248" s="1">
        <v>0</v>
      </c>
      <c r="R248" s="1">
        <v>0</v>
      </c>
      <c r="S248" s="14"/>
      <c r="T248" s="13"/>
      <c r="U248" s="24"/>
      <c r="AX248" s="14"/>
    </row>
    <row r="249" spans="1:50" ht="23" customHeight="1" thickBot="1" x14ac:dyDescent="0.35">
      <c r="A249" s="63"/>
      <c r="B249" s="76"/>
      <c r="C249" s="25"/>
      <c r="D249" s="86"/>
      <c r="E249" s="36" t="s">
        <v>195</v>
      </c>
      <c r="F249" s="36">
        <v>2</v>
      </c>
      <c r="G249" s="86"/>
      <c r="H249" s="36" t="s">
        <v>159</v>
      </c>
      <c r="I249" s="36">
        <v>2</v>
      </c>
      <c r="J249" s="86"/>
      <c r="K249" s="36" t="s">
        <v>166</v>
      </c>
      <c r="L249" s="36">
        <v>3</v>
      </c>
      <c r="M249" s="18"/>
      <c r="O249" s="1">
        <v>2</v>
      </c>
      <c r="P249" s="1">
        <v>2</v>
      </c>
      <c r="Q249" s="1">
        <v>1</v>
      </c>
      <c r="R249" s="1">
        <v>1</v>
      </c>
      <c r="S249" s="14"/>
      <c r="Z249" s="23" t="s">
        <v>194</v>
      </c>
      <c r="AK249" s="23" t="s">
        <v>198</v>
      </c>
      <c r="AT249" s="23" t="s">
        <v>202</v>
      </c>
      <c r="AX249" s="14"/>
    </row>
    <row r="250" spans="1:50" ht="25" customHeight="1" thickTop="1" thickBot="1" x14ac:dyDescent="0.35">
      <c r="A250" s="63"/>
      <c r="B250" s="76"/>
      <c r="C250" s="25"/>
      <c r="D250" s="86"/>
      <c r="E250" s="36" t="s">
        <v>196</v>
      </c>
      <c r="F250" s="36">
        <v>2</v>
      </c>
      <c r="G250" s="86"/>
      <c r="H250" s="36" t="s">
        <v>160</v>
      </c>
      <c r="I250" s="36">
        <v>2</v>
      </c>
      <c r="J250" s="86"/>
      <c r="K250" s="36" t="s">
        <v>167</v>
      </c>
      <c r="L250" s="36">
        <v>2</v>
      </c>
      <c r="M250" s="18"/>
      <c r="O250" s="1">
        <v>3</v>
      </c>
      <c r="P250" s="1">
        <v>0</v>
      </c>
      <c r="Q250" s="1">
        <v>1</v>
      </c>
      <c r="R250" s="1">
        <v>1</v>
      </c>
      <c r="S250" s="14"/>
      <c r="U250" s="7" t="s">
        <v>146</v>
      </c>
      <c r="V250" s="7" t="s">
        <v>147</v>
      </c>
      <c r="W250" s="7" t="s">
        <v>148</v>
      </c>
      <c r="X250" s="7" t="s">
        <v>149</v>
      </c>
      <c r="Y250" s="7" t="s">
        <v>150</v>
      </c>
      <c r="Z250" s="8" t="s">
        <v>151</v>
      </c>
      <c r="AA250" s="7" t="s">
        <v>152</v>
      </c>
      <c r="AB250" s="7" t="s">
        <v>153</v>
      </c>
      <c r="AC250" s="7" t="s">
        <v>154</v>
      </c>
      <c r="AD250" s="7" t="s">
        <v>155</v>
      </c>
      <c r="AE250" s="8" t="s">
        <v>156</v>
      </c>
      <c r="AF250" s="7" t="s">
        <v>157</v>
      </c>
      <c r="AH250" s="7" t="s">
        <v>146</v>
      </c>
      <c r="AI250" s="7" t="s">
        <v>147</v>
      </c>
      <c r="AJ250" s="7" t="s">
        <v>158</v>
      </c>
      <c r="AK250" s="7" t="s">
        <v>159</v>
      </c>
      <c r="AL250" s="7" t="s">
        <v>160</v>
      </c>
      <c r="AM250" s="7" t="s">
        <v>161</v>
      </c>
      <c r="AN250" s="7" t="s">
        <v>162</v>
      </c>
      <c r="AO250" s="7" t="s">
        <v>163</v>
      </c>
      <c r="AP250" s="7" t="s">
        <v>164</v>
      </c>
      <c r="AR250" s="7" t="s">
        <v>146</v>
      </c>
      <c r="AS250" s="7" t="s">
        <v>147</v>
      </c>
      <c r="AT250" s="7" t="s">
        <v>165</v>
      </c>
      <c r="AU250" s="7" t="s">
        <v>166</v>
      </c>
      <c r="AV250" s="7" t="s">
        <v>167</v>
      </c>
      <c r="AW250" s="7" t="s">
        <v>168</v>
      </c>
      <c r="AX250" s="14"/>
    </row>
    <row r="251" spans="1:50" ht="24" customHeight="1" thickTop="1" thickBot="1" x14ac:dyDescent="0.35">
      <c r="A251" s="63"/>
      <c r="B251" s="76"/>
      <c r="C251" s="25"/>
      <c r="D251" s="86"/>
      <c r="E251" s="1" t="s">
        <v>151</v>
      </c>
      <c r="F251" s="36">
        <v>2</v>
      </c>
      <c r="G251" s="86"/>
      <c r="H251" s="36" t="s">
        <v>199</v>
      </c>
      <c r="I251" s="36">
        <v>2</v>
      </c>
      <c r="J251" s="87"/>
      <c r="K251" s="38" t="s">
        <v>168</v>
      </c>
      <c r="L251" s="38">
        <v>2</v>
      </c>
      <c r="M251" s="18"/>
      <c r="O251" s="1">
        <v>4</v>
      </c>
      <c r="P251" s="1">
        <v>0</v>
      </c>
      <c r="Q251" s="1">
        <v>2</v>
      </c>
      <c r="R251" s="1">
        <v>0</v>
      </c>
      <c r="S251" s="14"/>
      <c r="U251" s="9" t="s">
        <v>171</v>
      </c>
      <c r="V251" s="10" t="s">
        <v>172</v>
      </c>
      <c r="W251" s="9">
        <v>7.42</v>
      </c>
      <c r="X251" s="9">
        <v>0.7</v>
      </c>
      <c r="Y251" s="9">
        <v>1.1499999999999999</v>
      </c>
      <c r="Z251" s="9">
        <v>0.56999999999999995</v>
      </c>
      <c r="AA251" s="9">
        <v>2.5</v>
      </c>
      <c r="AB251" s="9">
        <v>0.87</v>
      </c>
      <c r="AC251" s="9">
        <v>0.95</v>
      </c>
      <c r="AD251" s="9">
        <v>1.18</v>
      </c>
      <c r="AE251" s="9">
        <v>1.32</v>
      </c>
      <c r="AF251" s="9">
        <v>2.1</v>
      </c>
      <c r="AH251" s="9" t="s">
        <v>173</v>
      </c>
      <c r="AI251" s="10" t="s">
        <v>174</v>
      </c>
      <c r="AJ251" s="9">
        <v>6.5</v>
      </c>
      <c r="AK251" s="9">
        <v>6.83</v>
      </c>
      <c r="AL251" s="9">
        <v>3</v>
      </c>
      <c r="AM251" s="9">
        <v>6.5</v>
      </c>
      <c r="AN251" s="9">
        <v>1.83</v>
      </c>
      <c r="AO251" s="9">
        <v>7.5</v>
      </c>
      <c r="AP251" s="9">
        <v>5.4</v>
      </c>
      <c r="AR251" s="9" t="s">
        <v>175</v>
      </c>
      <c r="AS251" s="10" t="s">
        <v>176</v>
      </c>
      <c r="AT251" s="9">
        <v>3.3</v>
      </c>
      <c r="AU251" s="9">
        <v>1.23</v>
      </c>
      <c r="AV251" s="9">
        <v>2.8</v>
      </c>
      <c r="AW251" s="9">
        <v>2</v>
      </c>
      <c r="AX251" s="14"/>
    </row>
    <row r="252" spans="1:50" ht="24" customHeight="1" thickTop="1" thickBot="1" x14ac:dyDescent="0.35">
      <c r="A252" s="63"/>
      <c r="B252" s="76"/>
      <c r="C252" s="25"/>
      <c r="D252" s="86"/>
      <c r="E252" s="36" t="s">
        <v>152</v>
      </c>
      <c r="F252" s="36">
        <v>2</v>
      </c>
      <c r="G252" s="86"/>
      <c r="H252" s="36" t="s">
        <v>200</v>
      </c>
      <c r="I252" s="36">
        <v>2</v>
      </c>
      <c r="J252" s="39"/>
      <c r="K252" s="39"/>
      <c r="L252" s="39"/>
      <c r="M252" s="18"/>
      <c r="O252" s="1">
        <v>5</v>
      </c>
      <c r="P252" s="1">
        <v>1</v>
      </c>
      <c r="Q252" s="1">
        <v>1</v>
      </c>
      <c r="R252" s="1">
        <v>1</v>
      </c>
      <c r="S252" s="14"/>
      <c r="U252" s="9" t="s">
        <v>179</v>
      </c>
      <c r="V252" s="10" t="s">
        <v>180</v>
      </c>
      <c r="W252" s="9">
        <v>8.7100000000000009</v>
      </c>
      <c r="X252" s="9">
        <v>0.87</v>
      </c>
      <c r="Y252" s="9">
        <v>1.03</v>
      </c>
      <c r="Z252" s="9">
        <v>0.68</v>
      </c>
      <c r="AA252" s="9">
        <v>2.85</v>
      </c>
      <c r="AB252" s="9">
        <v>0.83</v>
      </c>
      <c r="AC252" s="9">
        <v>0.92</v>
      </c>
      <c r="AD252" s="9">
        <v>1</v>
      </c>
      <c r="AE252" s="9">
        <v>1.1000000000000001</v>
      </c>
      <c r="AF252" s="9">
        <v>1.65</v>
      </c>
      <c r="AH252" s="11" t="s">
        <v>181</v>
      </c>
      <c r="AI252" s="12" t="s">
        <v>182</v>
      </c>
      <c r="AJ252" s="11">
        <v>6.81</v>
      </c>
      <c r="AK252" s="11">
        <v>7.28</v>
      </c>
      <c r="AL252" s="11">
        <v>3</v>
      </c>
      <c r="AM252" s="11">
        <v>7.5</v>
      </c>
      <c r="AN252" s="11">
        <v>2.1800000000000002</v>
      </c>
      <c r="AO252" s="11">
        <v>8.5</v>
      </c>
      <c r="AP252" s="11">
        <v>5.71</v>
      </c>
      <c r="AR252" s="11" t="s">
        <v>183</v>
      </c>
      <c r="AS252" s="12" t="s">
        <v>184</v>
      </c>
      <c r="AT252" s="11">
        <v>2.57</v>
      </c>
      <c r="AU252" s="11">
        <v>1.1499999999999999</v>
      </c>
      <c r="AV252" s="11">
        <v>2.2999999999999998</v>
      </c>
      <c r="AW252" s="11">
        <v>2</v>
      </c>
      <c r="AX252" s="14"/>
    </row>
    <row r="253" spans="1:50" ht="23.5" customHeight="1" thickTop="1" thickBot="1" x14ac:dyDescent="0.35">
      <c r="A253" s="63"/>
      <c r="B253" s="76"/>
      <c r="C253" s="25"/>
      <c r="D253" s="86"/>
      <c r="E253" s="36" t="s">
        <v>153</v>
      </c>
      <c r="F253" s="36">
        <v>2</v>
      </c>
      <c r="G253" s="86"/>
      <c r="H253" s="36" t="s">
        <v>201</v>
      </c>
      <c r="I253" s="36">
        <v>1</v>
      </c>
      <c r="J253" s="25"/>
      <c r="K253" s="25"/>
      <c r="L253" s="25"/>
      <c r="M253" s="18"/>
      <c r="O253" s="1">
        <v>6</v>
      </c>
      <c r="P253" s="1">
        <v>2</v>
      </c>
      <c r="Q253" s="1">
        <v>1</v>
      </c>
      <c r="R253" s="1">
        <v>1</v>
      </c>
      <c r="S253" s="14"/>
      <c r="U253" s="11" t="s">
        <v>187</v>
      </c>
      <c r="V253" s="12" t="s">
        <v>188</v>
      </c>
      <c r="W253" s="11">
        <v>9.07</v>
      </c>
      <c r="X253" s="11">
        <v>0.67</v>
      </c>
      <c r="Y253" s="11">
        <v>1.2</v>
      </c>
      <c r="Z253" s="11">
        <v>0.72</v>
      </c>
      <c r="AA253" s="11">
        <v>2.5</v>
      </c>
      <c r="AB253" s="11">
        <v>0.81</v>
      </c>
      <c r="AC253" s="11">
        <v>0.98</v>
      </c>
      <c r="AD253" s="11">
        <v>1.1499999999999999</v>
      </c>
      <c r="AE253" s="11">
        <v>1.38</v>
      </c>
      <c r="AF253" s="11">
        <v>2.4300000000000002</v>
      </c>
      <c r="AX253" s="14"/>
    </row>
    <row r="254" spans="1:50" ht="23.5" customHeight="1" thickTop="1" thickBot="1" x14ac:dyDescent="0.35">
      <c r="A254" s="63"/>
      <c r="B254" s="76"/>
      <c r="C254" s="25"/>
      <c r="D254" s="86"/>
      <c r="E254" s="1" t="s">
        <v>156</v>
      </c>
      <c r="F254" s="36">
        <v>2</v>
      </c>
      <c r="G254" s="87"/>
      <c r="H254" s="38" t="s">
        <v>164</v>
      </c>
      <c r="I254" s="38">
        <v>1</v>
      </c>
      <c r="J254" s="36"/>
      <c r="K254" s="25"/>
      <c r="L254" s="25"/>
      <c r="M254" s="18"/>
      <c r="O254" s="1">
        <v>7</v>
      </c>
      <c r="P254" s="1">
        <v>1</v>
      </c>
      <c r="Q254" s="1">
        <v>1</v>
      </c>
      <c r="R254" s="1">
        <v>1</v>
      </c>
      <c r="S254" s="14"/>
      <c r="U254" s="9"/>
      <c r="V254" s="10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X254" s="14"/>
    </row>
    <row r="255" spans="1:50" ht="23.5" customHeight="1" thickTop="1" thickBot="1" x14ac:dyDescent="0.35">
      <c r="A255" s="63"/>
      <c r="B255" s="76"/>
      <c r="C255" s="25"/>
      <c r="D255" s="87"/>
      <c r="E255" s="38" t="s">
        <v>197</v>
      </c>
      <c r="F255" s="38">
        <v>1</v>
      </c>
      <c r="G255" s="39"/>
      <c r="H255" s="39"/>
      <c r="I255" s="39"/>
      <c r="J255" s="36"/>
      <c r="K255" s="36"/>
      <c r="L255" s="25"/>
      <c r="M255" s="18"/>
      <c r="O255" s="1">
        <v>8</v>
      </c>
      <c r="P255" s="1">
        <v>1</v>
      </c>
      <c r="Q255" s="1">
        <v>1</v>
      </c>
      <c r="R255" s="1">
        <v>3</v>
      </c>
      <c r="S255" s="14"/>
      <c r="U255" s="9"/>
      <c r="V255" s="10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X255" s="14"/>
    </row>
    <row r="256" spans="1:50" ht="23" customHeight="1" thickTop="1" x14ac:dyDescent="0.3">
      <c r="A256" s="63"/>
      <c r="B256" s="76"/>
      <c r="C256" s="25"/>
      <c r="D256" s="39"/>
      <c r="E256" s="39"/>
      <c r="F256" s="39"/>
      <c r="G256" s="25"/>
      <c r="H256" s="25"/>
      <c r="I256" s="25"/>
      <c r="J256" s="25"/>
      <c r="K256" s="25"/>
      <c r="L256" s="25"/>
      <c r="M256" s="18"/>
      <c r="O256" s="1">
        <v>9</v>
      </c>
      <c r="P256" s="1">
        <v>1</v>
      </c>
      <c r="Q256" s="1">
        <v>1</v>
      </c>
      <c r="R256" s="1">
        <v>0</v>
      </c>
      <c r="S256" s="14"/>
      <c r="AX256" s="14"/>
    </row>
    <row r="257" spans="1:50" ht="23" customHeight="1" thickBot="1" x14ac:dyDescent="0.35">
      <c r="A257" s="63"/>
      <c r="B257" s="76"/>
      <c r="C257" s="25"/>
      <c r="D257" s="36"/>
      <c r="E257" s="36"/>
      <c r="F257" s="36"/>
      <c r="G257" s="25"/>
      <c r="H257" s="25"/>
      <c r="I257" s="25"/>
      <c r="J257" s="25"/>
      <c r="K257" s="25"/>
      <c r="L257" s="25"/>
      <c r="M257" s="18"/>
      <c r="O257" s="4">
        <v>10</v>
      </c>
      <c r="P257" s="4">
        <v>2</v>
      </c>
      <c r="Q257" s="4">
        <v>0</v>
      </c>
      <c r="R257" s="4">
        <v>2</v>
      </c>
      <c r="S257" s="14"/>
      <c r="AX257" s="14"/>
    </row>
    <row r="258" spans="1:50" ht="23.5" customHeight="1" thickTop="1" thickBot="1" x14ac:dyDescent="0.35">
      <c r="A258" s="63"/>
      <c r="B258" s="81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19"/>
      <c r="N258" s="15"/>
      <c r="O258" s="15"/>
      <c r="P258" s="15"/>
      <c r="Q258" s="15"/>
      <c r="R258" s="15"/>
      <c r="S258" s="16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6"/>
    </row>
    <row r="259" spans="1:50" ht="15" customHeight="1" thickTop="1" thickBot="1" x14ac:dyDescent="0.35">
      <c r="A259" s="63"/>
      <c r="B259" s="89" t="s">
        <v>123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17"/>
      <c r="N259" s="24"/>
      <c r="O259" s="24"/>
      <c r="P259" s="24"/>
      <c r="Q259" s="24"/>
      <c r="R259" s="24"/>
      <c r="S259" s="17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17"/>
    </row>
    <row r="260" spans="1:50" ht="16" customHeight="1" thickTop="1" thickBot="1" x14ac:dyDescent="0.35">
      <c r="A260" s="63"/>
      <c r="B260" s="76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17"/>
      <c r="N260" s="24"/>
      <c r="O260" s="82" t="s">
        <v>205</v>
      </c>
      <c r="P260" s="82" t="s">
        <v>206</v>
      </c>
      <c r="Q260" s="83"/>
      <c r="R260" s="83"/>
      <c r="S260" s="17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17"/>
    </row>
    <row r="261" spans="1:50" ht="31" customHeight="1" thickTop="1" thickBot="1" x14ac:dyDescent="0.35">
      <c r="A261" s="63"/>
      <c r="B261" s="76"/>
      <c r="C261" s="24"/>
      <c r="D261" s="27" t="s">
        <v>191</v>
      </c>
      <c r="E261" s="27" t="s">
        <v>192</v>
      </c>
      <c r="F261" s="27" t="s">
        <v>193</v>
      </c>
      <c r="G261" s="27" t="s">
        <v>191</v>
      </c>
      <c r="H261" s="27" t="s">
        <v>192</v>
      </c>
      <c r="I261" s="27" t="s">
        <v>193</v>
      </c>
      <c r="J261" s="27" t="s">
        <v>191</v>
      </c>
      <c r="K261" s="27" t="s">
        <v>192</v>
      </c>
      <c r="L261" s="27" t="s">
        <v>193</v>
      </c>
      <c r="M261" s="17"/>
      <c r="N261" s="24"/>
      <c r="O261" s="84"/>
      <c r="P261" s="2" t="s">
        <v>178</v>
      </c>
      <c r="Q261" s="2" t="s">
        <v>186</v>
      </c>
      <c r="R261" s="2" t="s">
        <v>190</v>
      </c>
      <c r="S261" s="1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17"/>
    </row>
    <row r="262" spans="1:50" ht="23" customHeight="1" thickTop="1" x14ac:dyDescent="0.3">
      <c r="A262" s="63"/>
      <c r="B262" s="76"/>
      <c r="C262" s="33"/>
      <c r="D262" s="88" t="s">
        <v>194</v>
      </c>
      <c r="E262" s="36" t="s">
        <v>148</v>
      </c>
      <c r="F262" s="36">
        <v>5</v>
      </c>
      <c r="G262" s="85" t="s">
        <v>198</v>
      </c>
      <c r="H262" s="36" t="s">
        <v>158</v>
      </c>
      <c r="I262" s="36">
        <v>2</v>
      </c>
      <c r="J262" s="85" t="s">
        <v>202</v>
      </c>
      <c r="K262" s="36" t="s">
        <v>203</v>
      </c>
      <c r="L262" s="36">
        <v>3</v>
      </c>
      <c r="M262" s="18"/>
      <c r="N262" s="13"/>
      <c r="O262" s="1">
        <v>1</v>
      </c>
      <c r="P262" s="1">
        <v>1</v>
      </c>
      <c r="Q262" s="1">
        <v>0</v>
      </c>
      <c r="R262" s="1">
        <v>0</v>
      </c>
      <c r="S262" s="14"/>
      <c r="T262" s="13"/>
      <c r="U262" s="24"/>
      <c r="AX262" s="14"/>
    </row>
    <row r="263" spans="1:50" ht="23" customHeight="1" thickBot="1" x14ac:dyDescent="0.35">
      <c r="A263" s="63"/>
      <c r="B263" s="76"/>
      <c r="C263" s="25"/>
      <c r="D263" s="86"/>
      <c r="E263" s="36" t="s">
        <v>195</v>
      </c>
      <c r="F263" s="36">
        <v>2</v>
      </c>
      <c r="G263" s="86"/>
      <c r="H263" s="36" t="s">
        <v>159</v>
      </c>
      <c r="I263" s="36">
        <v>2</v>
      </c>
      <c r="J263" s="86"/>
      <c r="K263" s="36" t="s">
        <v>166</v>
      </c>
      <c r="L263" s="36">
        <v>3</v>
      </c>
      <c r="M263" s="18"/>
      <c r="O263" s="1">
        <v>2</v>
      </c>
      <c r="P263" s="1">
        <v>1</v>
      </c>
      <c r="Q263" s="1">
        <v>2</v>
      </c>
      <c r="R263" s="1">
        <v>0</v>
      </c>
      <c r="S263" s="14"/>
      <c r="Z263" s="23" t="s">
        <v>194</v>
      </c>
      <c r="AK263" s="23" t="s">
        <v>198</v>
      </c>
      <c r="AT263" s="23" t="s">
        <v>202</v>
      </c>
      <c r="AX263" s="14"/>
    </row>
    <row r="264" spans="1:50" ht="25" customHeight="1" thickTop="1" thickBot="1" x14ac:dyDescent="0.35">
      <c r="A264" s="63"/>
      <c r="B264" s="76"/>
      <c r="C264" s="25"/>
      <c r="D264" s="86"/>
      <c r="E264" s="36" t="s">
        <v>196</v>
      </c>
      <c r="F264" s="36">
        <v>2</v>
      </c>
      <c r="G264" s="86"/>
      <c r="H264" s="36" t="s">
        <v>160</v>
      </c>
      <c r="I264" s="36">
        <v>2</v>
      </c>
      <c r="J264" s="86"/>
      <c r="K264" s="36" t="s">
        <v>167</v>
      </c>
      <c r="L264" s="36">
        <v>2</v>
      </c>
      <c r="M264" s="18"/>
      <c r="O264" s="1">
        <v>3</v>
      </c>
      <c r="P264" s="1">
        <v>1</v>
      </c>
      <c r="Q264" s="1">
        <v>1</v>
      </c>
      <c r="R264" s="1">
        <v>1</v>
      </c>
      <c r="S264" s="14"/>
      <c r="U264" s="7" t="s">
        <v>146</v>
      </c>
      <c r="V264" s="7" t="s">
        <v>147</v>
      </c>
      <c r="W264" s="7" t="s">
        <v>148</v>
      </c>
      <c r="X264" s="7" t="s">
        <v>149</v>
      </c>
      <c r="Y264" s="7" t="s">
        <v>150</v>
      </c>
      <c r="Z264" s="8" t="s">
        <v>151</v>
      </c>
      <c r="AA264" s="7" t="s">
        <v>152</v>
      </c>
      <c r="AB264" s="7" t="s">
        <v>153</v>
      </c>
      <c r="AC264" s="7" t="s">
        <v>154</v>
      </c>
      <c r="AD264" s="7" t="s">
        <v>155</v>
      </c>
      <c r="AE264" s="8" t="s">
        <v>156</v>
      </c>
      <c r="AF264" s="7" t="s">
        <v>157</v>
      </c>
      <c r="AH264" s="7" t="s">
        <v>146</v>
      </c>
      <c r="AI264" s="7" t="s">
        <v>147</v>
      </c>
      <c r="AJ264" s="7" t="s">
        <v>158</v>
      </c>
      <c r="AK264" s="7" t="s">
        <v>159</v>
      </c>
      <c r="AL264" s="7" t="s">
        <v>160</v>
      </c>
      <c r="AM264" s="7" t="s">
        <v>161</v>
      </c>
      <c r="AN264" s="7" t="s">
        <v>162</v>
      </c>
      <c r="AO264" s="7" t="s">
        <v>163</v>
      </c>
      <c r="AP264" s="7" t="s">
        <v>164</v>
      </c>
      <c r="AR264" s="7" t="s">
        <v>146</v>
      </c>
      <c r="AS264" s="7" t="s">
        <v>147</v>
      </c>
      <c r="AT264" s="7" t="s">
        <v>165</v>
      </c>
      <c r="AU264" s="7" t="s">
        <v>166</v>
      </c>
      <c r="AV264" s="7" t="s">
        <v>167</v>
      </c>
      <c r="AW264" s="7" t="s">
        <v>168</v>
      </c>
      <c r="AX264" s="14"/>
    </row>
    <row r="265" spans="1:50" ht="24" customHeight="1" thickTop="1" thickBot="1" x14ac:dyDescent="0.35">
      <c r="A265" s="63"/>
      <c r="B265" s="76"/>
      <c r="C265" s="25"/>
      <c r="D265" s="86"/>
      <c r="E265" s="1" t="s">
        <v>151</v>
      </c>
      <c r="F265" s="36">
        <v>2</v>
      </c>
      <c r="G265" s="86"/>
      <c r="H265" s="36" t="s">
        <v>199</v>
      </c>
      <c r="I265" s="36">
        <v>2</v>
      </c>
      <c r="J265" s="87"/>
      <c r="K265" s="38" t="s">
        <v>168</v>
      </c>
      <c r="L265" s="38">
        <v>2</v>
      </c>
      <c r="M265" s="18"/>
      <c r="O265" s="1">
        <v>4</v>
      </c>
      <c r="P265" s="1">
        <v>3</v>
      </c>
      <c r="Q265" s="1">
        <v>0</v>
      </c>
      <c r="R265" s="1">
        <v>0</v>
      </c>
      <c r="S265" s="14"/>
      <c r="U265" s="9" t="s">
        <v>171</v>
      </c>
      <c r="V265" s="10" t="s">
        <v>172</v>
      </c>
      <c r="W265" s="9">
        <v>7.94</v>
      </c>
      <c r="X265" s="9">
        <v>0.75</v>
      </c>
      <c r="Y265" s="9">
        <v>1.1299999999999999</v>
      </c>
      <c r="Z265" s="9">
        <v>0.69</v>
      </c>
      <c r="AA265" s="9">
        <v>2.69</v>
      </c>
      <c r="AB265" s="9">
        <v>0.85</v>
      </c>
      <c r="AC265" s="9">
        <v>0.97</v>
      </c>
      <c r="AD265" s="9">
        <v>1.05</v>
      </c>
      <c r="AE265" s="9">
        <v>1.02</v>
      </c>
      <c r="AF265" s="9">
        <v>1.7</v>
      </c>
      <c r="AH265" s="9" t="s">
        <v>173</v>
      </c>
      <c r="AI265" s="10" t="s">
        <v>174</v>
      </c>
      <c r="AJ265" s="9">
        <v>6.28</v>
      </c>
      <c r="AK265" s="9">
        <v>6.63</v>
      </c>
      <c r="AL265" s="9">
        <v>3</v>
      </c>
      <c r="AM265" s="9">
        <v>6.8</v>
      </c>
      <c r="AN265" s="9">
        <v>1.63</v>
      </c>
      <c r="AO265" s="9">
        <v>7.28</v>
      </c>
      <c r="AP265" s="9">
        <v>5.28</v>
      </c>
      <c r="AR265" s="9" t="s">
        <v>175</v>
      </c>
      <c r="AS265" s="10" t="s">
        <v>176</v>
      </c>
      <c r="AT265" s="9">
        <v>2.84</v>
      </c>
      <c r="AU265" s="9">
        <v>1.06</v>
      </c>
      <c r="AV265" s="9">
        <v>2.5</v>
      </c>
      <c r="AW265" s="9">
        <v>2</v>
      </c>
      <c r="AX265" s="14"/>
    </row>
    <row r="266" spans="1:50" ht="24" customHeight="1" thickTop="1" thickBot="1" x14ac:dyDescent="0.35">
      <c r="A266" s="63"/>
      <c r="B266" s="76"/>
      <c r="C266" s="25"/>
      <c r="D266" s="86"/>
      <c r="E266" s="36" t="s">
        <v>152</v>
      </c>
      <c r="F266" s="36">
        <v>2</v>
      </c>
      <c r="G266" s="86"/>
      <c r="H266" s="36" t="s">
        <v>200</v>
      </c>
      <c r="I266" s="36">
        <v>2</v>
      </c>
      <c r="J266" s="39"/>
      <c r="K266" s="39"/>
      <c r="L266" s="39"/>
      <c r="M266" s="18"/>
      <c r="O266" s="1">
        <v>5</v>
      </c>
      <c r="P266" s="1">
        <v>0</v>
      </c>
      <c r="Q266" s="1">
        <v>1</v>
      </c>
      <c r="R266" s="1">
        <v>1</v>
      </c>
      <c r="S266" s="14"/>
      <c r="U266" s="9" t="s">
        <v>179</v>
      </c>
      <c r="V266" s="10" t="s">
        <v>180</v>
      </c>
      <c r="W266" s="9">
        <v>8.3000000000000007</v>
      </c>
      <c r="X266" s="9">
        <v>0.65</v>
      </c>
      <c r="Y266" s="9">
        <v>1.07</v>
      </c>
      <c r="Z266" s="9">
        <v>0.59</v>
      </c>
      <c r="AA266" s="9">
        <v>2.5</v>
      </c>
      <c r="AB266" s="9">
        <v>0.89</v>
      </c>
      <c r="AC266" s="9">
        <v>0.93</v>
      </c>
      <c r="AD266" s="9">
        <v>1.19</v>
      </c>
      <c r="AE266" s="9">
        <v>1.25</v>
      </c>
      <c r="AF266" s="9">
        <v>2.2999999999999998</v>
      </c>
      <c r="AH266" s="11" t="s">
        <v>181</v>
      </c>
      <c r="AI266" s="12" t="s">
        <v>182</v>
      </c>
      <c r="AJ266" s="11">
        <v>6.87</v>
      </c>
      <c r="AK266" s="11">
        <v>7.34</v>
      </c>
      <c r="AL266" s="11">
        <v>3</v>
      </c>
      <c r="AM266" s="11">
        <v>7.7</v>
      </c>
      <c r="AN266" s="11">
        <v>2.33</v>
      </c>
      <c r="AO266" s="11">
        <v>8.6999999999999993</v>
      </c>
      <c r="AP266" s="11">
        <v>5.78</v>
      </c>
      <c r="AR266" s="11" t="s">
        <v>183</v>
      </c>
      <c r="AS266" s="12" t="s">
        <v>184</v>
      </c>
      <c r="AT266" s="11">
        <v>3.26</v>
      </c>
      <c r="AU266" s="11">
        <v>1.19</v>
      </c>
      <c r="AV266" s="11">
        <v>2.25</v>
      </c>
      <c r="AW266" s="11">
        <v>2</v>
      </c>
      <c r="AX266" s="14"/>
    </row>
    <row r="267" spans="1:50" ht="23.5" customHeight="1" thickTop="1" thickBot="1" x14ac:dyDescent="0.35">
      <c r="A267" s="63"/>
      <c r="B267" s="76"/>
      <c r="C267" s="25"/>
      <c r="D267" s="86"/>
      <c r="E267" s="36" t="s">
        <v>153</v>
      </c>
      <c r="F267" s="36">
        <v>2</v>
      </c>
      <c r="G267" s="86"/>
      <c r="H267" s="36" t="s">
        <v>201</v>
      </c>
      <c r="I267" s="36">
        <v>1</v>
      </c>
      <c r="J267" s="25"/>
      <c r="K267" s="25"/>
      <c r="L267" s="25"/>
      <c r="M267" s="18"/>
      <c r="O267" s="1">
        <v>6</v>
      </c>
      <c r="P267" s="1">
        <v>2</v>
      </c>
      <c r="Q267" s="1">
        <v>1</v>
      </c>
      <c r="R267" s="1">
        <v>1</v>
      </c>
      <c r="S267" s="14"/>
      <c r="U267" s="11" t="s">
        <v>187</v>
      </c>
      <c r="V267" s="12" t="s">
        <v>188</v>
      </c>
      <c r="W267" s="11">
        <v>9.17</v>
      </c>
      <c r="X267" s="11">
        <v>0.9</v>
      </c>
      <c r="Y267" s="11">
        <v>1.25</v>
      </c>
      <c r="Z267" s="11">
        <v>0.75</v>
      </c>
      <c r="AA267" s="11">
        <v>2.77</v>
      </c>
      <c r="AB267" s="11">
        <v>0.82</v>
      </c>
      <c r="AC267" s="11">
        <v>0.91</v>
      </c>
      <c r="AD267" s="11">
        <v>1.2</v>
      </c>
      <c r="AE267" s="11">
        <v>1.35</v>
      </c>
      <c r="AF267" s="11">
        <v>1.54</v>
      </c>
      <c r="AX267" s="14"/>
    </row>
    <row r="268" spans="1:50" ht="23.5" customHeight="1" thickTop="1" thickBot="1" x14ac:dyDescent="0.35">
      <c r="A268" s="63"/>
      <c r="B268" s="76"/>
      <c r="C268" s="25"/>
      <c r="D268" s="86"/>
      <c r="E268" s="1" t="s">
        <v>156</v>
      </c>
      <c r="F268" s="36">
        <v>2</v>
      </c>
      <c r="G268" s="87"/>
      <c r="H268" s="38" t="s">
        <v>164</v>
      </c>
      <c r="I268" s="38">
        <v>1</v>
      </c>
      <c r="J268" s="36"/>
      <c r="K268" s="25"/>
      <c r="L268" s="25"/>
      <c r="M268" s="18"/>
      <c r="O268" s="1">
        <v>7</v>
      </c>
      <c r="P268" s="1">
        <v>1</v>
      </c>
      <c r="Q268" s="1">
        <v>1</v>
      </c>
      <c r="R268" s="1">
        <v>1</v>
      </c>
      <c r="S268" s="14"/>
      <c r="U268" s="9"/>
      <c r="V268" s="10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X268" s="14"/>
    </row>
    <row r="269" spans="1:50" ht="23.5" customHeight="1" thickTop="1" thickBot="1" x14ac:dyDescent="0.35">
      <c r="A269" s="63"/>
      <c r="B269" s="76"/>
      <c r="C269" s="25"/>
      <c r="D269" s="87"/>
      <c r="E269" s="38" t="s">
        <v>197</v>
      </c>
      <c r="F269" s="38">
        <v>1</v>
      </c>
      <c r="G269" s="39"/>
      <c r="H269" s="39"/>
      <c r="I269" s="39"/>
      <c r="J269" s="36"/>
      <c r="K269" s="36"/>
      <c r="L269" s="25"/>
      <c r="M269" s="18"/>
      <c r="O269" s="1">
        <v>8</v>
      </c>
      <c r="P269" s="1">
        <v>0</v>
      </c>
      <c r="Q269" s="1">
        <v>0</v>
      </c>
      <c r="R269" s="1">
        <v>3</v>
      </c>
      <c r="S269" s="14"/>
      <c r="U269" s="9"/>
      <c r="V269" s="10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X269" s="14"/>
    </row>
    <row r="270" spans="1:50" ht="23" customHeight="1" thickTop="1" x14ac:dyDescent="0.3">
      <c r="A270" s="63"/>
      <c r="B270" s="76"/>
      <c r="C270" s="25"/>
      <c r="D270" s="39"/>
      <c r="E270" s="39"/>
      <c r="F270" s="39"/>
      <c r="G270" s="25"/>
      <c r="H270" s="25"/>
      <c r="I270" s="25"/>
      <c r="J270" s="25"/>
      <c r="K270" s="25"/>
      <c r="L270" s="25"/>
      <c r="M270" s="18"/>
      <c r="O270" s="1">
        <v>9</v>
      </c>
      <c r="P270" s="1">
        <v>0</v>
      </c>
      <c r="Q270" s="1">
        <v>4</v>
      </c>
      <c r="R270" s="1">
        <v>1</v>
      </c>
      <c r="S270" s="14"/>
      <c r="AX270" s="14"/>
    </row>
    <row r="271" spans="1:50" ht="23" customHeight="1" thickBot="1" x14ac:dyDescent="0.35">
      <c r="A271" s="63"/>
      <c r="B271" s="76"/>
      <c r="C271" s="25"/>
      <c r="D271" s="36"/>
      <c r="E271" s="36"/>
      <c r="F271" s="36"/>
      <c r="G271" s="25"/>
      <c r="H271" s="25"/>
      <c r="I271" s="25"/>
      <c r="J271" s="25"/>
      <c r="K271" s="25"/>
      <c r="L271" s="25"/>
      <c r="M271" s="18"/>
      <c r="O271" s="4">
        <v>10</v>
      </c>
      <c r="P271" s="4">
        <v>2</v>
      </c>
      <c r="Q271" s="4">
        <v>0</v>
      </c>
      <c r="R271" s="4">
        <v>2</v>
      </c>
      <c r="S271" s="14"/>
      <c r="AX271" s="14"/>
    </row>
    <row r="272" spans="1:50" ht="23.5" customHeight="1" thickTop="1" thickBot="1" x14ac:dyDescent="0.35">
      <c r="A272" s="63"/>
      <c r="B272" s="81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19"/>
      <c r="N272" s="15"/>
      <c r="O272" s="15"/>
      <c r="P272" s="15"/>
      <c r="Q272" s="15"/>
      <c r="R272" s="15"/>
      <c r="S272" s="16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6"/>
    </row>
    <row r="273" spans="1:50" ht="15" customHeight="1" thickTop="1" thickBot="1" x14ac:dyDescent="0.35">
      <c r="A273" s="63"/>
      <c r="B273" s="89" t="s">
        <v>124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17"/>
      <c r="N273" s="24"/>
      <c r="O273" s="24"/>
      <c r="P273" s="24"/>
      <c r="Q273" s="24"/>
      <c r="R273" s="24"/>
      <c r="S273" s="1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17"/>
    </row>
    <row r="274" spans="1:50" ht="16" customHeight="1" thickTop="1" thickBot="1" x14ac:dyDescent="0.35">
      <c r="A274" s="63"/>
      <c r="B274" s="76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17"/>
      <c r="N274" s="24"/>
      <c r="O274" s="82" t="s">
        <v>205</v>
      </c>
      <c r="P274" s="82" t="s">
        <v>206</v>
      </c>
      <c r="Q274" s="83"/>
      <c r="R274" s="83"/>
      <c r="S274" s="1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17"/>
    </row>
    <row r="275" spans="1:50" ht="31" customHeight="1" thickTop="1" thickBot="1" x14ac:dyDescent="0.35">
      <c r="A275" s="63"/>
      <c r="B275" s="76"/>
      <c r="C275" s="24"/>
      <c r="D275" s="27" t="s">
        <v>191</v>
      </c>
      <c r="E275" s="27" t="s">
        <v>192</v>
      </c>
      <c r="F275" s="27" t="s">
        <v>193</v>
      </c>
      <c r="G275" s="27" t="s">
        <v>191</v>
      </c>
      <c r="H275" s="27" t="s">
        <v>192</v>
      </c>
      <c r="I275" s="27" t="s">
        <v>193</v>
      </c>
      <c r="J275" s="27" t="s">
        <v>191</v>
      </c>
      <c r="K275" s="27" t="s">
        <v>192</v>
      </c>
      <c r="L275" s="27" t="s">
        <v>193</v>
      </c>
      <c r="M275" s="17"/>
      <c r="N275" s="24"/>
      <c r="O275" s="84"/>
      <c r="P275" s="2" t="s">
        <v>178</v>
      </c>
      <c r="Q275" s="2" t="s">
        <v>186</v>
      </c>
      <c r="R275" s="2" t="s">
        <v>190</v>
      </c>
      <c r="S275" s="17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17"/>
    </row>
    <row r="276" spans="1:50" ht="23" customHeight="1" thickTop="1" x14ac:dyDescent="0.3">
      <c r="A276" s="63"/>
      <c r="B276" s="76"/>
      <c r="C276" s="33"/>
      <c r="D276" s="88" t="s">
        <v>194</v>
      </c>
      <c r="E276" s="36" t="s">
        <v>148</v>
      </c>
      <c r="F276" s="36">
        <v>5</v>
      </c>
      <c r="G276" s="85" t="s">
        <v>198</v>
      </c>
      <c r="H276" s="36" t="s">
        <v>158</v>
      </c>
      <c r="I276" s="36">
        <v>2</v>
      </c>
      <c r="J276" s="85" t="s">
        <v>202</v>
      </c>
      <c r="K276" s="36" t="s">
        <v>203</v>
      </c>
      <c r="L276" s="36">
        <v>3</v>
      </c>
      <c r="M276" s="18"/>
      <c r="N276" s="13"/>
      <c r="O276" s="1">
        <v>1</v>
      </c>
      <c r="P276" s="1">
        <v>1</v>
      </c>
      <c r="Q276" s="1">
        <v>2</v>
      </c>
      <c r="R276" s="1">
        <v>1</v>
      </c>
      <c r="S276" s="14"/>
      <c r="T276" s="13"/>
      <c r="U276" s="24"/>
      <c r="AX276" s="14"/>
    </row>
    <row r="277" spans="1:50" ht="23" customHeight="1" thickBot="1" x14ac:dyDescent="0.35">
      <c r="A277" s="63"/>
      <c r="B277" s="76"/>
      <c r="C277" s="25"/>
      <c r="D277" s="86"/>
      <c r="E277" s="36" t="s">
        <v>195</v>
      </c>
      <c r="F277" s="36">
        <v>2</v>
      </c>
      <c r="G277" s="86"/>
      <c r="H277" s="36" t="s">
        <v>159</v>
      </c>
      <c r="I277" s="36">
        <v>2</v>
      </c>
      <c r="J277" s="86"/>
      <c r="K277" s="36" t="s">
        <v>166</v>
      </c>
      <c r="L277" s="36">
        <v>3</v>
      </c>
      <c r="M277" s="18"/>
      <c r="O277" s="1">
        <v>2</v>
      </c>
      <c r="P277" s="1">
        <v>2</v>
      </c>
      <c r="Q277" s="1">
        <v>2</v>
      </c>
      <c r="R277" s="1">
        <v>1</v>
      </c>
      <c r="S277" s="14"/>
      <c r="Z277" s="23" t="s">
        <v>194</v>
      </c>
      <c r="AK277" s="23" t="s">
        <v>198</v>
      </c>
      <c r="AT277" s="23" t="s">
        <v>202</v>
      </c>
      <c r="AX277" s="14"/>
    </row>
    <row r="278" spans="1:50" ht="25" customHeight="1" thickTop="1" thickBot="1" x14ac:dyDescent="0.35">
      <c r="A278" s="63"/>
      <c r="B278" s="76"/>
      <c r="C278" s="25"/>
      <c r="D278" s="86"/>
      <c r="E278" s="36" t="s">
        <v>196</v>
      </c>
      <c r="F278" s="36">
        <v>2</v>
      </c>
      <c r="G278" s="86"/>
      <c r="H278" s="36" t="s">
        <v>160</v>
      </c>
      <c r="I278" s="36">
        <v>2</v>
      </c>
      <c r="J278" s="86"/>
      <c r="K278" s="36" t="s">
        <v>167</v>
      </c>
      <c r="L278" s="36">
        <v>3</v>
      </c>
      <c r="M278" s="18"/>
      <c r="O278" s="1">
        <v>3</v>
      </c>
      <c r="P278" s="1">
        <v>0</v>
      </c>
      <c r="Q278" s="1">
        <v>1</v>
      </c>
      <c r="R278" s="1">
        <v>1</v>
      </c>
      <c r="S278" s="14"/>
      <c r="U278" s="7" t="s">
        <v>146</v>
      </c>
      <c r="V278" s="7" t="s">
        <v>147</v>
      </c>
      <c r="W278" s="7" t="s">
        <v>148</v>
      </c>
      <c r="X278" s="7" t="s">
        <v>149</v>
      </c>
      <c r="Y278" s="7" t="s">
        <v>150</v>
      </c>
      <c r="Z278" s="8" t="s">
        <v>151</v>
      </c>
      <c r="AA278" s="7" t="s">
        <v>152</v>
      </c>
      <c r="AB278" s="7" t="s">
        <v>153</v>
      </c>
      <c r="AC278" s="7" t="s">
        <v>154</v>
      </c>
      <c r="AD278" s="7" t="s">
        <v>155</v>
      </c>
      <c r="AE278" s="8" t="s">
        <v>156</v>
      </c>
      <c r="AF278" s="7" t="s">
        <v>157</v>
      </c>
      <c r="AH278" s="7" t="s">
        <v>146</v>
      </c>
      <c r="AI278" s="7" t="s">
        <v>147</v>
      </c>
      <c r="AJ278" s="7" t="s">
        <v>158</v>
      </c>
      <c r="AK278" s="7" t="s">
        <v>159</v>
      </c>
      <c r="AL278" s="7" t="s">
        <v>160</v>
      </c>
      <c r="AM278" s="7" t="s">
        <v>161</v>
      </c>
      <c r="AN278" s="7" t="s">
        <v>162</v>
      </c>
      <c r="AO278" s="7" t="s">
        <v>163</v>
      </c>
      <c r="AP278" s="7" t="s">
        <v>164</v>
      </c>
      <c r="AR278" s="7" t="s">
        <v>146</v>
      </c>
      <c r="AS278" s="7" t="s">
        <v>147</v>
      </c>
      <c r="AT278" s="7" t="s">
        <v>165</v>
      </c>
      <c r="AU278" s="7" t="s">
        <v>166</v>
      </c>
      <c r="AV278" s="7" t="s">
        <v>167</v>
      </c>
      <c r="AW278" s="7" t="s">
        <v>168</v>
      </c>
      <c r="AX278" s="14"/>
    </row>
    <row r="279" spans="1:50" ht="24" customHeight="1" thickTop="1" thickBot="1" x14ac:dyDescent="0.35">
      <c r="A279" s="63"/>
      <c r="B279" s="76"/>
      <c r="C279" s="25"/>
      <c r="D279" s="86"/>
      <c r="E279" s="1" t="s">
        <v>151</v>
      </c>
      <c r="F279" s="36">
        <v>2</v>
      </c>
      <c r="G279" s="86"/>
      <c r="H279" s="36" t="s">
        <v>199</v>
      </c>
      <c r="I279" s="36">
        <v>2</v>
      </c>
      <c r="J279" s="87"/>
      <c r="K279" s="38" t="s">
        <v>168</v>
      </c>
      <c r="L279" s="38">
        <v>2</v>
      </c>
      <c r="M279" s="18"/>
      <c r="O279" s="1">
        <v>4</v>
      </c>
      <c r="P279" s="1">
        <v>0</v>
      </c>
      <c r="Q279" s="1">
        <v>2</v>
      </c>
      <c r="R279" s="1">
        <v>0</v>
      </c>
      <c r="S279" s="14"/>
      <c r="U279" s="9" t="s">
        <v>171</v>
      </c>
      <c r="V279" s="10" t="s">
        <v>172</v>
      </c>
      <c r="W279" s="9">
        <v>7.08</v>
      </c>
      <c r="X279" s="9">
        <v>0.81</v>
      </c>
      <c r="Y279" s="9">
        <v>1.18</v>
      </c>
      <c r="Z279" s="9">
        <v>0.63</v>
      </c>
      <c r="AA279" s="9">
        <v>2.5</v>
      </c>
      <c r="AB279" s="9">
        <v>0.84</v>
      </c>
      <c r="AC279" s="9">
        <v>0.94</v>
      </c>
      <c r="AD279" s="9">
        <v>1.1200000000000001</v>
      </c>
      <c r="AE279" s="9">
        <v>1.17</v>
      </c>
      <c r="AF279" s="9">
        <v>2.0499999999999998</v>
      </c>
      <c r="AH279" s="9" t="s">
        <v>173</v>
      </c>
      <c r="AI279" s="10" t="s">
        <v>174</v>
      </c>
      <c r="AJ279" s="9">
        <v>6.41</v>
      </c>
      <c r="AK279" s="9">
        <v>6.72</v>
      </c>
      <c r="AL279" s="9">
        <v>3</v>
      </c>
      <c r="AM279" s="9">
        <v>6.35</v>
      </c>
      <c r="AN279" s="9">
        <v>1.97</v>
      </c>
      <c r="AO279" s="9">
        <v>7.41</v>
      </c>
      <c r="AP279" s="9">
        <v>5.31</v>
      </c>
      <c r="AR279" s="9" t="s">
        <v>175</v>
      </c>
      <c r="AS279" s="10" t="s">
        <v>176</v>
      </c>
      <c r="AT279" s="9">
        <v>3.12</v>
      </c>
      <c r="AU279" s="9">
        <v>1.1100000000000001</v>
      </c>
      <c r="AV279" s="9">
        <v>2.95</v>
      </c>
      <c r="AW279" s="9">
        <v>2</v>
      </c>
      <c r="AX279" s="14"/>
    </row>
    <row r="280" spans="1:50" ht="24" customHeight="1" thickTop="1" thickBot="1" x14ac:dyDescent="0.35">
      <c r="A280" s="63"/>
      <c r="B280" s="76"/>
      <c r="C280" s="25"/>
      <c r="D280" s="86"/>
      <c r="E280" s="36" t="s">
        <v>152</v>
      </c>
      <c r="F280" s="36">
        <v>2</v>
      </c>
      <c r="G280" s="86"/>
      <c r="H280" s="36" t="s">
        <v>200</v>
      </c>
      <c r="I280" s="36">
        <v>2</v>
      </c>
      <c r="J280" s="39"/>
      <c r="K280" s="39"/>
      <c r="L280" s="39"/>
      <c r="M280" s="18"/>
      <c r="O280" s="1">
        <v>5</v>
      </c>
      <c r="P280" s="1">
        <v>1</v>
      </c>
      <c r="Q280" s="1">
        <v>1</v>
      </c>
      <c r="R280" s="1">
        <v>3</v>
      </c>
      <c r="S280" s="14"/>
      <c r="U280" s="9" t="s">
        <v>179</v>
      </c>
      <c r="V280" s="10" t="s">
        <v>180</v>
      </c>
      <c r="W280" s="9">
        <v>8.69</v>
      </c>
      <c r="X280" s="9">
        <v>0.72</v>
      </c>
      <c r="Y280" s="9">
        <v>1.04</v>
      </c>
      <c r="Z280" s="9">
        <v>0.75</v>
      </c>
      <c r="AA280" s="9">
        <v>2.9</v>
      </c>
      <c r="AB280" s="9">
        <v>0.8</v>
      </c>
      <c r="AC280" s="9">
        <v>0.98</v>
      </c>
      <c r="AD280" s="9">
        <v>1.03</v>
      </c>
      <c r="AE280" s="9">
        <v>1.3</v>
      </c>
      <c r="AF280" s="9">
        <v>1.62</v>
      </c>
      <c r="AH280" s="11" t="s">
        <v>181</v>
      </c>
      <c r="AI280" s="12" t="s">
        <v>182</v>
      </c>
      <c r="AJ280" s="11">
        <v>6.73</v>
      </c>
      <c r="AK280" s="11">
        <v>7.17</v>
      </c>
      <c r="AL280" s="11">
        <v>3</v>
      </c>
      <c r="AM280" s="11">
        <v>7.47</v>
      </c>
      <c r="AN280" s="11">
        <v>2.27</v>
      </c>
      <c r="AO280" s="11">
        <v>8.41</v>
      </c>
      <c r="AP280" s="11">
        <v>5.63</v>
      </c>
      <c r="AR280" s="11" t="s">
        <v>183</v>
      </c>
      <c r="AS280" s="12" t="s">
        <v>184</v>
      </c>
      <c r="AT280" s="11">
        <v>2.71</v>
      </c>
      <c r="AU280" s="11">
        <v>1.02</v>
      </c>
      <c r="AV280" s="11">
        <v>2.65</v>
      </c>
      <c r="AW280" s="11">
        <v>2</v>
      </c>
      <c r="AX280" s="14"/>
    </row>
    <row r="281" spans="1:50" ht="23.5" customHeight="1" thickTop="1" thickBot="1" x14ac:dyDescent="0.35">
      <c r="A281" s="63"/>
      <c r="B281" s="76"/>
      <c r="C281" s="25"/>
      <c r="D281" s="86"/>
      <c r="E281" s="36" t="s">
        <v>153</v>
      </c>
      <c r="F281" s="36">
        <v>2</v>
      </c>
      <c r="G281" s="86"/>
      <c r="H281" s="36" t="s">
        <v>201</v>
      </c>
      <c r="I281" s="36">
        <v>1</v>
      </c>
      <c r="J281" s="25"/>
      <c r="K281" s="25"/>
      <c r="L281" s="25"/>
      <c r="M281" s="18"/>
      <c r="O281" s="1">
        <v>6</v>
      </c>
      <c r="P281" s="1">
        <v>2</v>
      </c>
      <c r="Q281" s="1">
        <v>1</v>
      </c>
      <c r="R281" s="1">
        <v>1</v>
      </c>
      <c r="S281" s="14"/>
      <c r="U281" s="11" t="s">
        <v>187</v>
      </c>
      <c r="V281" s="12" t="s">
        <v>188</v>
      </c>
      <c r="W281" s="11">
        <v>9.23</v>
      </c>
      <c r="X281" s="11">
        <v>0.68</v>
      </c>
      <c r="Y281" s="11">
        <v>1.23</v>
      </c>
      <c r="Z281" s="11">
        <v>0.61</v>
      </c>
      <c r="AA281" s="11">
        <v>2.65</v>
      </c>
      <c r="AB281" s="11">
        <v>0.88</v>
      </c>
      <c r="AC281" s="11">
        <v>0.95</v>
      </c>
      <c r="AD281" s="11">
        <v>1.2</v>
      </c>
      <c r="AE281" s="11">
        <v>1.4</v>
      </c>
      <c r="AF281" s="11">
        <v>2.48</v>
      </c>
      <c r="AX281" s="14"/>
    </row>
    <row r="282" spans="1:50" ht="23.5" customHeight="1" thickTop="1" thickBot="1" x14ac:dyDescent="0.35">
      <c r="A282" s="63"/>
      <c r="B282" s="76"/>
      <c r="C282" s="25"/>
      <c r="D282" s="86"/>
      <c r="E282" s="1" t="s">
        <v>156</v>
      </c>
      <c r="F282" s="36">
        <v>2</v>
      </c>
      <c r="G282" s="87"/>
      <c r="H282" s="38" t="s">
        <v>164</v>
      </c>
      <c r="I282" s="38">
        <v>1</v>
      </c>
      <c r="J282" s="36"/>
      <c r="K282" s="25"/>
      <c r="L282" s="25"/>
      <c r="M282" s="18"/>
      <c r="O282" s="1">
        <v>7</v>
      </c>
      <c r="P282" s="1">
        <v>1</v>
      </c>
      <c r="Q282" s="1">
        <v>1</v>
      </c>
      <c r="R282" s="1">
        <v>1</v>
      </c>
      <c r="S282" s="14"/>
      <c r="U282" s="9"/>
      <c r="V282" s="10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X282" s="14"/>
    </row>
    <row r="283" spans="1:50" ht="23.5" customHeight="1" thickTop="1" thickBot="1" x14ac:dyDescent="0.35">
      <c r="A283" s="63"/>
      <c r="B283" s="76"/>
      <c r="C283" s="25"/>
      <c r="D283" s="87"/>
      <c r="E283" s="38" t="s">
        <v>197</v>
      </c>
      <c r="F283" s="38">
        <v>2</v>
      </c>
      <c r="G283" s="39"/>
      <c r="H283" s="39"/>
      <c r="I283" s="39"/>
      <c r="J283" s="36"/>
      <c r="K283" s="36"/>
      <c r="L283" s="25"/>
      <c r="M283" s="18"/>
      <c r="O283" s="1">
        <v>8</v>
      </c>
      <c r="P283" s="1">
        <v>1</v>
      </c>
      <c r="Q283" s="1">
        <v>2</v>
      </c>
      <c r="R283" s="1">
        <v>0</v>
      </c>
      <c r="S283" s="14"/>
      <c r="U283" s="9"/>
      <c r="V283" s="10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X283" s="14"/>
    </row>
    <row r="284" spans="1:50" ht="23" customHeight="1" thickTop="1" x14ac:dyDescent="0.3">
      <c r="A284" s="63"/>
      <c r="B284" s="76"/>
      <c r="C284" s="25"/>
      <c r="D284" s="39"/>
      <c r="E284" s="39"/>
      <c r="F284" s="39"/>
      <c r="G284" s="25"/>
      <c r="H284" s="25"/>
      <c r="I284" s="25"/>
      <c r="J284" s="25"/>
      <c r="K284" s="25"/>
      <c r="L284" s="25"/>
      <c r="M284" s="18"/>
      <c r="O284" s="1">
        <v>9</v>
      </c>
      <c r="P284" s="1">
        <v>1</v>
      </c>
      <c r="Q284" s="1">
        <v>0</v>
      </c>
      <c r="R284" s="1">
        <v>1</v>
      </c>
      <c r="S284" s="14"/>
      <c r="AX284" s="14"/>
    </row>
    <row r="285" spans="1:50" ht="23" customHeight="1" thickBot="1" x14ac:dyDescent="0.35">
      <c r="A285" s="63"/>
      <c r="B285" s="76"/>
      <c r="C285" s="25"/>
      <c r="D285" s="36"/>
      <c r="E285" s="36"/>
      <c r="F285" s="36"/>
      <c r="G285" s="25"/>
      <c r="H285" s="25"/>
      <c r="I285" s="25"/>
      <c r="J285" s="25"/>
      <c r="K285" s="25"/>
      <c r="L285" s="25"/>
      <c r="M285" s="18"/>
      <c r="O285" s="4">
        <v>10</v>
      </c>
      <c r="P285" s="4">
        <v>2</v>
      </c>
      <c r="Q285" s="4">
        <v>0</v>
      </c>
      <c r="R285" s="4">
        <v>2</v>
      </c>
      <c r="S285" s="14"/>
      <c r="AX285" s="14"/>
    </row>
    <row r="286" spans="1:50" ht="23.5" customHeight="1" thickTop="1" thickBot="1" x14ac:dyDescent="0.35">
      <c r="A286" s="63"/>
      <c r="B286" s="81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19"/>
      <c r="N286" s="15"/>
      <c r="O286" s="15"/>
      <c r="P286" s="15"/>
      <c r="Q286" s="15"/>
      <c r="R286" s="15"/>
      <c r="S286" s="16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6"/>
    </row>
    <row r="287" spans="1:50" ht="15" customHeight="1" thickTop="1" thickBot="1" x14ac:dyDescent="0.35">
      <c r="A287" s="63"/>
      <c r="B287" s="89" t="s">
        <v>125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17"/>
      <c r="N287" s="24"/>
      <c r="O287" s="24"/>
      <c r="P287" s="24"/>
      <c r="Q287" s="24"/>
      <c r="R287" s="24"/>
      <c r="S287" s="17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17"/>
    </row>
    <row r="288" spans="1:50" ht="16" customHeight="1" thickTop="1" thickBot="1" x14ac:dyDescent="0.35">
      <c r="A288" s="63"/>
      <c r="B288" s="76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17"/>
      <c r="N288" s="24"/>
      <c r="O288" s="82" t="s">
        <v>205</v>
      </c>
      <c r="P288" s="82" t="s">
        <v>206</v>
      </c>
      <c r="Q288" s="83"/>
      <c r="R288" s="83"/>
      <c r="S288" s="17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17"/>
    </row>
    <row r="289" spans="1:50" ht="31" customHeight="1" thickTop="1" thickBot="1" x14ac:dyDescent="0.35">
      <c r="A289" s="63"/>
      <c r="B289" s="76"/>
      <c r="C289" s="24"/>
      <c r="D289" s="27" t="s">
        <v>191</v>
      </c>
      <c r="E289" s="27" t="s">
        <v>192</v>
      </c>
      <c r="F289" s="27" t="s">
        <v>193</v>
      </c>
      <c r="G289" s="27" t="s">
        <v>191</v>
      </c>
      <c r="H289" s="27" t="s">
        <v>192</v>
      </c>
      <c r="I289" s="27" t="s">
        <v>193</v>
      </c>
      <c r="J289" s="27" t="s">
        <v>191</v>
      </c>
      <c r="K289" s="27" t="s">
        <v>192</v>
      </c>
      <c r="L289" s="27" t="s">
        <v>193</v>
      </c>
      <c r="M289" s="17"/>
      <c r="N289" s="24"/>
      <c r="O289" s="84"/>
      <c r="P289" s="2" t="s">
        <v>178</v>
      </c>
      <c r="Q289" s="2" t="s">
        <v>186</v>
      </c>
      <c r="R289" s="2" t="s">
        <v>190</v>
      </c>
      <c r="S289" s="17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17"/>
    </row>
    <row r="290" spans="1:50" ht="23" customHeight="1" thickTop="1" x14ac:dyDescent="0.3">
      <c r="A290" s="63"/>
      <c r="B290" s="76"/>
      <c r="C290" s="33"/>
      <c r="D290" s="88" t="s">
        <v>194</v>
      </c>
      <c r="E290" s="36" t="s">
        <v>148</v>
      </c>
      <c r="F290" s="36">
        <v>5</v>
      </c>
      <c r="G290" s="85" t="s">
        <v>198</v>
      </c>
      <c r="H290" s="36" t="s">
        <v>158</v>
      </c>
      <c r="I290" s="36">
        <v>2</v>
      </c>
      <c r="J290" s="85" t="s">
        <v>202</v>
      </c>
      <c r="K290" s="36" t="s">
        <v>203</v>
      </c>
      <c r="L290" s="36">
        <v>3</v>
      </c>
      <c r="M290" s="18"/>
      <c r="N290" s="13"/>
      <c r="O290" s="1">
        <v>1</v>
      </c>
      <c r="P290" s="1">
        <v>1</v>
      </c>
      <c r="Q290" s="1">
        <v>1</v>
      </c>
      <c r="R290" s="1">
        <v>2</v>
      </c>
      <c r="S290" s="14"/>
      <c r="T290" s="13"/>
      <c r="U290" s="24"/>
      <c r="AX290" s="14"/>
    </row>
    <row r="291" spans="1:50" ht="23" customHeight="1" thickBot="1" x14ac:dyDescent="0.35">
      <c r="A291" s="63"/>
      <c r="B291" s="76"/>
      <c r="C291" s="25"/>
      <c r="D291" s="86"/>
      <c r="E291" s="36" t="s">
        <v>195</v>
      </c>
      <c r="F291" s="36">
        <v>2</v>
      </c>
      <c r="G291" s="86"/>
      <c r="H291" s="36" t="s">
        <v>159</v>
      </c>
      <c r="I291" s="36">
        <v>2</v>
      </c>
      <c r="J291" s="86"/>
      <c r="K291" s="36" t="s">
        <v>166</v>
      </c>
      <c r="L291" s="36">
        <v>3</v>
      </c>
      <c r="M291" s="18"/>
      <c r="O291" s="1">
        <v>2</v>
      </c>
      <c r="P291" s="1">
        <v>2</v>
      </c>
      <c r="Q291" s="1">
        <v>4</v>
      </c>
      <c r="R291" s="1">
        <v>1</v>
      </c>
      <c r="S291" s="14"/>
      <c r="Z291" s="23" t="s">
        <v>194</v>
      </c>
      <c r="AK291" s="23" t="s">
        <v>198</v>
      </c>
      <c r="AT291" s="23" t="s">
        <v>202</v>
      </c>
      <c r="AX291" s="14"/>
    </row>
    <row r="292" spans="1:50" ht="25" customHeight="1" thickTop="1" thickBot="1" x14ac:dyDescent="0.35">
      <c r="A292" s="63"/>
      <c r="B292" s="76"/>
      <c r="C292" s="25"/>
      <c r="D292" s="86"/>
      <c r="E292" s="36" t="s">
        <v>196</v>
      </c>
      <c r="F292" s="36">
        <v>2</v>
      </c>
      <c r="G292" s="86"/>
      <c r="H292" s="36" t="s">
        <v>160</v>
      </c>
      <c r="I292" s="36">
        <v>2</v>
      </c>
      <c r="J292" s="86"/>
      <c r="K292" s="36" t="s">
        <v>167</v>
      </c>
      <c r="L292" s="36">
        <v>3</v>
      </c>
      <c r="M292" s="18"/>
      <c r="O292" s="1">
        <v>3</v>
      </c>
      <c r="P292" s="1">
        <v>1</v>
      </c>
      <c r="Q292" s="1">
        <v>1</v>
      </c>
      <c r="R292" s="1">
        <v>1</v>
      </c>
      <c r="S292" s="14"/>
      <c r="U292" s="7" t="s">
        <v>146</v>
      </c>
      <c r="V292" s="7" t="s">
        <v>147</v>
      </c>
      <c r="W292" s="7" t="s">
        <v>148</v>
      </c>
      <c r="X292" s="7" t="s">
        <v>149</v>
      </c>
      <c r="Y292" s="7" t="s">
        <v>150</v>
      </c>
      <c r="Z292" s="8" t="s">
        <v>151</v>
      </c>
      <c r="AA292" s="7" t="s">
        <v>152</v>
      </c>
      <c r="AB292" s="7" t="s">
        <v>153</v>
      </c>
      <c r="AC292" s="7" t="s">
        <v>154</v>
      </c>
      <c r="AD292" s="7" t="s">
        <v>155</v>
      </c>
      <c r="AE292" s="8" t="s">
        <v>156</v>
      </c>
      <c r="AF292" s="7" t="s">
        <v>157</v>
      </c>
      <c r="AH292" s="7" t="s">
        <v>146</v>
      </c>
      <c r="AI292" s="7" t="s">
        <v>147</v>
      </c>
      <c r="AJ292" s="7" t="s">
        <v>158</v>
      </c>
      <c r="AK292" s="7" t="s">
        <v>159</v>
      </c>
      <c r="AL292" s="7" t="s">
        <v>160</v>
      </c>
      <c r="AM292" s="7" t="s">
        <v>161</v>
      </c>
      <c r="AN292" s="7" t="s">
        <v>162</v>
      </c>
      <c r="AO292" s="7" t="s">
        <v>163</v>
      </c>
      <c r="AP292" s="7" t="s">
        <v>164</v>
      </c>
      <c r="AR292" s="7" t="s">
        <v>146</v>
      </c>
      <c r="AS292" s="7" t="s">
        <v>147</v>
      </c>
      <c r="AT292" s="7" t="s">
        <v>165</v>
      </c>
      <c r="AU292" s="7" t="s">
        <v>166</v>
      </c>
      <c r="AV292" s="7" t="s">
        <v>167</v>
      </c>
      <c r="AW292" s="7" t="s">
        <v>168</v>
      </c>
      <c r="AX292" s="14"/>
    </row>
    <row r="293" spans="1:50" ht="24" customHeight="1" thickTop="1" thickBot="1" x14ac:dyDescent="0.35">
      <c r="A293" s="63"/>
      <c r="B293" s="76"/>
      <c r="C293" s="25"/>
      <c r="D293" s="86"/>
      <c r="E293" s="1" t="s">
        <v>151</v>
      </c>
      <c r="F293" s="36">
        <v>2</v>
      </c>
      <c r="G293" s="86"/>
      <c r="H293" s="36" t="s">
        <v>199</v>
      </c>
      <c r="I293" s="36">
        <v>2</v>
      </c>
      <c r="J293" s="87"/>
      <c r="K293" s="38" t="s">
        <v>168</v>
      </c>
      <c r="L293" s="38">
        <v>2</v>
      </c>
      <c r="M293" s="18"/>
      <c r="O293" s="1">
        <v>4</v>
      </c>
      <c r="P293" s="1">
        <v>0</v>
      </c>
      <c r="Q293" s="1">
        <v>2</v>
      </c>
      <c r="R293" s="1">
        <v>0</v>
      </c>
      <c r="S293" s="14"/>
      <c r="U293" s="9" t="s">
        <v>171</v>
      </c>
      <c r="V293" s="10" t="s">
        <v>172</v>
      </c>
      <c r="W293" s="9">
        <v>7.56</v>
      </c>
      <c r="X293" s="9">
        <v>0.79</v>
      </c>
      <c r="Y293" s="9">
        <v>1.1100000000000001</v>
      </c>
      <c r="Z293" s="9">
        <v>0.61</v>
      </c>
      <c r="AA293" s="9">
        <v>2.74</v>
      </c>
      <c r="AB293" s="9">
        <v>0.87</v>
      </c>
      <c r="AC293" s="9">
        <v>0.99</v>
      </c>
      <c r="AD293" s="9">
        <v>1.1499999999999999</v>
      </c>
      <c r="AE293" s="9">
        <v>1.08</v>
      </c>
      <c r="AF293" s="9">
        <v>1.88</v>
      </c>
      <c r="AH293" s="9" t="s">
        <v>173</v>
      </c>
      <c r="AI293" s="10" t="s">
        <v>174</v>
      </c>
      <c r="AJ293" s="9">
        <v>6.94</v>
      </c>
      <c r="AK293" s="9">
        <v>7.48</v>
      </c>
      <c r="AL293" s="9">
        <v>3</v>
      </c>
      <c r="AM293" s="9">
        <v>7.89</v>
      </c>
      <c r="AN293" s="9">
        <v>2.48</v>
      </c>
      <c r="AO293" s="9">
        <v>8.94</v>
      </c>
      <c r="AP293" s="9">
        <v>5.94</v>
      </c>
      <c r="AR293" s="9" t="s">
        <v>175</v>
      </c>
      <c r="AS293" s="10" t="s">
        <v>176</v>
      </c>
      <c r="AT293" s="9">
        <v>2.95</v>
      </c>
      <c r="AU293" s="9">
        <v>1.18</v>
      </c>
      <c r="AV293" s="9">
        <v>2.4500000000000002</v>
      </c>
      <c r="AW293" s="9">
        <v>2</v>
      </c>
      <c r="AX293" s="14"/>
    </row>
    <row r="294" spans="1:50" ht="24" customHeight="1" thickTop="1" thickBot="1" x14ac:dyDescent="0.35">
      <c r="A294" s="63"/>
      <c r="B294" s="76"/>
      <c r="C294" s="25"/>
      <c r="D294" s="86"/>
      <c r="E294" s="36" t="s">
        <v>152</v>
      </c>
      <c r="F294" s="36">
        <v>2</v>
      </c>
      <c r="G294" s="86"/>
      <c r="H294" s="36" t="s">
        <v>200</v>
      </c>
      <c r="I294" s="36">
        <v>2</v>
      </c>
      <c r="J294" s="39"/>
      <c r="K294" s="39"/>
      <c r="L294" s="39"/>
      <c r="M294" s="18"/>
      <c r="O294" s="1">
        <v>5</v>
      </c>
      <c r="P294" s="1">
        <v>1</v>
      </c>
      <c r="Q294" s="1">
        <v>1</v>
      </c>
      <c r="R294" s="1">
        <v>1</v>
      </c>
      <c r="S294" s="14"/>
      <c r="U294" s="9" t="s">
        <v>179</v>
      </c>
      <c r="V294" s="10" t="s">
        <v>180</v>
      </c>
      <c r="W294" s="9">
        <v>8.39</v>
      </c>
      <c r="X294" s="9">
        <v>0.65</v>
      </c>
      <c r="Y294" s="9">
        <v>1.02</v>
      </c>
      <c r="Z294" s="9">
        <v>0.67</v>
      </c>
      <c r="AA294" s="9">
        <v>2.5</v>
      </c>
      <c r="AB294" s="9">
        <v>0.83</v>
      </c>
      <c r="AC294" s="9">
        <v>0.92</v>
      </c>
      <c r="AD294" s="9">
        <v>1</v>
      </c>
      <c r="AE294" s="9">
        <v>1.22</v>
      </c>
      <c r="AF294" s="9">
        <v>2.21</v>
      </c>
      <c r="AH294" s="11" t="s">
        <v>181</v>
      </c>
      <c r="AI294" s="12" t="s">
        <v>182</v>
      </c>
      <c r="AJ294" s="11">
        <v>6.07</v>
      </c>
      <c r="AK294" s="11">
        <v>6.54</v>
      </c>
      <c r="AL294" s="11">
        <v>3</v>
      </c>
      <c r="AM294" s="11">
        <v>6.03</v>
      </c>
      <c r="AN294" s="11">
        <v>1.54</v>
      </c>
      <c r="AO294" s="11">
        <v>7.04</v>
      </c>
      <c r="AP294" s="11">
        <v>5.07</v>
      </c>
      <c r="AR294" s="11" t="s">
        <v>183</v>
      </c>
      <c r="AS294" s="12" t="s">
        <v>184</v>
      </c>
      <c r="AT294" s="11">
        <v>3.41</v>
      </c>
      <c r="AU294" s="11">
        <v>1.07</v>
      </c>
      <c r="AV294" s="11">
        <v>2.1800000000000002</v>
      </c>
      <c r="AW294" s="11">
        <v>2</v>
      </c>
      <c r="AX294" s="14"/>
    </row>
    <row r="295" spans="1:50" ht="23.5" customHeight="1" thickTop="1" thickBot="1" x14ac:dyDescent="0.35">
      <c r="A295" s="63"/>
      <c r="B295" s="76"/>
      <c r="C295" s="25"/>
      <c r="D295" s="86"/>
      <c r="E295" s="36" t="s">
        <v>153</v>
      </c>
      <c r="F295" s="36">
        <v>2</v>
      </c>
      <c r="G295" s="86"/>
      <c r="H295" s="36" t="s">
        <v>201</v>
      </c>
      <c r="I295" s="36">
        <v>1</v>
      </c>
      <c r="J295" s="25"/>
      <c r="K295" s="25"/>
      <c r="L295" s="25"/>
      <c r="M295" s="18"/>
      <c r="O295" s="1">
        <v>6</v>
      </c>
      <c r="P295" s="1">
        <v>2</v>
      </c>
      <c r="Q295" s="1">
        <v>1</v>
      </c>
      <c r="R295" s="1">
        <v>1</v>
      </c>
      <c r="S295" s="14"/>
      <c r="U295" s="11" t="s">
        <v>187</v>
      </c>
      <c r="V295" s="12" t="s">
        <v>188</v>
      </c>
      <c r="W295" s="11">
        <v>9.1</v>
      </c>
      <c r="X295" s="11">
        <v>0.85</v>
      </c>
      <c r="Y295" s="11">
        <v>1.25</v>
      </c>
      <c r="Z295" s="11">
        <v>0.56999999999999995</v>
      </c>
      <c r="AA295" s="11">
        <v>2.82</v>
      </c>
      <c r="AB295" s="11">
        <v>0.81</v>
      </c>
      <c r="AC295" s="11">
        <v>0.93</v>
      </c>
      <c r="AD295" s="11">
        <v>1.1499999999999999</v>
      </c>
      <c r="AE295" s="11">
        <v>1.35</v>
      </c>
      <c r="AF295" s="11">
        <v>1.7</v>
      </c>
      <c r="AX295" s="14"/>
    </row>
    <row r="296" spans="1:50" ht="23.5" customHeight="1" thickTop="1" thickBot="1" x14ac:dyDescent="0.35">
      <c r="A296" s="63"/>
      <c r="B296" s="76"/>
      <c r="C296" s="25"/>
      <c r="D296" s="86"/>
      <c r="E296" s="1" t="s">
        <v>156</v>
      </c>
      <c r="F296" s="36">
        <v>2</v>
      </c>
      <c r="G296" s="87"/>
      <c r="H296" s="38" t="s">
        <v>164</v>
      </c>
      <c r="I296" s="38">
        <v>1</v>
      </c>
      <c r="J296" s="36"/>
      <c r="K296" s="25"/>
      <c r="L296" s="25"/>
      <c r="M296" s="18"/>
      <c r="O296" s="1">
        <v>7</v>
      </c>
      <c r="P296" s="1">
        <v>1</v>
      </c>
      <c r="Q296" s="1">
        <v>1</v>
      </c>
      <c r="R296" s="1">
        <v>1</v>
      </c>
      <c r="S296" s="14"/>
      <c r="U296" s="9"/>
      <c r="V296" s="10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X296" s="14"/>
    </row>
    <row r="297" spans="1:50" ht="23.5" customHeight="1" thickTop="1" thickBot="1" x14ac:dyDescent="0.35">
      <c r="A297" s="63"/>
      <c r="B297" s="76"/>
      <c r="C297" s="25"/>
      <c r="D297" s="87"/>
      <c r="E297" s="38" t="s">
        <v>197</v>
      </c>
      <c r="F297" s="38">
        <v>2</v>
      </c>
      <c r="G297" s="39"/>
      <c r="H297" s="39"/>
      <c r="I297" s="39"/>
      <c r="J297" s="36"/>
      <c r="K297" s="36"/>
      <c r="L297" s="25"/>
      <c r="M297" s="18"/>
      <c r="O297" s="1">
        <v>8</v>
      </c>
      <c r="P297" s="1">
        <v>1</v>
      </c>
      <c r="Q297" s="1">
        <v>1</v>
      </c>
      <c r="R297" s="1">
        <v>3</v>
      </c>
      <c r="S297" s="14"/>
      <c r="U297" s="9"/>
      <c r="V297" s="10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X297" s="14"/>
    </row>
    <row r="298" spans="1:50" ht="23" customHeight="1" thickTop="1" x14ac:dyDescent="0.3">
      <c r="A298" s="63"/>
      <c r="B298" s="76"/>
      <c r="C298" s="25"/>
      <c r="D298" s="39"/>
      <c r="E298" s="39"/>
      <c r="F298" s="39"/>
      <c r="G298" s="25"/>
      <c r="H298" s="25"/>
      <c r="I298" s="25"/>
      <c r="J298" s="25"/>
      <c r="K298" s="25"/>
      <c r="L298" s="25"/>
      <c r="M298" s="18"/>
      <c r="O298" s="1">
        <v>9</v>
      </c>
      <c r="P298" s="1">
        <v>1</v>
      </c>
      <c r="Q298" s="1">
        <v>1</v>
      </c>
      <c r="R298" s="1">
        <v>1</v>
      </c>
      <c r="S298" s="14"/>
      <c r="AX298" s="14"/>
    </row>
    <row r="299" spans="1:50" ht="23" customHeight="1" thickBot="1" x14ac:dyDescent="0.35">
      <c r="A299" s="63"/>
      <c r="B299" s="76"/>
      <c r="C299" s="25"/>
      <c r="D299" s="36"/>
      <c r="E299" s="36"/>
      <c r="F299" s="36"/>
      <c r="G299" s="25"/>
      <c r="H299" s="25"/>
      <c r="I299" s="25"/>
      <c r="J299" s="25"/>
      <c r="K299" s="25"/>
      <c r="L299" s="25"/>
      <c r="M299" s="18"/>
      <c r="O299" s="4">
        <v>10</v>
      </c>
      <c r="P299" s="4">
        <v>2</v>
      </c>
      <c r="Q299" s="4">
        <v>0</v>
      </c>
      <c r="R299" s="4">
        <v>2</v>
      </c>
      <c r="S299" s="14"/>
      <c r="AX299" s="14"/>
    </row>
    <row r="300" spans="1:50" ht="23.5" customHeight="1" thickTop="1" thickBot="1" x14ac:dyDescent="0.35">
      <c r="A300" s="63"/>
      <c r="B300" s="81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19"/>
      <c r="N300" s="15"/>
      <c r="O300" s="15"/>
      <c r="P300" s="15"/>
      <c r="Q300" s="15"/>
      <c r="R300" s="15"/>
      <c r="S300" s="16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6"/>
    </row>
    <row r="301" spans="1:50" ht="15" customHeight="1" thickTop="1" thickBot="1" x14ac:dyDescent="0.35">
      <c r="A301" s="63"/>
      <c r="B301" s="89" t="s">
        <v>126</v>
      </c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17"/>
      <c r="N301" s="24"/>
      <c r="O301" s="24"/>
      <c r="P301" s="24"/>
      <c r="Q301" s="24"/>
      <c r="R301" s="24"/>
      <c r="S301" s="17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17"/>
    </row>
    <row r="302" spans="1:50" ht="16" customHeight="1" thickTop="1" thickBot="1" x14ac:dyDescent="0.35">
      <c r="A302" s="63"/>
      <c r="B302" s="76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17"/>
      <c r="N302" s="24"/>
      <c r="O302" s="82" t="s">
        <v>205</v>
      </c>
      <c r="P302" s="82" t="s">
        <v>206</v>
      </c>
      <c r="Q302" s="83"/>
      <c r="R302" s="83"/>
      <c r="S302" s="17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17"/>
    </row>
    <row r="303" spans="1:50" ht="31" customHeight="1" thickTop="1" thickBot="1" x14ac:dyDescent="0.35">
      <c r="A303" s="63"/>
      <c r="B303" s="76"/>
      <c r="C303" s="24"/>
      <c r="D303" s="27" t="s">
        <v>191</v>
      </c>
      <c r="E303" s="27" t="s">
        <v>192</v>
      </c>
      <c r="F303" s="27" t="s">
        <v>193</v>
      </c>
      <c r="G303" s="27" t="s">
        <v>191</v>
      </c>
      <c r="H303" s="27" t="s">
        <v>192</v>
      </c>
      <c r="I303" s="27" t="s">
        <v>193</v>
      </c>
      <c r="J303" s="27" t="s">
        <v>191</v>
      </c>
      <c r="K303" s="27" t="s">
        <v>192</v>
      </c>
      <c r="L303" s="27" t="s">
        <v>193</v>
      </c>
      <c r="M303" s="17"/>
      <c r="N303" s="24"/>
      <c r="O303" s="84"/>
      <c r="P303" s="2" t="s">
        <v>178</v>
      </c>
      <c r="Q303" s="2" t="s">
        <v>186</v>
      </c>
      <c r="R303" s="2" t="s">
        <v>190</v>
      </c>
      <c r="S303" s="17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17"/>
    </row>
    <row r="304" spans="1:50" ht="23" customHeight="1" thickTop="1" x14ac:dyDescent="0.3">
      <c r="A304" s="63"/>
      <c r="B304" s="76"/>
      <c r="C304" s="33"/>
      <c r="D304" s="88" t="s">
        <v>194</v>
      </c>
      <c r="E304" s="36" t="s">
        <v>148</v>
      </c>
      <c r="F304" s="36">
        <v>6</v>
      </c>
      <c r="G304" s="85" t="s">
        <v>198</v>
      </c>
      <c r="H304" s="36" t="s">
        <v>158</v>
      </c>
      <c r="I304" s="36">
        <v>2</v>
      </c>
      <c r="J304" s="85" t="s">
        <v>202</v>
      </c>
      <c r="K304" s="36" t="s">
        <v>203</v>
      </c>
      <c r="L304" s="36">
        <v>3</v>
      </c>
      <c r="M304" s="18"/>
      <c r="N304" s="13"/>
      <c r="O304" s="1">
        <v>1</v>
      </c>
      <c r="P304" s="1">
        <v>1</v>
      </c>
      <c r="Q304" s="1">
        <v>1</v>
      </c>
      <c r="R304" s="1">
        <v>1</v>
      </c>
      <c r="S304" s="14"/>
      <c r="T304" s="13"/>
      <c r="U304" s="24"/>
      <c r="AX304" s="14"/>
    </row>
    <row r="305" spans="1:50" ht="23" customHeight="1" thickBot="1" x14ac:dyDescent="0.35">
      <c r="A305" s="63"/>
      <c r="B305" s="76"/>
      <c r="C305" s="25"/>
      <c r="D305" s="86"/>
      <c r="E305" s="36" t="s">
        <v>195</v>
      </c>
      <c r="F305" s="36">
        <v>2</v>
      </c>
      <c r="G305" s="86"/>
      <c r="H305" s="36" t="s">
        <v>159</v>
      </c>
      <c r="I305" s="36">
        <v>2</v>
      </c>
      <c r="J305" s="86"/>
      <c r="K305" s="36" t="s">
        <v>166</v>
      </c>
      <c r="L305" s="36">
        <v>3</v>
      </c>
      <c r="M305" s="18"/>
      <c r="O305" s="1">
        <v>2</v>
      </c>
      <c r="P305" s="1">
        <v>2</v>
      </c>
      <c r="Q305" s="1">
        <v>2</v>
      </c>
      <c r="R305" s="1">
        <v>1</v>
      </c>
      <c r="S305" s="14"/>
      <c r="Z305" s="23" t="s">
        <v>194</v>
      </c>
      <c r="AK305" s="23" t="s">
        <v>198</v>
      </c>
      <c r="AT305" s="23" t="s">
        <v>202</v>
      </c>
      <c r="AX305" s="14"/>
    </row>
    <row r="306" spans="1:50" ht="25" customHeight="1" thickTop="1" thickBot="1" x14ac:dyDescent="0.35">
      <c r="A306" s="63"/>
      <c r="B306" s="76"/>
      <c r="C306" s="25"/>
      <c r="D306" s="86"/>
      <c r="E306" s="36" t="s">
        <v>196</v>
      </c>
      <c r="F306" s="36">
        <v>2</v>
      </c>
      <c r="G306" s="86"/>
      <c r="H306" s="36" t="s">
        <v>160</v>
      </c>
      <c r="I306" s="36">
        <v>2</v>
      </c>
      <c r="J306" s="86"/>
      <c r="K306" s="36" t="s">
        <v>167</v>
      </c>
      <c r="L306" s="36">
        <v>2</v>
      </c>
      <c r="M306" s="18"/>
      <c r="O306" s="1">
        <v>3</v>
      </c>
      <c r="P306" s="1">
        <v>0</v>
      </c>
      <c r="Q306" s="1">
        <v>1</v>
      </c>
      <c r="R306" s="1">
        <v>1</v>
      </c>
      <c r="S306" s="14"/>
      <c r="U306" s="7" t="s">
        <v>146</v>
      </c>
      <c r="V306" s="7" t="s">
        <v>147</v>
      </c>
      <c r="W306" s="7" t="s">
        <v>148</v>
      </c>
      <c r="X306" s="7" t="s">
        <v>149</v>
      </c>
      <c r="Y306" s="7" t="s">
        <v>150</v>
      </c>
      <c r="Z306" s="8" t="s">
        <v>151</v>
      </c>
      <c r="AA306" s="7" t="s">
        <v>152</v>
      </c>
      <c r="AB306" s="7" t="s">
        <v>153</v>
      </c>
      <c r="AC306" s="7" t="s">
        <v>154</v>
      </c>
      <c r="AD306" s="7" t="s">
        <v>155</v>
      </c>
      <c r="AE306" s="8" t="s">
        <v>156</v>
      </c>
      <c r="AF306" s="7" t="s">
        <v>157</v>
      </c>
      <c r="AH306" s="7" t="s">
        <v>146</v>
      </c>
      <c r="AI306" s="7" t="s">
        <v>147</v>
      </c>
      <c r="AJ306" s="7" t="s">
        <v>158</v>
      </c>
      <c r="AK306" s="7" t="s">
        <v>159</v>
      </c>
      <c r="AL306" s="7" t="s">
        <v>160</v>
      </c>
      <c r="AM306" s="7" t="s">
        <v>161</v>
      </c>
      <c r="AN306" s="7" t="s">
        <v>162</v>
      </c>
      <c r="AO306" s="7" t="s">
        <v>163</v>
      </c>
      <c r="AP306" s="7" t="s">
        <v>164</v>
      </c>
      <c r="AR306" s="7" t="s">
        <v>146</v>
      </c>
      <c r="AS306" s="7" t="s">
        <v>147</v>
      </c>
      <c r="AT306" s="7" t="s">
        <v>165</v>
      </c>
      <c r="AU306" s="7" t="s">
        <v>166</v>
      </c>
      <c r="AV306" s="7" t="s">
        <v>167</v>
      </c>
      <c r="AW306" s="7" t="s">
        <v>168</v>
      </c>
      <c r="AX306" s="14"/>
    </row>
    <row r="307" spans="1:50" ht="24" customHeight="1" thickTop="1" thickBot="1" x14ac:dyDescent="0.35">
      <c r="A307" s="63"/>
      <c r="B307" s="76"/>
      <c r="C307" s="25"/>
      <c r="D307" s="86"/>
      <c r="E307" s="1" t="s">
        <v>151</v>
      </c>
      <c r="F307" s="36">
        <v>2</v>
      </c>
      <c r="G307" s="86"/>
      <c r="H307" s="36" t="s">
        <v>199</v>
      </c>
      <c r="I307" s="36">
        <v>2</v>
      </c>
      <c r="J307" s="87"/>
      <c r="K307" s="38" t="s">
        <v>168</v>
      </c>
      <c r="L307" s="38">
        <v>2</v>
      </c>
      <c r="M307" s="18"/>
      <c r="O307" s="1">
        <v>4</v>
      </c>
      <c r="P307" s="1">
        <v>1</v>
      </c>
      <c r="Q307" s="1">
        <v>2</v>
      </c>
      <c r="R307" s="1">
        <v>0</v>
      </c>
      <c r="S307" s="14"/>
      <c r="U307" s="9" t="s">
        <v>171</v>
      </c>
      <c r="V307" s="10" t="s">
        <v>172</v>
      </c>
      <c r="W307" s="9">
        <v>7.72</v>
      </c>
      <c r="X307" s="9">
        <v>0.76</v>
      </c>
      <c r="Y307" s="9">
        <v>1.19</v>
      </c>
      <c r="Z307" s="9">
        <v>0.72</v>
      </c>
      <c r="AA307" s="9">
        <v>2.5</v>
      </c>
      <c r="AB307" s="9">
        <v>0.85</v>
      </c>
      <c r="AC307" s="9">
        <v>0.91</v>
      </c>
      <c r="AD307" s="9">
        <v>1.2</v>
      </c>
      <c r="AE307" s="9">
        <v>1.1299999999999999</v>
      </c>
      <c r="AF307" s="9">
        <v>2.2999999999999998</v>
      </c>
      <c r="AH307" s="9" t="s">
        <v>173</v>
      </c>
      <c r="AI307" s="10" t="s">
        <v>174</v>
      </c>
      <c r="AJ307" s="9">
        <v>6.38</v>
      </c>
      <c r="AK307" s="9">
        <v>6.76</v>
      </c>
      <c r="AL307" s="9">
        <v>3</v>
      </c>
      <c r="AM307" s="9">
        <v>6.87</v>
      </c>
      <c r="AN307" s="9">
        <v>1.76</v>
      </c>
      <c r="AO307" s="9">
        <v>7.24</v>
      </c>
      <c r="AP307" s="9">
        <v>5.37</v>
      </c>
      <c r="AR307" s="9" t="s">
        <v>175</v>
      </c>
      <c r="AS307" s="10" t="s">
        <v>176</v>
      </c>
      <c r="AT307" s="9">
        <v>2.65</v>
      </c>
      <c r="AU307" s="9">
        <v>1.1299999999999999</v>
      </c>
      <c r="AV307" s="9">
        <v>2.7</v>
      </c>
      <c r="AW307" s="9">
        <v>2</v>
      </c>
      <c r="AX307" s="14"/>
    </row>
    <row r="308" spans="1:50" ht="24" customHeight="1" thickTop="1" thickBot="1" x14ac:dyDescent="0.35">
      <c r="A308" s="63"/>
      <c r="B308" s="76"/>
      <c r="C308" s="25"/>
      <c r="D308" s="86"/>
      <c r="E308" s="36" t="s">
        <v>152</v>
      </c>
      <c r="F308" s="36">
        <v>2</v>
      </c>
      <c r="G308" s="86"/>
      <c r="H308" s="36" t="s">
        <v>200</v>
      </c>
      <c r="I308" s="36">
        <v>2</v>
      </c>
      <c r="J308" s="39"/>
      <c r="K308" s="39"/>
      <c r="L308" s="39"/>
      <c r="M308" s="18"/>
      <c r="O308" s="1">
        <v>5</v>
      </c>
      <c r="P308" s="1">
        <v>1</v>
      </c>
      <c r="Q308" s="1">
        <v>1</v>
      </c>
      <c r="R308" s="1">
        <v>1</v>
      </c>
      <c r="S308" s="14"/>
      <c r="U308" s="9" t="s">
        <v>179</v>
      </c>
      <c r="V308" s="10" t="s">
        <v>180</v>
      </c>
      <c r="W308" s="9">
        <v>8.17</v>
      </c>
      <c r="X308" s="9">
        <v>0.83</v>
      </c>
      <c r="Y308" s="9">
        <v>1.01</v>
      </c>
      <c r="Z308" s="9">
        <v>0.57999999999999996</v>
      </c>
      <c r="AA308" s="9">
        <v>2.68</v>
      </c>
      <c r="AB308" s="9">
        <v>0.89</v>
      </c>
      <c r="AC308" s="9">
        <v>0.97</v>
      </c>
      <c r="AD308" s="9">
        <v>1.07</v>
      </c>
      <c r="AE308" s="9">
        <v>1.28</v>
      </c>
      <c r="AF308" s="9">
        <v>1.65</v>
      </c>
      <c r="AH308" s="11" t="s">
        <v>181</v>
      </c>
      <c r="AI308" s="12" t="s">
        <v>182</v>
      </c>
      <c r="AJ308" s="11">
        <v>6.85</v>
      </c>
      <c r="AK308" s="11">
        <v>7.36</v>
      </c>
      <c r="AL308" s="11">
        <v>3</v>
      </c>
      <c r="AM308" s="11">
        <v>7.58</v>
      </c>
      <c r="AN308" s="11">
        <v>2.2400000000000002</v>
      </c>
      <c r="AO308" s="11">
        <v>8.58</v>
      </c>
      <c r="AP308" s="11">
        <v>5.86</v>
      </c>
      <c r="AR308" s="11" t="s">
        <v>183</v>
      </c>
      <c r="AS308" s="12" t="s">
        <v>184</v>
      </c>
      <c r="AT308" s="11">
        <v>3.34</v>
      </c>
      <c r="AU308" s="11">
        <v>1.05</v>
      </c>
      <c r="AV308" s="11">
        <v>2.35</v>
      </c>
      <c r="AW308" s="11">
        <v>2</v>
      </c>
      <c r="AX308" s="14"/>
    </row>
    <row r="309" spans="1:50" ht="23.5" customHeight="1" thickTop="1" thickBot="1" x14ac:dyDescent="0.35">
      <c r="A309" s="63"/>
      <c r="B309" s="76"/>
      <c r="C309" s="25"/>
      <c r="D309" s="86"/>
      <c r="E309" s="36" t="s">
        <v>153</v>
      </c>
      <c r="F309" s="36">
        <v>2</v>
      </c>
      <c r="G309" s="86"/>
      <c r="H309" s="36" t="s">
        <v>201</v>
      </c>
      <c r="I309" s="36">
        <v>2</v>
      </c>
      <c r="J309" s="25"/>
      <c r="K309" s="25"/>
      <c r="L309" s="25"/>
      <c r="M309" s="18"/>
      <c r="O309" s="1">
        <v>6</v>
      </c>
      <c r="P309" s="1">
        <v>2</v>
      </c>
      <c r="Q309" s="1">
        <v>1</v>
      </c>
      <c r="R309" s="1">
        <v>1</v>
      </c>
      <c r="S309" s="14"/>
      <c r="U309" s="11" t="s">
        <v>187</v>
      </c>
      <c r="V309" s="12" t="s">
        <v>188</v>
      </c>
      <c r="W309" s="11">
        <v>9.15</v>
      </c>
      <c r="X309" s="11">
        <v>0.65</v>
      </c>
      <c r="Y309" s="11">
        <v>1.2</v>
      </c>
      <c r="Z309" s="11">
        <v>0.75</v>
      </c>
      <c r="AA309" s="11">
        <v>2.95</v>
      </c>
      <c r="AB309" s="11">
        <v>0.82</v>
      </c>
      <c r="AC309" s="11">
        <v>0.98</v>
      </c>
      <c r="AD309" s="11">
        <v>1.2</v>
      </c>
      <c r="AE309" s="11">
        <v>1.32</v>
      </c>
      <c r="AF309" s="11">
        <v>2.5</v>
      </c>
      <c r="AX309" s="14"/>
    </row>
    <row r="310" spans="1:50" ht="23.5" customHeight="1" thickTop="1" thickBot="1" x14ac:dyDescent="0.35">
      <c r="A310" s="63"/>
      <c r="B310" s="76"/>
      <c r="C310" s="25"/>
      <c r="D310" s="86"/>
      <c r="E310" s="1" t="s">
        <v>156</v>
      </c>
      <c r="F310" s="36">
        <v>2</v>
      </c>
      <c r="G310" s="87"/>
      <c r="H310" s="38" t="s">
        <v>164</v>
      </c>
      <c r="I310" s="38">
        <v>1</v>
      </c>
      <c r="J310" s="36"/>
      <c r="K310" s="25"/>
      <c r="L310" s="25"/>
      <c r="M310" s="18"/>
      <c r="O310" s="1">
        <v>7</v>
      </c>
      <c r="P310" s="1">
        <v>1</v>
      </c>
      <c r="Q310" s="1">
        <v>1</v>
      </c>
      <c r="R310" s="1">
        <v>1</v>
      </c>
      <c r="S310" s="14"/>
      <c r="U310" s="9"/>
      <c r="V310" s="10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X310" s="14"/>
    </row>
    <row r="311" spans="1:50" ht="23.5" customHeight="1" thickTop="1" thickBot="1" x14ac:dyDescent="0.35">
      <c r="A311" s="63"/>
      <c r="B311" s="76"/>
      <c r="C311" s="25"/>
      <c r="D311" s="87"/>
      <c r="E311" s="38" t="s">
        <v>197</v>
      </c>
      <c r="F311" s="38">
        <v>2</v>
      </c>
      <c r="G311" s="39"/>
      <c r="H311" s="39"/>
      <c r="I311" s="39"/>
      <c r="J311" s="36"/>
      <c r="K311" s="36"/>
      <c r="L311" s="25"/>
      <c r="M311" s="18"/>
      <c r="O311" s="1">
        <v>8</v>
      </c>
      <c r="P311" s="1">
        <v>0</v>
      </c>
      <c r="Q311" s="1">
        <v>1</v>
      </c>
      <c r="R311" s="1">
        <v>3</v>
      </c>
      <c r="S311" s="14"/>
      <c r="U311" s="9"/>
      <c r="V311" s="10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X311" s="14"/>
    </row>
    <row r="312" spans="1:50" ht="23" customHeight="1" thickTop="1" x14ac:dyDescent="0.3">
      <c r="A312" s="63"/>
      <c r="B312" s="76"/>
      <c r="C312" s="25"/>
      <c r="D312" s="39"/>
      <c r="E312" s="39"/>
      <c r="F312" s="39"/>
      <c r="G312" s="25"/>
      <c r="H312" s="25"/>
      <c r="I312" s="25"/>
      <c r="J312" s="25"/>
      <c r="K312" s="25"/>
      <c r="L312" s="25"/>
      <c r="M312" s="18"/>
      <c r="O312" s="1">
        <v>9</v>
      </c>
      <c r="P312" s="1">
        <v>2</v>
      </c>
      <c r="Q312" s="1">
        <v>0</v>
      </c>
      <c r="R312" s="1">
        <v>2</v>
      </c>
      <c r="S312" s="14"/>
      <c r="AX312" s="14"/>
    </row>
    <row r="313" spans="1:50" ht="23" customHeight="1" thickBot="1" x14ac:dyDescent="0.35">
      <c r="A313" s="63"/>
      <c r="B313" s="76"/>
      <c r="C313" s="25"/>
      <c r="D313" s="36"/>
      <c r="E313" s="36"/>
      <c r="F313" s="36"/>
      <c r="G313" s="25"/>
      <c r="H313" s="25"/>
      <c r="I313" s="25"/>
      <c r="J313" s="25"/>
      <c r="K313" s="25"/>
      <c r="L313" s="25"/>
      <c r="M313" s="18"/>
      <c r="O313" s="4">
        <v>10</v>
      </c>
      <c r="P313" s="4">
        <v>2</v>
      </c>
      <c r="Q313" s="4">
        <v>1</v>
      </c>
      <c r="R313" s="4">
        <v>2</v>
      </c>
      <c r="S313" s="14"/>
      <c r="AX313" s="14"/>
    </row>
    <row r="314" spans="1:50" ht="23.5" customHeight="1" thickTop="1" thickBot="1" x14ac:dyDescent="0.35">
      <c r="A314" s="63"/>
      <c r="B314" s="81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19"/>
      <c r="N314" s="15"/>
      <c r="O314" s="15"/>
      <c r="P314" s="15"/>
      <c r="Q314" s="15"/>
      <c r="R314" s="15"/>
      <c r="S314" s="16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6"/>
    </row>
    <row r="315" spans="1:50" ht="15" customHeight="1" thickTop="1" thickBot="1" x14ac:dyDescent="0.35">
      <c r="A315" s="63"/>
      <c r="B315" s="89" t="s">
        <v>127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17"/>
      <c r="N315" s="24"/>
      <c r="O315" s="24"/>
      <c r="P315" s="24"/>
      <c r="Q315" s="24"/>
      <c r="R315" s="24"/>
      <c r="S315" s="17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17"/>
    </row>
    <row r="316" spans="1:50" ht="16" customHeight="1" thickTop="1" thickBot="1" x14ac:dyDescent="0.35">
      <c r="A316" s="63"/>
      <c r="B316" s="76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17"/>
      <c r="N316" s="24"/>
      <c r="O316" s="82" t="s">
        <v>205</v>
      </c>
      <c r="P316" s="82" t="s">
        <v>206</v>
      </c>
      <c r="Q316" s="83"/>
      <c r="R316" s="83"/>
      <c r="S316" s="17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17"/>
    </row>
    <row r="317" spans="1:50" ht="31" customHeight="1" thickTop="1" thickBot="1" x14ac:dyDescent="0.35">
      <c r="A317" s="63"/>
      <c r="B317" s="76"/>
      <c r="C317" s="24"/>
      <c r="D317" s="27" t="s">
        <v>191</v>
      </c>
      <c r="E317" s="27" t="s">
        <v>192</v>
      </c>
      <c r="F317" s="27" t="s">
        <v>193</v>
      </c>
      <c r="G317" s="27" t="s">
        <v>191</v>
      </c>
      <c r="H317" s="27" t="s">
        <v>192</v>
      </c>
      <c r="I317" s="27" t="s">
        <v>193</v>
      </c>
      <c r="J317" s="27" t="s">
        <v>191</v>
      </c>
      <c r="K317" s="27" t="s">
        <v>192</v>
      </c>
      <c r="L317" s="27" t="s">
        <v>193</v>
      </c>
      <c r="M317" s="17"/>
      <c r="N317" s="24"/>
      <c r="O317" s="84"/>
      <c r="P317" s="2" t="s">
        <v>178</v>
      </c>
      <c r="Q317" s="2" t="s">
        <v>186</v>
      </c>
      <c r="R317" s="2" t="s">
        <v>190</v>
      </c>
      <c r="S317" s="17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17"/>
    </row>
    <row r="318" spans="1:50" ht="23" customHeight="1" thickTop="1" x14ac:dyDescent="0.3">
      <c r="A318" s="63"/>
      <c r="B318" s="76"/>
      <c r="C318" s="33"/>
      <c r="D318" s="88" t="s">
        <v>194</v>
      </c>
      <c r="E318" s="36" t="s">
        <v>148</v>
      </c>
      <c r="F318" s="36">
        <v>6</v>
      </c>
      <c r="G318" s="85" t="s">
        <v>198</v>
      </c>
      <c r="H318" s="36" t="s">
        <v>158</v>
      </c>
      <c r="I318" s="36">
        <v>2</v>
      </c>
      <c r="J318" s="85" t="s">
        <v>202</v>
      </c>
      <c r="K318" s="36" t="s">
        <v>203</v>
      </c>
      <c r="L318" s="36">
        <v>3</v>
      </c>
      <c r="M318" s="18"/>
      <c r="N318" s="13"/>
      <c r="O318" s="1">
        <v>1</v>
      </c>
      <c r="P318" s="1">
        <v>1</v>
      </c>
      <c r="Q318" s="1">
        <v>0</v>
      </c>
      <c r="R318" s="1">
        <v>1</v>
      </c>
      <c r="S318" s="14"/>
      <c r="T318" s="13"/>
      <c r="U318" s="24"/>
      <c r="AX318" s="14"/>
    </row>
    <row r="319" spans="1:50" ht="23" customHeight="1" thickBot="1" x14ac:dyDescent="0.35">
      <c r="A319" s="63"/>
      <c r="B319" s="76"/>
      <c r="C319" s="25"/>
      <c r="D319" s="86"/>
      <c r="E319" s="36" t="s">
        <v>195</v>
      </c>
      <c r="F319" s="36">
        <v>2</v>
      </c>
      <c r="G319" s="86"/>
      <c r="H319" s="36" t="s">
        <v>159</v>
      </c>
      <c r="I319" s="36">
        <v>2</v>
      </c>
      <c r="J319" s="86"/>
      <c r="K319" s="36" t="s">
        <v>166</v>
      </c>
      <c r="L319" s="36">
        <v>3</v>
      </c>
      <c r="M319" s="18"/>
      <c r="O319" s="1">
        <v>2</v>
      </c>
      <c r="P319" s="1">
        <v>2</v>
      </c>
      <c r="Q319" s="1">
        <v>1</v>
      </c>
      <c r="R319" s="1">
        <v>2</v>
      </c>
      <c r="S319" s="14"/>
      <c r="Z319" s="23" t="s">
        <v>194</v>
      </c>
      <c r="AK319" s="23" t="s">
        <v>198</v>
      </c>
      <c r="AT319" s="23" t="s">
        <v>202</v>
      </c>
      <c r="AX319" s="14"/>
    </row>
    <row r="320" spans="1:50" ht="25" customHeight="1" thickTop="1" thickBot="1" x14ac:dyDescent="0.35">
      <c r="A320" s="63"/>
      <c r="B320" s="76"/>
      <c r="C320" s="25"/>
      <c r="D320" s="86"/>
      <c r="E320" s="36" t="s">
        <v>196</v>
      </c>
      <c r="F320" s="36">
        <v>2</v>
      </c>
      <c r="G320" s="86"/>
      <c r="H320" s="36" t="s">
        <v>160</v>
      </c>
      <c r="I320" s="36">
        <v>2</v>
      </c>
      <c r="J320" s="86"/>
      <c r="K320" s="36" t="s">
        <v>167</v>
      </c>
      <c r="L320" s="36">
        <v>2</v>
      </c>
      <c r="M320" s="18"/>
      <c r="O320" s="1">
        <v>3</v>
      </c>
      <c r="P320" s="1">
        <v>2</v>
      </c>
      <c r="Q320" s="1">
        <v>1</v>
      </c>
      <c r="R320" s="1">
        <v>0</v>
      </c>
      <c r="S320" s="14"/>
      <c r="U320" s="7" t="s">
        <v>146</v>
      </c>
      <c r="V320" s="7" t="s">
        <v>147</v>
      </c>
      <c r="W320" s="7" t="s">
        <v>148</v>
      </c>
      <c r="X320" s="7" t="s">
        <v>149</v>
      </c>
      <c r="Y320" s="7" t="s">
        <v>150</v>
      </c>
      <c r="Z320" s="8" t="s">
        <v>151</v>
      </c>
      <c r="AA320" s="7" t="s">
        <v>152</v>
      </c>
      <c r="AB320" s="7" t="s">
        <v>153</v>
      </c>
      <c r="AC320" s="7" t="s">
        <v>154</v>
      </c>
      <c r="AD320" s="7" t="s">
        <v>155</v>
      </c>
      <c r="AE320" s="8" t="s">
        <v>156</v>
      </c>
      <c r="AF320" s="7" t="s">
        <v>157</v>
      </c>
      <c r="AH320" s="7" t="s">
        <v>146</v>
      </c>
      <c r="AI320" s="7" t="s">
        <v>147</v>
      </c>
      <c r="AJ320" s="7" t="s">
        <v>158</v>
      </c>
      <c r="AK320" s="7" t="s">
        <v>159</v>
      </c>
      <c r="AL320" s="7" t="s">
        <v>160</v>
      </c>
      <c r="AM320" s="7" t="s">
        <v>161</v>
      </c>
      <c r="AN320" s="7" t="s">
        <v>162</v>
      </c>
      <c r="AO320" s="7" t="s">
        <v>163</v>
      </c>
      <c r="AP320" s="7" t="s">
        <v>164</v>
      </c>
      <c r="AR320" s="7" t="s">
        <v>146</v>
      </c>
      <c r="AS320" s="7" t="s">
        <v>147</v>
      </c>
      <c r="AT320" s="7" t="s">
        <v>165</v>
      </c>
      <c r="AU320" s="7" t="s">
        <v>166</v>
      </c>
      <c r="AV320" s="7" t="s">
        <v>167</v>
      </c>
      <c r="AW320" s="7" t="s">
        <v>168</v>
      </c>
      <c r="AX320" s="14"/>
    </row>
    <row r="321" spans="1:50" ht="24" customHeight="1" thickTop="1" thickBot="1" x14ac:dyDescent="0.35">
      <c r="A321" s="63"/>
      <c r="B321" s="76"/>
      <c r="C321" s="25"/>
      <c r="D321" s="86"/>
      <c r="E321" s="1" t="s">
        <v>151</v>
      </c>
      <c r="F321" s="36">
        <v>2</v>
      </c>
      <c r="G321" s="86"/>
      <c r="H321" s="36" t="s">
        <v>199</v>
      </c>
      <c r="I321" s="36">
        <v>2</v>
      </c>
      <c r="J321" s="87"/>
      <c r="K321" s="38" t="s">
        <v>168</v>
      </c>
      <c r="L321" s="38">
        <v>2</v>
      </c>
      <c r="M321" s="18"/>
      <c r="O321" s="1">
        <v>4</v>
      </c>
      <c r="P321" s="1">
        <v>1</v>
      </c>
      <c r="Q321" s="1">
        <v>2</v>
      </c>
      <c r="R321" s="1">
        <v>0</v>
      </c>
      <c r="S321" s="14"/>
      <c r="U321" s="9" t="s">
        <v>171</v>
      </c>
      <c r="V321" s="10" t="s">
        <v>172</v>
      </c>
      <c r="W321" s="9">
        <v>7.3</v>
      </c>
      <c r="X321" s="9">
        <v>0.82</v>
      </c>
      <c r="Y321" s="9">
        <v>1.1399999999999999</v>
      </c>
      <c r="Z321" s="9">
        <v>0.65</v>
      </c>
      <c r="AA321" s="9">
        <v>2.5</v>
      </c>
      <c r="AB321" s="9">
        <v>0.8</v>
      </c>
      <c r="AC321" s="9">
        <v>0.96</v>
      </c>
      <c r="AD321" s="9">
        <v>1.1000000000000001</v>
      </c>
      <c r="AE321" s="9">
        <v>1.05</v>
      </c>
      <c r="AF321" s="9">
        <v>1.56</v>
      </c>
      <c r="AH321" s="9" t="s">
        <v>173</v>
      </c>
      <c r="AI321" s="10" t="s">
        <v>174</v>
      </c>
      <c r="AJ321" s="9">
        <v>6.1</v>
      </c>
      <c r="AK321" s="9">
        <v>6.53</v>
      </c>
      <c r="AL321" s="9">
        <v>3</v>
      </c>
      <c r="AM321" s="9">
        <v>6.07</v>
      </c>
      <c r="AN321" s="9">
        <v>1.52</v>
      </c>
      <c r="AO321" s="9">
        <v>7.03</v>
      </c>
      <c r="AP321" s="9">
        <v>5.0199999999999996</v>
      </c>
      <c r="AR321" s="9" t="s">
        <v>175</v>
      </c>
      <c r="AS321" s="10" t="s">
        <v>176</v>
      </c>
      <c r="AT321" s="9">
        <v>3.08</v>
      </c>
      <c r="AU321" s="9">
        <v>1.25</v>
      </c>
      <c r="AV321" s="9">
        <v>2.2000000000000002</v>
      </c>
      <c r="AW321" s="9">
        <v>2</v>
      </c>
      <c r="AX321" s="14"/>
    </row>
    <row r="322" spans="1:50" ht="24" customHeight="1" thickTop="1" thickBot="1" x14ac:dyDescent="0.35">
      <c r="A322" s="63"/>
      <c r="B322" s="76"/>
      <c r="C322" s="25"/>
      <c r="D322" s="86"/>
      <c r="E322" s="36" t="s">
        <v>152</v>
      </c>
      <c r="F322" s="36">
        <v>2</v>
      </c>
      <c r="G322" s="86"/>
      <c r="H322" s="36" t="s">
        <v>200</v>
      </c>
      <c r="I322" s="36">
        <v>2</v>
      </c>
      <c r="J322" s="39"/>
      <c r="K322" s="39"/>
      <c r="L322" s="39"/>
      <c r="M322" s="18"/>
      <c r="O322" s="1">
        <v>5</v>
      </c>
      <c r="P322" s="1">
        <v>1</v>
      </c>
      <c r="Q322" s="1">
        <v>1</v>
      </c>
      <c r="R322" s="1">
        <v>1</v>
      </c>
      <c r="S322" s="14"/>
      <c r="U322" s="9" t="s">
        <v>179</v>
      </c>
      <c r="V322" s="10" t="s">
        <v>180</v>
      </c>
      <c r="W322" s="9">
        <v>8.84</v>
      </c>
      <c r="X322" s="9">
        <v>0.73</v>
      </c>
      <c r="Y322" s="9">
        <v>1.06</v>
      </c>
      <c r="Z322" s="9">
        <v>0.64</v>
      </c>
      <c r="AA322" s="9">
        <v>2.89</v>
      </c>
      <c r="AB322" s="9">
        <v>0.84</v>
      </c>
      <c r="AC322" s="9">
        <v>0.93</v>
      </c>
      <c r="AD322" s="9">
        <v>1.18</v>
      </c>
      <c r="AE322" s="9">
        <v>1.37</v>
      </c>
      <c r="AF322" s="9">
        <v>2.12</v>
      </c>
      <c r="AH322" s="11" t="s">
        <v>181</v>
      </c>
      <c r="AI322" s="12" t="s">
        <v>182</v>
      </c>
      <c r="AJ322" s="11">
        <v>6.96</v>
      </c>
      <c r="AK322" s="11">
        <v>7.46</v>
      </c>
      <c r="AL322" s="11">
        <v>3</v>
      </c>
      <c r="AM322" s="11">
        <v>7.96</v>
      </c>
      <c r="AN322" s="11">
        <v>2.46</v>
      </c>
      <c r="AO322" s="11">
        <v>8.9600000000000009</v>
      </c>
      <c r="AP322" s="11">
        <v>5.97</v>
      </c>
      <c r="AR322" s="11" t="s">
        <v>183</v>
      </c>
      <c r="AS322" s="12" t="s">
        <v>184</v>
      </c>
      <c r="AT322" s="11">
        <v>2.88</v>
      </c>
      <c r="AU322" s="11">
        <v>1.04</v>
      </c>
      <c r="AV322" s="11">
        <v>2.8</v>
      </c>
      <c r="AW322" s="11">
        <v>2</v>
      </c>
      <c r="AX322" s="14"/>
    </row>
    <row r="323" spans="1:50" ht="23.5" customHeight="1" thickTop="1" thickBot="1" x14ac:dyDescent="0.35">
      <c r="A323" s="63"/>
      <c r="B323" s="76"/>
      <c r="C323" s="25"/>
      <c r="D323" s="86"/>
      <c r="E323" s="36" t="s">
        <v>153</v>
      </c>
      <c r="F323" s="36">
        <v>2</v>
      </c>
      <c r="G323" s="86"/>
      <c r="H323" s="36" t="s">
        <v>201</v>
      </c>
      <c r="I323" s="36">
        <v>2</v>
      </c>
      <c r="J323" s="25"/>
      <c r="K323" s="25"/>
      <c r="L323" s="25"/>
      <c r="M323" s="18"/>
      <c r="O323" s="1">
        <v>6</v>
      </c>
      <c r="P323" s="1">
        <v>2</v>
      </c>
      <c r="Q323" s="1">
        <v>1</v>
      </c>
      <c r="R323" s="1">
        <v>2</v>
      </c>
      <c r="S323" s="14"/>
      <c r="U323" s="11" t="s">
        <v>187</v>
      </c>
      <c r="V323" s="12" t="s">
        <v>188</v>
      </c>
      <c r="W323" s="11">
        <v>9.25</v>
      </c>
      <c r="X323" s="11">
        <v>0.7</v>
      </c>
      <c r="Y323" s="11">
        <v>1.25</v>
      </c>
      <c r="Z323" s="11">
        <v>0.71</v>
      </c>
      <c r="AA323" s="11">
        <v>2.5</v>
      </c>
      <c r="AB323" s="11">
        <v>0.86</v>
      </c>
      <c r="AC323" s="11">
        <v>0.95</v>
      </c>
      <c r="AD323" s="11">
        <v>1.2</v>
      </c>
      <c r="AE323" s="11">
        <v>1.4</v>
      </c>
      <c r="AF323" s="11">
        <v>1.9</v>
      </c>
      <c r="AX323" s="14"/>
    </row>
    <row r="324" spans="1:50" ht="23.5" customHeight="1" thickTop="1" thickBot="1" x14ac:dyDescent="0.35">
      <c r="A324" s="63"/>
      <c r="B324" s="76"/>
      <c r="C324" s="25"/>
      <c r="D324" s="86"/>
      <c r="E324" s="1" t="s">
        <v>156</v>
      </c>
      <c r="F324" s="36">
        <v>2</v>
      </c>
      <c r="G324" s="87"/>
      <c r="H324" s="38" t="s">
        <v>164</v>
      </c>
      <c r="I324" s="38">
        <v>1</v>
      </c>
      <c r="J324" s="36"/>
      <c r="K324" s="25"/>
      <c r="L324" s="25"/>
      <c r="M324" s="18"/>
      <c r="O324" s="1">
        <v>7</v>
      </c>
      <c r="P324" s="1">
        <v>1</v>
      </c>
      <c r="Q324" s="1">
        <v>1</v>
      </c>
      <c r="R324" s="1">
        <v>1</v>
      </c>
      <c r="S324" s="14"/>
      <c r="U324" s="9"/>
      <c r="V324" s="10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X324" s="14"/>
    </row>
    <row r="325" spans="1:50" ht="23.5" customHeight="1" thickTop="1" thickBot="1" x14ac:dyDescent="0.35">
      <c r="A325" s="63"/>
      <c r="B325" s="76"/>
      <c r="C325" s="25"/>
      <c r="D325" s="87"/>
      <c r="E325" s="38" t="s">
        <v>197</v>
      </c>
      <c r="F325" s="38">
        <v>2</v>
      </c>
      <c r="G325" s="39"/>
      <c r="H325" s="39"/>
      <c r="I325" s="39"/>
      <c r="J325" s="36"/>
      <c r="K325" s="36"/>
      <c r="L325" s="25"/>
      <c r="M325" s="18"/>
      <c r="O325" s="1">
        <v>8</v>
      </c>
      <c r="P325" s="1">
        <v>2</v>
      </c>
      <c r="Q325" s="1">
        <v>2</v>
      </c>
      <c r="R325" s="1">
        <v>2</v>
      </c>
      <c r="S325" s="14"/>
      <c r="U325" s="9"/>
      <c r="V325" s="10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X325" s="14"/>
    </row>
    <row r="326" spans="1:50" ht="23" customHeight="1" thickTop="1" x14ac:dyDescent="0.3">
      <c r="A326" s="63"/>
      <c r="B326" s="76"/>
      <c r="C326" s="25"/>
      <c r="D326" s="39"/>
      <c r="E326" s="39"/>
      <c r="F326" s="39"/>
      <c r="G326" s="25"/>
      <c r="H326" s="25"/>
      <c r="I326" s="25"/>
      <c r="J326" s="25"/>
      <c r="K326" s="25"/>
      <c r="L326" s="25"/>
      <c r="M326" s="18"/>
      <c r="O326" s="1">
        <v>9</v>
      </c>
      <c r="P326" s="1">
        <v>0</v>
      </c>
      <c r="Q326" s="1">
        <v>3</v>
      </c>
      <c r="R326" s="1">
        <v>3</v>
      </c>
      <c r="S326" s="14"/>
      <c r="AX326" s="14"/>
    </row>
    <row r="327" spans="1:50" ht="23" customHeight="1" thickBot="1" x14ac:dyDescent="0.35">
      <c r="A327" s="63"/>
      <c r="B327" s="76"/>
      <c r="C327" s="25"/>
      <c r="D327" s="36"/>
      <c r="E327" s="36"/>
      <c r="F327" s="36"/>
      <c r="G327" s="25"/>
      <c r="H327" s="25"/>
      <c r="I327" s="25"/>
      <c r="J327" s="25"/>
      <c r="K327" s="25"/>
      <c r="L327" s="25"/>
      <c r="M327" s="18"/>
      <c r="O327" s="4">
        <v>10</v>
      </c>
      <c r="P327" s="4">
        <v>1</v>
      </c>
      <c r="Q327" s="4">
        <v>0</v>
      </c>
      <c r="R327" s="4">
        <v>2</v>
      </c>
      <c r="S327" s="14"/>
      <c r="AX327" s="14"/>
    </row>
    <row r="328" spans="1:50" ht="23.5" customHeight="1" thickTop="1" thickBot="1" x14ac:dyDescent="0.35">
      <c r="A328" s="63"/>
      <c r="B328" s="81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19"/>
      <c r="N328" s="15"/>
      <c r="O328" s="15"/>
      <c r="P328" s="15"/>
      <c r="Q328" s="15"/>
      <c r="R328" s="15"/>
      <c r="S328" s="16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6"/>
    </row>
    <row r="329" spans="1:50" ht="15" customHeight="1" thickTop="1" thickBot="1" x14ac:dyDescent="0.35">
      <c r="A329" s="63"/>
      <c r="B329" s="89" t="s">
        <v>128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17"/>
      <c r="N329" s="24"/>
      <c r="O329" s="24"/>
      <c r="P329" s="24"/>
      <c r="Q329" s="24"/>
      <c r="R329" s="24"/>
      <c r="S329" s="17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17"/>
    </row>
    <row r="330" spans="1:50" ht="16" customHeight="1" thickTop="1" thickBot="1" x14ac:dyDescent="0.35">
      <c r="A330" s="63"/>
      <c r="B330" s="76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17"/>
      <c r="N330" s="24"/>
      <c r="O330" s="82" t="s">
        <v>205</v>
      </c>
      <c r="P330" s="82" t="s">
        <v>206</v>
      </c>
      <c r="Q330" s="83"/>
      <c r="R330" s="83"/>
      <c r="S330" s="17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17"/>
    </row>
    <row r="331" spans="1:50" ht="31" customHeight="1" thickTop="1" thickBot="1" x14ac:dyDescent="0.35">
      <c r="A331" s="63"/>
      <c r="B331" s="76"/>
      <c r="C331" s="24"/>
      <c r="D331" s="27" t="s">
        <v>191</v>
      </c>
      <c r="E331" s="27" t="s">
        <v>192</v>
      </c>
      <c r="F331" s="27" t="s">
        <v>193</v>
      </c>
      <c r="G331" s="27" t="s">
        <v>191</v>
      </c>
      <c r="H331" s="27" t="s">
        <v>192</v>
      </c>
      <c r="I331" s="27" t="s">
        <v>193</v>
      </c>
      <c r="J331" s="27" t="s">
        <v>191</v>
      </c>
      <c r="K331" s="27" t="s">
        <v>192</v>
      </c>
      <c r="L331" s="27" t="s">
        <v>193</v>
      </c>
      <c r="M331" s="17"/>
      <c r="N331" s="24"/>
      <c r="O331" s="84"/>
      <c r="P331" s="2" t="s">
        <v>178</v>
      </c>
      <c r="Q331" s="2" t="s">
        <v>186</v>
      </c>
      <c r="R331" s="2" t="s">
        <v>190</v>
      </c>
      <c r="S331" s="17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17"/>
    </row>
    <row r="332" spans="1:50" ht="23" customHeight="1" thickTop="1" x14ac:dyDescent="0.3">
      <c r="A332" s="63"/>
      <c r="B332" s="76"/>
      <c r="C332" s="33"/>
      <c r="D332" s="88" t="s">
        <v>194</v>
      </c>
      <c r="E332" s="36" t="s">
        <v>148</v>
      </c>
      <c r="F332" s="36">
        <v>6</v>
      </c>
      <c r="G332" s="85" t="s">
        <v>198</v>
      </c>
      <c r="H332" s="36" t="s">
        <v>158</v>
      </c>
      <c r="I332" s="36">
        <v>3</v>
      </c>
      <c r="J332" s="85" t="s">
        <v>202</v>
      </c>
      <c r="K332" s="36" t="s">
        <v>203</v>
      </c>
      <c r="L332" s="36">
        <v>3</v>
      </c>
      <c r="M332" s="18"/>
      <c r="N332" s="13"/>
      <c r="O332" s="1">
        <v>1</v>
      </c>
      <c r="P332" s="1">
        <v>1</v>
      </c>
      <c r="Q332" s="1">
        <v>0</v>
      </c>
      <c r="R332" s="1">
        <v>2</v>
      </c>
      <c r="S332" s="14"/>
      <c r="T332" s="13"/>
      <c r="U332" s="24"/>
      <c r="AX332" s="14"/>
    </row>
    <row r="333" spans="1:50" ht="23" customHeight="1" thickBot="1" x14ac:dyDescent="0.35">
      <c r="A333" s="63"/>
      <c r="B333" s="76"/>
      <c r="C333" s="25"/>
      <c r="D333" s="86"/>
      <c r="E333" s="36" t="s">
        <v>195</v>
      </c>
      <c r="F333" s="36">
        <v>3</v>
      </c>
      <c r="G333" s="86"/>
      <c r="H333" s="36" t="s">
        <v>159</v>
      </c>
      <c r="I333" s="36">
        <v>2</v>
      </c>
      <c r="J333" s="86"/>
      <c r="K333" s="36" t="s">
        <v>166</v>
      </c>
      <c r="L333" s="36">
        <v>3</v>
      </c>
      <c r="M333" s="18"/>
      <c r="O333" s="1">
        <v>2</v>
      </c>
      <c r="P333" s="1">
        <v>2</v>
      </c>
      <c r="Q333" s="1">
        <v>2</v>
      </c>
      <c r="R333" s="1">
        <v>1</v>
      </c>
      <c r="S333" s="14"/>
      <c r="Z333" s="23" t="s">
        <v>194</v>
      </c>
      <c r="AK333" s="23" t="s">
        <v>198</v>
      </c>
      <c r="AT333" s="23" t="s">
        <v>202</v>
      </c>
      <c r="AX333" s="14"/>
    </row>
    <row r="334" spans="1:50" ht="25" customHeight="1" thickTop="1" thickBot="1" x14ac:dyDescent="0.35">
      <c r="A334" s="63"/>
      <c r="B334" s="76"/>
      <c r="C334" s="25"/>
      <c r="D334" s="86"/>
      <c r="E334" s="36" t="s">
        <v>196</v>
      </c>
      <c r="F334" s="36">
        <v>2</v>
      </c>
      <c r="G334" s="86"/>
      <c r="H334" s="36" t="s">
        <v>160</v>
      </c>
      <c r="I334" s="36">
        <v>2</v>
      </c>
      <c r="J334" s="86"/>
      <c r="K334" s="36" t="s">
        <v>167</v>
      </c>
      <c r="L334" s="36">
        <v>3</v>
      </c>
      <c r="M334" s="18"/>
      <c r="O334" s="1">
        <v>3</v>
      </c>
      <c r="P334" s="1">
        <v>1</v>
      </c>
      <c r="Q334" s="1">
        <v>1</v>
      </c>
      <c r="R334" s="1">
        <v>1</v>
      </c>
      <c r="S334" s="14"/>
      <c r="U334" s="7" t="s">
        <v>146</v>
      </c>
      <c r="V334" s="7" t="s">
        <v>147</v>
      </c>
      <c r="W334" s="7" t="s">
        <v>148</v>
      </c>
      <c r="X334" s="7" t="s">
        <v>149</v>
      </c>
      <c r="Y334" s="7" t="s">
        <v>150</v>
      </c>
      <c r="Z334" s="8" t="s">
        <v>151</v>
      </c>
      <c r="AA334" s="7" t="s">
        <v>152</v>
      </c>
      <c r="AB334" s="7" t="s">
        <v>153</v>
      </c>
      <c r="AC334" s="7" t="s">
        <v>154</v>
      </c>
      <c r="AD334" s="7" t="s">
        <v>155</v>
      </c>
      <c r="AE334" s="8" t="s">
        <v>156</v>
      </c>
      <c r="AF334" s="7" t="s">
        <v>157</v>
      </c>
      <c r="AH334" s="7" t="s">
        <v>146</v>
      </c>
      <c r="AI334" s="7" t="s">
        <v>147</v>
      </c>
      <c r="AJ334" s="7" t="s">
        <v>158</v>
      </c>
      <c r="AK334" s="7" t="s">
        <v>159</v>
      </c>
      <c r="AL334" s="7" t="s">
        <v>160</v>
      </c>
      <c r="AM334" s="7" t="s">
        <v>161</v>
      </c>
      <c r="AN334" s="7" t="s">
        <v>162</v>
      </c>
      <c r="AO334" s="7" t="s">
        <v>163</v>
      </c>
      <c r="AP334" s="7" t="s">
        <v>164</v>
      </c>
      <c r="AR334" s="7" t="s">
        <v>146</v>
      </c>
      <c r="AS334" s="7" t="s">
        <v>147</v>
      </c>
      <c r="AT334" s="7" t="s">
        <v>165</v>
      </c>
      <c r="AU334" s="7" t="s">
        <v>166</v>
      </c>
      <c r="AV334" s="7" t="s">
        <v>167</v>
      </c>
      <c r="AW334" s="7" t="s">
        <v>168</v>
      </c>
      <c r="AX334" s="14"/>
    </row>
    <row r="335" spans="1:50" ht="24" customHeight="1" thickTop="1" thickBot="1" x14ac:dyDescent="0.35">
      <c r="A335" s="63"/>
      <c r="B335" s="76"/>
      <c r="C335" s="25"/>
      <c r="D335" s="86"/>
      <c r="E335" s="1" t="s">
        <v>151</v>
      </c>
      <c r="F335" s="36">
        <v>2</v>
      </c>
      <c r="G335" s="86"/>
      <c r="H335" s="36" t="s">
        <v>199</v>
      </c>
      <c r="I335" s="36">
        <v>2</v>
      </c>
      <c r="J335" s="87"/>
      <c r="K335" s="38" t="s">
        <v>168</v>
      </c>
      <c r="L335" s="38">
        <v>3</v>
      </c>
      <c r="M335" s="18"/>
      <c r="O335" s="1">
        <v>4</v>
      </c>
      <c r="P335" s="1">
        <v>0</v>
      </c>
      <c r="Q335" s="1">
        <v>2</v>
      </c>
      <c r="R335" s="1">
        <v>0</v>
      </c>
      <c r="S335" s="14"/>
      <c r="U335" s="9" t="s">
        <v>171</v>
      </c>
      <c r="V335" s="10" t="s">
        <v>172</v>
      </c>
      <c r="W335" s="9">
        <v>7.17</v>
      </c>
      <c r="X335" s="9">
        <v>0.67</v>
      </c>
      <c r="Y335" s="9">
        <v>1.1000000000000001</v>
      </c>
      <c r="Z335" s="9">
        <v>0.68</v>
      </c>
      <c r="AA335" s="9">
        <v>2.78</v>
      </c>
      <c r="AB335" s="9">
        <v>0.87</v>
      </c>
      <c r="AC335" s="9">
        <v>0.94</v>
      </c>
      <c r="AD335" s="9">
        <v>1.05</v>
      </c>
      <c r="AE335" s="9">
        <v>1.25</v>
      </c>
      <c r="AF335" s="9">
        <v>2.23</v>
      </c>
      <c r="AH335" s="9" t="s">
        <v>173</v>
      </c>
      <c r="AI335" s="10" t="s">
        <v>174</v>
      </c>
      <c r="AJ335" s="9">
        <v>6.57</v>
      </c>
      <c r="AK335" s="9">
        <v>6.88</v>
      </c>
      <c r="AL335" s="9">
        <v>3</v>
      </c>
      <c r="AM335" s="9">
        <v>6.46</v>
      </c>
      <c r="AN335" s="9">
        <v>1.88</v>
      </c>
      <c r="AO335" s="9">
        <v>7.67</v>
      </c>
      <c r="AP335" s="9">
        <v>5.48</v>
      </c>
      <c r="AR335" s="9" t="s">
        <v>175</v>
      </c>
      <c r="AS335" s="10" t="s">
        <v>176</v>
      </c>
      <c r="AT335" s="9">
        <v>3.39</v>
      </c>
      <c r="AU335" s="9">
        <v>1.17</v>
      </c>
      <c r="AV335" s="9">
        <v>2.5499999999999998</v>
      </c>
      <c r="AW335" s="9">
        <v>2</v>
      </c>
      <c r="AX335" s="14"/>
    </row>
    <row r="336" spans="1:50" ht="24" customHeight="1" thickTop="1" thickBot="1" x14ac:dyDescent="0.35">
      <c r="A336" s="63"/>
      <c r="B336" s="76"/>
      <c r="C336" s="25"/>
      <c r="D336" s="86"/>
      <c r="E336" s="36" t="s">
        <v>152</v>
      </c>
      <c r="F336" s="36">
        <v>2</v>
      </c>
      <c r="G336" s="86"/>
      <c r="H336" s="36" t="s">
        <v>200</v>
      </c>
      <c r="I336" s="36">
        <v>2</v>
      </c>
      <c r="J336" s="39"/>
      <c r="K336" s="39"/>
      <c r="L336" s="39"/>
      <c r="M336" s="18"/>
      <c r="O336" s="1">
        <v>5</v>
      </c>
      <c r="P336" s="1">
        <v>1</v>
      </c>
      <c r="Q336" s="1">
        <v>1</v>
      </c>
      <c r="R336" s="1">
        <v>1</v>
      </c>
      <c r="S336" s="14"/>
      <c r="U336" s="9" t="s">
        <v>179</v>
      </c>
      <c r="V336" s="10" t="s">
        <v>180</v>
      </c>
      <c r="W336" s="9">
        <v>8.5500000000000007</v>
      </c>
      <c r="X336" s="9">
        <v>0.9</v>
      </c>
      <c r="Y336" s="9">
        <v>1.03</v>
      </c>
      <c r="Z336" s="9">
        <v>0.56999999999999995</v>
      </c>
      <c r="AA336" s="9">
        <v>2.5</v>
      </c>
      <c r="AB336" s="9">
        <v>0.81</v>
      </c>
      <c r="AC336" s="9">
        <v>0.99</v>
      </c>
      <c r="AD336" s="9">
        <v>1</v>
      </c>
      <c r="AE336" s="9">
        <v>1.1000000000000001</v>
      </c>
      <c r="AF336" s="9">
        <v>1.68</v>
      </c>
      <c r="AH336" s="11" t="s">
        <v>181</v>
      </c>
      <c r="AI336" s="12" t="s">
        <v>182</v>
      </c>
      <c r="AJ336" s="11">
        <v>6.77</v>
      </c>
      <c r="AK336" s="11">
        <v>7.22</v>
      </c>
      <c r="AL336" s="11">
        <v>3</v>
      </c>
      <c r="AM336" s="11">
        <v>7.26</v>
      </c>
      <c r="AN336" s="11">
        <v>2.16</v>
      </c>
      <c r="AO336" s="11">
        <v>8.26</v>
      </c>
      <c r="AP336" s="11">
        <v>5.68</v>
      </c>
      <c r="AR336" s="11" t="s">
        <v>183</v>
      </c>
      <c r="AS336" s="12" t="s">
        <v>184</v>
      </c>
      <c r="AT336" s="11">
        <v>2.5299999999999998</v>
      </c>
      <c r="AU336" s="11">
        <v>1.1000000000000001</v>
      </c>
      <c r="AV336" s="11">
        <v>2.4</v>
      </c>
      <c r="AW336" s="11">
        <v>2</v>
      </c>
      <c r="AX336" s="14"/>
    </row>
    <row r="337" spans="1:50" ht="23.5" customHeight="1" thickTop="1" thickBot="1" x14ac:dyDescent="0.35">
      <c r="A337" s="63"/>
      <c r="B337" s="76"/>
      <c r="C337" s="25"/>
      <c r="D337" s="86"/>
      <c r="E337" s="36" t="s">
        <v>153</v>
      </c>
      <c r="F337" s="36">
        <v>2</v>
      </c>
      <c r="G337" s="86"/>
      <c r="H337" s="36" t="s">
        <v>201</v>
      </c>
      <c r="I337" s="36">
        <v>2</v>
      </c>
      <c r="J337" s="25"/>
      <c r="K337" s="25"/>
      <c r="L337" s="25"/>
      <c r="M337" s="18"/>
      <c r="O337" s="1">
        <v>6</v>
      </c>
      <c r="P337" s="1">
        <v>2</v>
      </c>
      <c r="Q337" s="1">
        <v>3</v>
      </c>
      <c r="R337" s="1">
        <v>1</v>
      </c>
      <c r="S337" s="14"/>
      <c r="U337" s="11" t="s">
        <v>187</v>
      </c>
      <c r="V337" s="12" t="s">
        <v>188</v>
      </c>
      <c r="W337" s="11">
        <v>9.1199999999999992</v>
      </c>
      <c r="X337" s="11">
        <v>0.78</v>
      </c>
      <c r="Y337" s="11">
        <v>1.23</v>
      </c>
      <c r="Z337" s="11">
        <v>0.75</v>
      </c>
      <c r="AA337" s="11">
        <v>2.63</v>
      </c>
      <c r="AB337" s="11">
        <v>0.88</v>
      </c>
      <c r="AC337" s="11">
        <v>0.91</v>
      </c>
      <c r="AD337" s="11">
        <v>1.2</v>
      </c>
      <c r="AE337" s="11">
        <v>1.38</v>
      </c>
      <c r="AF337" s="11">
        <v>2.4500000000000002</v>
      </c>
      <c r="AX337" s="14"/>
    </row>
    <row r="338" spans="1:50" ht="23.5" customHeight="1" thickTop="1" thickBot="1" x14ac:dyDescent="0.35">
      <c r="A338" s="63"/>
      <c r="B338" s="76"/>
      <c r="C338" s="25"/>
      <c r="D338" s="86"/>
      <c r="E338" s="1" t="s">
        <v>156</v>
      </c>
      <c r="F338" s="36">
        <v>2</v>
      </c>
      <c r="G338" s="87"/>
      <c r="H338" s="38" t="s">
        <v>164</v>
      </c>
      <c r="I338" s="38">
        <v>1</v>
      </c>
      <c r="J338" s="36"/>
      <c r="K338" s="25"/>
      <c r="L338" s="25"/>
      <c r="M338" s="18"/>
      <c r="O338" s="1">
        <v>7</v>
      </c>
      <c r="P338" s="1">
        <v>1</v>
      </c>
      <c r="Q338" s="1">
        <v>1</v>
      </c>
      <c r="R338" s="1">
        <v>1</v>
      </c>
      <c r="S338" s="14"/>
      <c r="U338" s="9"/>
      <c r="V338" s="10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X338" s="14"/>
    </row>
    <row r="339" spans="1:50" ht="23.5" customHeight="1" thickTop="1" thickBot="1" x14ac:dyDescent="0.35">
      <c r="A339" s="63"/>
      <c r="B339" s="76"/>
      <c r="C339" s="25"/>
      <c r="D339" s="87"/>
      <c r="E339" s="38" t="s">
        <v>197</v>
      </c>
      <c r="F339" s="38">
        <v>2</v>
      </c>
      <c r="G339" s="39"/>
      <c r="H339" s="39"/>
      <c r="I339" s="39"/>
      <c r="J339" s="36"/>
      <c r="K339" s="36"/>
      <c r="L339" s="25"/>
      <c r="M339" s="18"/>
      <c r="O339" s="1">
        <v>8</v>
      </c>
      <c r="P339" s="1">
        <v>2</v>
      </c>
      <c r="Q339" s="1">
        <v>1</v>
      </c>
      <c r="R339" s="1">
        <v>4</v>
      </c>
      <c r="S339" s="14"/>
      <c r="U339" s="9"/>
      <c r="V339" s="10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X339" s="14"/>
    </row>
    <row r="340" spans="1:50" ht="23" customHeight="1" thickTop="1" x14ac:dyDescent="0.3">
      <c r="A340" s="63"/>
      <c r="B340" s="76"/>
      <c r="C340" s="25"/>
      <c r="D340" s="39"/>
      <c r="E340" s="39"/>
      <c r="F340" s="39"/>
      <c r="G340" s="25"/>
      <c r="H340" s="25"/>
      <c r="I340" s="25"/>
      <c r="J340" s="25"/>
      <c r="K340" s="25"/>
      <c r="L340" s="25"/>
      <c r="M340" s="18"/>
      <c r="O340" s="1">
        <v>9</v>
      </c>
      <c r="P340" s="1">
        <v>2</v>
      </c>
      <c r="Q340" s="1">
        <v>3</v>
      </c>
      <c r="R340" s="1">
        <v>0</v>
      </c>
      <c r="S340" s="14"/>
      <c r="AX340" s="14"/>
    </row>
    <row r="341" spans="1:50" ht="23" customHeight="1" thickBot="1" x14ac:dyDescent="0.35">
      <c r="A341" s="63"/>
      <c r="B341" s="76"/>
      <c r="C341" s="25"/>
      <c r="D341" s="36"/>
      <c r="E341" s="36"/>
      <c r="F341" s="36"/>
      <c r="G341" s="25"/>
      <c r="H341" s="25"/>
      <c r="I341" s="25"/>
      <c r="J341" s="25"/>
      <c r="K341" s="25"/>
      <c r="L341" s="25"/>
      <c r="M341" s="18"/>
      <c r="O341" s="4">
        <v>10</v>
      </c>
      <c r="P341" s="4">
        <v>2</v>
      </c>
      <c r="Q341" s="4">
        <v>0</v>
      </c>
      <c r="R341" s="4">
        <v>2</v>
      </c>
      <c r="S341" s="14"/>
      <c r="AX341" s="14"/>
    </row>
    <row r="342" spans="1:50" ht="23.5" customHeight="1" thickTop="1" thickBot="1" x14ac:dyDescent="0.35">
      <c r="A342" s="63"/>
      <c r="B342" s="81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19"/>
      <c r="N342" s="15"/>
      <c r="O342" s="15"/>
      <c r="P342" s="15"/>
      <c r="Q342" s="15"/>
      <c r="R342" s="15"/>
      <c r="S342" s="16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6"/>
    </row>
    <row r="343" spans="1:50" ht="15" customHeight="1" thickTop="1" thickBot="1" x14ac:dyDescent="0.35">
      <c r="A343" s="63"/>
      <c r="B343" s="89" t="s">
        <v>129</v>
      </c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17"/>
      <c r="N343" s="24"/>
      <c r="O343" s="24"/>
      <c r="P343" s="24"/>
      <c r="Q343" s="24"/>
      <c r="R343" s="24"/>
      <c r="S343" s="17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17"/>
    </row>
    <row r="344" spans="1:50" ht="16" customHeight="1" thickTop="1" thickBot="1" x14ac:dyDescent="0.35">
      <c r="A344" s="63"/>
      <c r="B344" s="76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17"/>
      <c r="N344" s="24"/>
      <c r="O344" s="82" t="s">
        <v>205</v>
      </c>
      <c r="P344" s="82" t="s">
        <v>206</v>
      </c>
      <c r="Q344" s="83"/>
      <c r="R344" s="83"/>
      <c r="S344" s="17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17"/>
    </row>
    <row r="345" spans="1:50" ht="31" customHeight="1" thickTop="1" thickBot="1" x14ac:dyDescent="0.35">
      <c r="A345" s="63"/>
      <c r="B345" s="76"/>
      <c r="C345" s="24"/>
      <c r="D345" s="27" t="s">
        <v>191</v>
      </c>
      <c r="E345" s="27" t="s">
        <v>192</v>
      </c>
      <c r="F345" s="27" t="s">
        <v>193</v>
      </c>
      <c r="G345" s="27" t="s">
        <v>191</v>
      </c>
      <c r="H345" s="27" t="s">
        <v>192</v>
      </c>
      <c r="I345" s="27" t="s">
        <v>193</v>
      </c>
      <c r="J345" s="27" t="s">
        <v>191</v>
      </c>
      <c r="K345" s="27" t="s">
        <v>192</v>
      </c>
      <c r="L345" s="27" t="s">
        <v>193</v>
      </c>
      <c r="M345" s="17"/>
      <c r="N345" s="24"/>
      <c r="O345" s="84"/>
      <c r="P345" s="2" t="s">
        <v>178</v>
      </c>
      <c r="Q345" s="2" t="s">
        <v>186</v>
      </c>
      <c r="R345" s="2" t="s">
        <v>190</v>
      </c>
      <c r="S345" s="1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17"/>
    </row>
    <row r="346" spans="1:50" ht="23" customHeight="1" thickTop="1" x14ac:dyDescent="0.3">
      <c r="A346" s="63"/>
      <c r="B346" s="76"/>
      <c r="C346" s="33"/>
      <c r="D346" s="88" t="s">
        <v>194</v>
      </c>
      <c r="E346" s="36" t="s">
        <v>148</v>
      </c>
      <c r="F346" s="36">
        <v>6</v>
      </c>
      <c r="G346" s="85" t="s">
        <v>198</v>
      </c>
      <c r="H346" s="36" t="s">
        <v>158</v>
      </c>
      <c r="I346" s="36">
        <v>3</v>
      </c>
      <c r="J346" s="85" t="s">
        <v>202</v>
      </c>
      <c r="K346" s="36" t="s">
        <v>203</v>
      </c>
      <c r="L346" s="36">
        <v>3</v>
      </c>
      <c r="M346" s="18"/>
      <c r="N346" s="13"/>
      <c r="O346" s="1">
        <v>1</v>
      </c>
      <c r="P346" s="1">
        <v>1</v>
      </c>
      <c r="Q346" s="1">
        <v>1</v>
      </c>
      <c r="R346" s="1">
        <v>0</v>
      </c>
      <c r="S346" s="14"/>
      <c r="T346" s="13"/>
      <c r="U346" s="24"/>
      <c r="AX346" s="14"/>
    </row>
    <row r="347" spans="1:50" ht="23" customHeight="1" thickBot="1" x14ac:dyDescent="0.35">
      <c r="A347" s="63"/>
      <c r="B347" s="76"/>
      <c r="C347" s="25"/>
      <c r="D347" s="86"/>
      <c r="E347" s="36" t="s">
        <v>195</v>
      </c>
      <c r="F347" s="36">
        <v>3</v>
      </c>
      <c r="G347" s="86"/>
      <c r="H347" s="36" t="s">
        <v>159</v>
      </c>
      <c r="I347" s="36">
        <v>2</v>
      </c>
      <c r="J347" s="86"/>
      <c r="K347" s="36" t="s">
        <v>166</v>
      </c>
      <c r="L347" s="36">
        <v>3</v>
      </c>
      <c r="M347" s="18"/>
      <c r="O347" s="1">
        <v>2</v>
      </c>
      <c r="P347" s="1">
        <v>2</v>
      </c>
      <c r="Q347" s="1">
        <v>1</v>
      </c>
      <c r="R347" s="1">
        <v>2</v>
      </c>
      <c r="S347" s="14"/>
      <c r="Z347" s="23" t="s">
        <v>194</v>
      </c>
      <c r="AK347" s="23" t="s">
        <v>198</v>
      </c>
      <c r="AT347" s="23" t="s">
        <v>202</v>
      </c>
      <c r="AX347" s="14"/>
    </row>
    <row r="348" spans="1:50" ht="25" customHeight="1" thickTop="1" thickBot="1" x14ac:dyDescent="0.35">
      <c r="A348" s="63"/>
      <c r="B348" s="76"/>
      <c r="C348" s="25"/>
      <c r="D348" s="86"/>
      <c r="E348" s="36" t="s">
        <v>196</v>
      </c>
      <c r="F348" s="36">
        <v>2</v>
      </c>
      <c r="G348" s="86"/>
      <c r="H348" s="36" t="s">
        <v>160</v>
      </c>
      <c r="I348" s="36">
        <v>2</v>
      </c>
      <c r="J348" s="86"/>
      <c r="K348" s="36" t="s">
        <v>167</v>
      </c>
      <c r="L348" s="36">
        <v>3</v>
      </c>
      <c r="M348" s="18"/>
      <c r="O348" s="1">
        <v>3</v>
      </c>
      <c r="P348" s="1">
        <v>1</v>
      </c>
      <c r="Q348" s="1">
        <v>1</v>
      </c>
      <c r="R348" s="1">
        <v>1</v>
      </c>
      <c r="S348" s="14"/>
      <c r="U348" s="7" t="s">
        <v>146</v>
      </c>
      <c r="V348" s="7" t="s">
        <v>147</v>
      </c>
      <c r="W348" s="7" t="s">
        <v>148</v>
      </c>
      <c r="X348" s="7" t="s">
        <v>149</v>
      </c>
      <c r="Y348" s="7" t="s">
        <v>150</v>
      </c>
      <c r="Z348" s="8" t="s">
        <v>151</v>
      </c>
      <c r="AA348" s="7" t="s">
        <v>152</v>
      </c>
      <c r="AB348" s="7" t="s">
        <v>153</v>
      </c>
      <c r="AC348" s="7" t="s">
        <v>154</v>
      </c>
      <c r="AD348" s="7" t="s">
        <v>155</v>
      </c>
      <c r="AE348" s="8" t="s">
        <v>156</v>
      </c>
      <c r="AF348" s="7" t="s">
        <v>157</v>
      </c>
      <c r="AH348" s="7" t="s">
        <v>146</v>
      </c>
      <c r="AI348" s="7" t="s">
        <v>147</v>
      </c>
      <c r="AJ348" s="7" t="s">
        <v>158</v>
      </c>
      <c r="AK348" s="7" t="s">
        <v>159</v>
      </c>
      <c r="AL348" s="7" t="s">
        <v>160</v>
      </c>
      <c r="AM348" s="7" t="s">
        <v>161</v>
      </c>
      <c r="AN348" s="7" t="s">
        <v>162</v>
      </c>
      <c r="AO348" s="7" t="s">
        <v>163</v>
      </c>
      <c r="AP348" s="7" t="s">
        <v>164</v>
      </c>
      <c r="AR348" s="7" t="s">
        <v>146</v>
      </c>
      <c r="AS348" s="7" t="s">
        <v>147</v>
      </c>
      <c r="AT348" s="7" t="s">
        <v>165</v>
      </c>
      <c r="AU348" s="7" t="s">
        <v>166</v>
      </c>
      <c r="AV348" s="7" t="s">
        <v>167</v>
      </c>
      <c r="AW348" s="7" t="s">
        <v>168</v>
      </c>
      <c r="AX348" s="14"/>
    </row>
    <row r="349" spans="1:50" ht="24" customHeight="1" thickTop="1" thickBot="1" x14ac:dyDescent="0.35">
      <c r="A349" s="63"/>
      <c r="B349" s="76"/>
      <c r="C349" s="25"/>
      <c r="D349" s="86"/>
      <c r="E349" s="1" t="s">
        <v>151</v>
      </c>
      <c r="F349" s="36">
        <v>2</v>
      </c>
      <c r="G349" s="86"/>
      <c r="H349" s="36" t="s">
        <v>199</v>
      </c>
      <c r="I349" s="36">
        <v>2</v>
      </c>
      <c r="J349" s="87"/>
      <c r="K349" s="38" t="s">
        <v>168</v>
      </c>
      <c r="L349" s="38">
        <v>3</v>
      </c>
      <c r="M349" s="18"/>
      <c r="O349" s="1">
        <v>4</v>
      </c>
      <c r="P349" s="1">
        <v>0</v>
      </c>
      <c r="Q349" s="1">
        <v>2</v>
      </c>
      <c r="R349" s="1">
        <v>5</v>
      </c>
      <c r="S349" s="14"/>
      <c r="U349" s="9" t="s">
        <v>171</v>
      </c>
      <c r="V349" s="10" t="s">
        <v>172</v>
      </c>
      <c r="W349" s="9">
        <v>7.86</v>
      </c>
      <c r="X349" s="9">
        <v>0.74</v>
      </c>
      <c r="Y349" s="9">
        <v>1.1599999999999999</v>
      </c>
      <c r="Z349" s="9">
        <v>0.62</v>
      </c>
      <c r="AA349" s="9">
        <v>2.5</v>
      </c>
      <c r="AB349" s="9">
        <v>0.83</v>
      </c>
      <c r="AC349" s="9">
        <v>0.97</v>
      </c>
      <c r="AD349" s="9">
        <v>1.1200000000000001</v>
      </c>
      <c r="AE349" s="9">
        <v>1.02</v>
      </c>
      <c r="AF349" s="9">
        <v>1.74</v>
      </c>
      <c r="AH349" s="9" t="s">
        <v>173</v>
      </c>
      <c r="AI349" s="10" t="s">
        <v>174</v>
      </c>
      <c r="AJ349" s="9">
        <v>6.22</v>
      </c>
      <c r="AK349" s="9">
        <v>6.67</v>
      </c>
      <c r="AL349" s="9">
        <v>3</v>
      </c>
      <c r="AM349" s="9">
        <v>6.94</v>
      </c>
      <c r="AN349" s="9">
        <v>1.67</v>
      </c>
      <c r="AO349" s="9">
        <v>7.36</v>
      </c>
      <c r="AP349" s="9">
        <v>5.22</v>
      </c>
      <c r="AR349" s="9" t="s">
        <v>175</v>
      </c>
      <c r="AS349" s="10" t="s">
        <v>176</v>
      </c>
      <c r="AT349" s="9">
        <v>2.76</v>
      </c>
      <c r="AU349" s="9">
        <v>1.0900000000000001</v>
      </c>
      <c r="AV349" s="9">
        <v>2.9</v>
      </c>
      <c r="AW349" s="9">
        <v>2</v>
      </c>
      <c r="AX349" s="14"/>
    </row>
    <row r="350" spans="1:50" ht="24" customHeight="1" thickTop="1" thickBot="1" x14ac:dyDescent="0.35">
      <c r="A350" s="63"/>
      <c r="B350" s="76"/>
      <c r="C350" s="25"/>
      <c r="D350" s="86"/>
      <c r="E350" s="36" t="s">
        <v>152</v>
      </c>
      <c r="F350" s="36">
        <v>2</v>
      </c>
      <c r="G350" s="86"/>
      <c r="H350" s="36" t="s">
        <v>200</v>
      </c>
      <c r="I350" s="36">
        <v>2</v>
      </c>
      <c r="J350" s="39"/>
      <c r="K350" s="39"/>
      <c r="L350" s="39"/>
      <c r="M350" s="18"/>
      <c r="O350" s="1">
        <v>5</v>
      </c>
      <c r="P350" s="1">
        <v>1</v>
      </c>
      <c r="Q350" s="1">
        <v>1</v>
      </c>
      <c r="R350" s="1">
        <v>1</v>
      </c>
      <c r="S350" s="14"/>
      <c r="U350" s="9" t="s">
        <v>179</v>
      </c>
      <c r="V350" s="10" t="s">
        <v>180</v>
      </c>
      <c r="W350" s="9">
        <v>8.25</v>
      </c>
      <c r="X350" s="9">
        <v>0.69</v>
      </c>
      <c r="Y350" s="9">
        <v>1.07</v>
      </c>
      <c r="Z350" s="9">
        <v>0.7</v>
      </c>
      <c r="AA350" s="9">
        <v>2.97</v>
      </c>
      <c r="AB350" s="9">
        <v>0.89</v>
      </c>
      <c r="AC350" s="9">
        <v>0.92</v>
      </c>
      <c r="AD350" s="9">
        <v>1.03</v>
      </c>
      <c r="AE350" s="9">
        <v>1.22</v>
      </c>
      <c r="AF350" s="9">
        <v>2.36</v>
      </c>
      <c r="AH350" s="11" t="s">
        <v>181</v>
      </c>
      <c r="AI350" s="12" t="s">
        <v>182</v>
      </c>
      <c r="AJ350" s="11">
        <v>6.87</v>
      </c>
      <c r="AK350" s="11">
        <v>7.38</v>
      </c>
      <c r="AL350" s="11">
        <v>3</v>
      </c>
      <c r="AM350" s="11">
        <v>7.77</v>
      </c>
      <c r="AN350" s="11">
        <v>2.37</v>
      </c>
      <c r="AO350" s="11">
        <v>8.7799999999999994</v>
      </c>
      <c r="AP350" s="11">
        <v>5.76</v>
      </c>
      <c r="AR350" s="11" t="s">
        <v>183</v>
      </c>
      <c r="AS350" s="12" t="s">
        <v>184</v>
      </c>
      <c r="AT350" s="11">
        <v>3.23</v>
      </c>
      <c r="AU350" s="11">
        <v>1.22</v>
      </c>
      <c r="AV350" s="11">
        <v>2.15</v>
      </c>
      <c r="AW350" s="11">
        <v>2</v>
      </c>
      <c r="AX350" s="14"/>
    </row>
    <row r="351" spans="1:50" ht="23.5" customHeight="1" thickTop="1" thickBot="1" x14ac:dyDescent="0.35">
      <c r="A351" s="63"/>
      <c r="B351" s="76"/>
      <c r="C351" s="25"/>
      <c r="D351" s="86"/>
      <c r="E351" s="36" t="s">
        <v>153</v>
      </c>
      <c r="F351" s="36">
        <v>2</v>
      </c>
      <c r="G351" s="86"/>
      <c r="H351" s="36" t="s">
        <v>201</v>
      </c>
      <c r="I351" s="36">
        <v>2</v>
      </c>
      <c r="J351" s="25"/>
      <c r="K351" s="25"/>
      <c r="L351" s="25"/>
      <c r="M351" s="18"/>
      <c r="O351" s="1">
        <v>6</v>
      </c>
      <c r="P351" s="1">
        <v>2</v>
      </c>
      <c r="Q351" s="1">
        <v>1</v>
      </c>
      <c r="R351" s="1">
        <v>1</v>
      </c>
      <c r="S351" s="14"/>
      <c r="U351" s="11" t="s">
        <v>187</v>
      </c>
      <c r="V351" s="12" t="s">
        <v>188</v>
      </c>
      <c r="W351" s="11">
        <v>9.02</v>
      </c>
      <c r="X351" s="11">
        <v>0.85</v>
      </c>
      <c r="Y351" s="11">
        <v>1.25</v>
      </c>
      <c r="Z351" s="11">
        <v>0.69</v>
      </c>
      <c r="AA351" s="11">
        <v>2.69</v>
      </c>
      <c r="AB351" s="11">
        <v>0.8</v>
      </c>
      <c r="AC351" s="11">
        <v>0.95</v>
      </c>
      <c r="AD351" s="11">
        <v>1.1499999999999999</v>
      </c>
      <c r="AE351" s="11">
        <v>1.35</v>
      </c>
      <c r="AF351" s="11">
        <v>1.5</v>
      </c>
      <c r="AX351" s="14"/>
    </row>
    <row r="352" spans="1:50" ht="23.5" customHeight="1" thickTop="1" thickBot="1" x14ac:dyDescent="0.35">
      <c r="A352" s="63"/>
      <c r="B352" s="76"/>
      <c r="C352" s="25"/>
      <c r="D352" s="86"/>
      <c r="E352" s="1" t="s">
        <v>156</v>
      </c>
      <c r="F352" s="36">
        <v>2</v>
      </c>
      <c r="G352" s="87"/>
      <c r="H352" s="38" t="s">
        <v>164</v>
      </c>
      <c r="I352" s="38">
        <v>1</v>
      </c>
      <c r="J352" s="36"/>
      <c r="K352" s="25"/>
      <c r="L352" s="25"/>
      <c r="M352" s="18"/>
      <c r="O352" s="1">
        <v>7</v>
      </c>
      <c r="P352" s="1">
        <v>1</v>
      </c>
      <c r="Q352" s="1">
        <v>1</v>
      </c>
      <c r="R352" s="1">
        <v>1</v>
      </c>
      <c r="S352" s="14"/>
      <c r="U352" s="9"/>
      <c r="V352" s="10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X352" s="14"/>
    </row>
    <row r="353" spans="1:50" ht="23.5" customHeight="1" thickTop="1" thickBot="1" x14ac:dyDescent="0.35">
      <c r="A353" s="63"/>
      <c r="B353" s="76"/>
      <c r="C353" s="25"/>
      <c r="D353" s="87"/>
      <c r="E353" s="38" t="s">
        <v>197</v>
      </c>
      <c r="F353" s="38">
        <v>2</v>
      </c>
      <c r="G353" s="39"/>
      <c r="H353" s="39"/>
      <c r="I353" s="39"/>
      <c r="J353" s="36"/>
      <c r="K353" s="36"/>
      <c r="L353" s="25"/>
      <c r="M353" s="18"/>
      <c r="O353" s="1">
        <v>8</v>
      </c>
      <c r="P353" s="1">
        <v>1</v>
      </c>
      <c r="Q353" s="1">
        <v>3</v>
      </c>
      <c r="R353" s="1">
        <v>1</v>
      </c>
      <c r="S353" s="14"/>
      <c r="U353" s="9"/>
      <c r="V353" s="10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X353" s="14"/>
    </row>
    <row r="354" spans="1:50" ht="23" customHeight="1" thickTop="1" x14ac:dyDescent="0.3">
      <c r="A354" s="63"/>
      <c r="B354" s="76"/>
      <c r="C354" s="25"/>
      <c r="D354" s="39"/>
      <c r="E354" s="39"/>
      <c r="F354" s="39"/>
      <c r="G354" s="25"/>
      <c r="H354" s="25"/>
      <c r="I354" s="25"/>
      <c r="J354" s="25"/>
      <c r="K354" s="25"/>
      <c r="L354" s="25"/>
      <c r="M354" s="18"/>
      <c r="O354" s="1">
        <v>9</v>
      </c>
      <c r="P354" s="1">
        <v>3</v>
      </c>
      <c r="Q354" s="1">
        <v>2</v>
      </c>
      <c r="R354" s="1">
        <v>1</v>
      </c>
      <c r="S354" s="14"/>
      <c r="AX354" s="14"/>
    </row>
    <row r="355" spans="1:50" ht="23" customHeight="1" thickBot="1" x14ac:dyDescent="0.35">
      <c r="A355" s="63"/>
      <c r="B355" s="76"/>
      <c r="C355" s="25"/>
      <c r="D355" s="36"/>
      <c r="E355" s="36"/>
      <c r="F355" s="36"/>
      <c r="G355" s="25"/>
      <c r="H355" s="25"/>
      <c r="I355" s="25"/>
      <c r="J355" s="25"/>
      <c r="K355" s="25"/>
      <c r="L355" s="25"/>
      <c r="M355" s="18"/>
      <c r="O355" s="4">
        <v>10</v>
      </c>
      <c r="P355" s="4">
        <v>2</v>
      </c>
      <c r="Q355" s="4">
        <v>0</v>
      </c>
      <c r="R355" s="4">
        <v>2</v>
      </c>
      <c r="S355" s="14"/>
      <c r="AX355" s="14"/>
    </row>
    <row r="356" spans="1:50" ht="23.5" customHeight="1" thickTop="1" thickBot="1" x14ac:dyDescent="0.35">
      <c r="A356" s="63"/>
      <c r="B356" s="81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19"/>
      <c r="N356" s="15"/>
      <c r="O356" s="15"/>
      <c r="P356" s="15"/>
      <c r="Q356" s="15"/>
      <c r="R356" s="15"/>
      <c r="S356" s="16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6"/>
    </row>
    <row r="357" spans="1:50" ht="15" customHeight="1" thickTop="1" thickBot="1" x14ac:dyDescent="0.35">
      <c r="A357" s="98">
        <v>4</v>
      </c>
      <c r="B357" s="89" t="s">
        <v>130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17"/>
      <c r="N357" s="24"/>
      <c r="O357" s="24"/>
      <c r="P357" s="24"/>
      <c r="Q357" s="24"/>
      <c r="R357" s="24"/>
      <c r="S357" s="1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17"/>
    </row>
    <row r="358" spans="1:50" ht="16" customHeight="1" thickTop="1" thickBot="1" x14ac:dyDescent="0.35">
      <c r="A358" s="63"/>
      <c r="B358" s="76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17"/>
      <c r="N358" s="24"/>
      <c r="O358" s="82" t="s">
        <v>205</v>
      </c>
      <c r="P358" s="82" t="s">
        <v>206</v>
      </c>
      <c r="Q358" s="83"/>
      <c r="R358" s="83"/>
      <c r="S358" s="1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17"/>
    </row>
    <row r="359" spans="1:50" ht="31" customHeight="1" thickTop="1" thickBot="1" x14ac:dyDescent="0.35">
      <c r="A359" s="63"/>
      <c r="B359" s="76"/>
      <c r="C359" s="24"/>
      <c r="D359" s="27" t="s">
        <v>191</v>
      </c>
      <c r="E359" s="27" t="s">
        <v>192</v>
      </c>
      <c r="F359" s="27" t="s">
        <v>193</v>
      </c>
      <c r="G359" s="27" t="s">
        <v>191</v>
      </c>
      <c r="H359" s="27" t="s">
        <v>192</v>
      </c>
      <c r="I359" s="27" t="s">
        <v>193</v>
      </c>
      <c r="J359" s="27" t="s">
        <v>191</v>
      </c>
      <c r="K359" s="27" t="s">
        <v>192</v>
      </c>
      <c r="L359" s="27" t="s">
        <v>193</v>
      </c>
      <c r="M359" s="17"/>
      <c r="N359" s="24"/>
      <c r="O359" s="84"/>
      <c r="P359" s="2" t="s">
        <v>178</v>
      </c>
      <c r="Q359" s="2" t="s">
        <v>186</v>
      </c>
      <c r="R359" s="2" t="s">
        <v>190</v>
      </c>
      <c r="S359" s="17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17"/>
    </row>
    <row r="360" spans="1:50" ht="23" customHeight="1" thickTop="1" x14ac:dyDescent="0.3">
      <c r="A360" s="63"/>
      <c r="B360" s="76"/>
      <c r="C360" s="33"/>
      <c r="D360" s="88" t="s">
        <v>194</v>
      </c>
      <c r="E360" s="36" t="s">
        <v>148</v>
      </c>
      <c r="F360" s="36">
        <v>5</v>
      </c>
      <c r="G360" s="85" t="s">
        <v>198</v>
      </c>
      <c r="H360" s="36" t="s">
        <v>158</v>
      </c>
      <c r="I360" s="36">
        <v>2</v>
      </c>
      <c r="J360" s="85" t="s">
        <v>202</v>
      </c>
      <c r="K360" s="36" t="s">
        <v>203</v>
      </c>
      <c r="L360" s="36">
        <v>3</v>
      </c>
      <c r="M360" s="18"/>
      <c r="N360" s="13"/>
      <c r="O360" s="1">
        <v>1</v>
      </c>
      <c r="P360" s="1">
        <v>1</v>
      </c>
      <c r="Q360" s="1">
        <v>1</v>
      </c>
      <c r="R360" s="1">
        <v>0</v>
      </c>
      <c r="S360" s="14"/>
      <c r="T360" s="13"/>
      <c r="U360" s="24"/>
      <c r="AX360" s="14"/>
    </row>
    <row r="361" spans="1:50" ht="23" customHeight="1" thickBot="1" x14ac:dyDescent="0.35">
      <c r="A361" s="63"/>
      <c r="B361" s="76"/>
      <c r="C361" s="25"/>
      <c r="D361" s="86"/>
      <c r="E361" s="36" t="s">
        <v>195</v>
      </c>
      <c r="F361" s="36">
        <v>2</v>
      </c>
      <c r="G361" s="86"/>
      <c r="H361" s="36" t="s">
        <v>159</v>
      </c>
      <c r="I361" s="36">
        <v>2</v>
      </c>
      <c r="J361" s="86"/>
      <c r="K361" s="36" t="s">
        <v>166</v>
      </c>
      <c r="L361" s="36">
        <v>3</v>
      </c>
      <c r="M361" s="18"/>
      <c r="O361" s="1">
        <v>2</v>
      </c>
      <c r="P361" s="1">
        <v>2</v>
      </c>
      <c r="Q361" s="1">
        <v>2</v>
      </c>
      <c r="R361" s="1">
        <v>1</v>
      </c>
      <c r="S361" s="14"/>
      <c r="Z361" s="23" t="s">
        <v>194</v>
      </c>
      <c r="AK361" s="23" t="s">
        <v>198</v>
      </c>
      <c r="AT361" s="23" t="s">
        <v>202</v>
      </c>
      <c r="AX361" s="14"/>
    </row>
    <row r="362" spans="1:50" ht="25" customHeight="1" thickTop="1" thickBot="1" x14ac:dyDescent="0.35">
      <c r="A362" s="63"/>
      <c r="B362" s="76"/>
      <c r="C362" s="25"/>
      <c r="D362" s="86"/>
      <c r="E362" s="36" t="s">
        <v>196</v>
      </c>
      <c r="F362" s="36">
        <v>2</v>
      </c>
      <c r="G362" s="86"/>
      <c r="H362" s="36" t="s">
        <v>160</v>
      </c>
      <c r="I362" s="36">
        <v>2</v>
      </c>
      <c r="J362" s="86"/>
      <c r="K362" s="36" t="s">
        <v>167</v>
      </c>
      <c r="L362" s="36">
        <v>2</v>
      </c>
      <c r="M362" s="18"/>
      <c r="O362" s="1">
        <v>3</v>
      </c>
      <c r="P362" s="1">
        <v>0</v>
      </c>
      <c r="Q362" s="1">
        <v>1</v>
      </c>
      <c r="R362" s="1">
        <v>1</v>
      </c>
      <c r="S362" s="14"/>
      <c r="U362" s="7" t="s">
        <v>146</v>
      </c>
      <c r="V362" s="7" t="s">
        <v>147</v>
      </c>
      <c r="W362" s="7" t="s">
        <v>148</v>
      </c>
      <c r="X362" s="7" t="s">
        <v>149</v>
      </c>
      <c r="Y362" s="7" t="s">
        <v>150</v>
      </c>
      <c r="Z362" s="8" t="s">
        <v>151</v>
      </c>
      <c r="AA362" s="7" t="s">
        <v>152</v>
      </c>
      <c r="AB362" s="7" t="s">
        <v>153</v>
      </c>
      <c r="AC362" s="7" t="s">
        <v>154</v>
      </c>
      <c r="AD362" s="7" t="s">
        <v>155</v>
      </c>
      <c r="AE362" s="8" t="s">
        <v>156</v>
      </c>
      <c r="AF362" s="7" t="s">
        <v>157</v>
      </c>
      <c r="AH362" s="7" t="s">
        <v>146</v>
      </c>
      <c r="AI362" s="7" t="s">
        <v>147</v>
      </c>
      <c r="AJ362" s="7" t="s">
        <v>158</v>
      </c>
      <c r="AK362" s="7" t="s">
        <v>159</v>
      </c>
      <c r="AL362" s="7" t="s">
        <v>160</v>
      </c>
      <c r="AM362" s="7" t="s">
        <v>161</v>
      </c>
      <c r="AN362" s="7" t="s">
        <v>162</v>
      </c>
      <c r="AO362" s="7" t="s">
        <v>163</v>
      </c>
      <c r="AP362" s="7" t="s">
        <v>164</v>
      </c>
      <c r="AR362" s="7" t="s">
        <v>146</v>
      </c>
      <c r="AS362" s="7" t="s">
        <v>147</v>
      </c>
      <c r="AT362" s="7" t="s">
        <v>165</v>
      </c>
      <c r="AU362" s="7" t="s">
        <v>166</v>
      </c>
      <c r="AV362" s="7" t="s">
        <v>167</v>
      </c>
      <c r="AW362" s="7" t="s">
        <v>168</v>
      </c>
      <c r="AX362" s="14"/>
    </row>
    <row r="363" spans="1:50" ht="24" customHeight="1" thickTop="1" thickBot="1" x14ac:dyDescent="0.35">
      <c r="A363" s="63"/>
      <c r="B363" s="76"/>
      <c r="C363" s="25"/>
      <c r="D363" s="86"/>
      <c r="E363" s="1" t="s">
        <v>151</v>
      </c>
      <c r="F363" s="36">
        <v>2</v>
      </c>
      <c r="G363" s="86"/>
      <c r="H363" s="36" t="s">
        <v>199</v>
      </c>
      <c r="I363" s="36">
        <v>2</v>
      </c>
      <c r="J363" s="87"/>
      <c r="K363" s="38" t="s">
        <v>168</v>
      </c>
      <c r="L363" s="38">
        <v>2</v>
      </c>
      <c r="M363" s="18"/>
      <c r="O363" s="1">
        <v>4</v>
      </c>
      <c r="P363" s="1">
        <v>0</v>
      </c>
      <c r="Q363" s="1">
        <v>2</v>
      </c>
      <c r="R363" s="1">
        <v>0</v>
      </c>
      <c r="S363" s="14"/>
      <c r="U363" s="9" t="s">
        <v>171</v>
      </c>
      <c r="V363" s="10" t="s">
        <v>172</v>
      </c>
      <c r="W363" s="9">
        <v>7.4</v>
      </c>
      <c r="X363" s="9">
        <v>0.71</v>
      </c>
      <c r="Y363" s="9">
        <v>1.1200000000000001</v>
      </c>
      <c r="Z363" s="9">
        <v>0.59</v>
      </c>
      <c r="AA363" s="9">
        <v>2.86</v>
      </c>
      <c r="AB363" s="9">
        <v>0.85</v>
      </c>
      <c r="AC363" s="9">
        <v>0.93</v>
      </c>
      <c r="AD363" s="9">
        <v>1.1499999999999999</v>
      </c>
      <c r="AE363" s="9">
        <v>1.3</v>
      </c>
      <c r="AF363" s="9">
        <v>2.06</v>
      </c>
      <c r="AH363" s="9" t="s">
        <v>173</v>
      </c>
      <c r="AI363" s="10" t="s">
        <v>174</v>
      </c>
      <c r="AJ363" s="9">
        <v>6.46</v>
      </c>
      <c r="AK363" s="9">
        <v>6.77</v>
      </c>
      <c r="AL363" s="9">
        <v>3</v>
      </c>
      <c r="AM363" s="9">
        <v>6.35</v>
      </c>
      <c r="AN363" s="9">
        <v>1.92</v>
      </c>
      <c r="AO363" s="9">
        <v>7.58</v>
      </c>
      <c r="AP363" s="9">
        <v>5.35</v>
      </c>
      <c r="AR363" s="9" t="s">
        <v>175</v>
      </c>
      <c r="AS363" s="10" t="s">
        <v>176</v>
      </c>
      <c r="AT363" s="9">
        <v>2.99</v>
      </c>
      <c r="AU363" s="9">
        <v>1.1499999999999999</v>
      </c>
      <c r="AV363" s="9">
        <v>2.6</v>
      </c>
      <c r="AW363" s="9">
        <v>2</v>
      </c>
      <c r="AX363" s="14"/>
    </row>
    <row r="364" spans="1:50" ht="24" customHeight="1" thickTop="1" thickBot="1" x14ac:dyDescent="0.35">
      <c r="A364" s="63"/>
      <c r="B364" s="76"/>
      <c r="C364" s="25"/>
      <c r="D364" s="86"/>
      <c r="E364" s="36" t="s">
        <v>152</v>
      </c>
      <c r="F364" s="36">
        <v>2</v>
      </c>
      <c r="G364" s="86"/>
      <c r="H364" s="36" t="s">
        <v>200</v>
      </c>
      <c r="I364" s="36">
        <v>2</v>
      </c>
      <c r="J364" s="39"/>
      <c r="K364" s="39"/>
      <c r="L364" s="39"/>
      <c r="M364" s="18"/>
      <c r="O364" s="1">
        <v>5</v>
      </c>
      <c r="P364" s="1">
        <v>1</v>
      </c>
      <c r="Q364" s="1">
        <v>1</v>
      </c>
      <c r="R364" s="1">
        <v>1</v>
      </c>
      <c r="S364" s="14"/>
      <c r="U364" s="9" t="s">
        <v>179</v>
      </c>
      <c r="V364" s="10" t="s">
        <v>180</v>
      </c>
      <c r="W364" s="9">
        <v>8.75</v>
      </c>
      <c r="X364" s="9">
        <v>0.87</v>
      </c>
      <c r="Y364" s="9">
        <v>1.01</v>
      </c>
      <c r="Z364" s="9">
        <v>0.61</v>
      </c>
      <c r="AA364" s="9">
        <v>2.5</v>
      </c>
      <c r="AB364" s="9">
        <v>0.82</v>
      </c>
      <c r="AC364" s="9">
        <v>0.98</v>
      </c>
      <c r="AD364" s="9">
        <v>1</v>
      </c>
      <c r="AE364" s="9">
        <v>1.17</v>
      </c>
      <c r="AF364" s="9">
        <v>1.63</v>
      </c>
      <c r="AH364" s="11" t="s">
        <v>181</v>
      </c>
      <c r="AI364" s="12" t="s">
        <v>182</v>
      </c>
      <c r="AJ364" s="11">
        <v>6.76</v>
      </c>
      <c r="AK364" s="11">
        <v>7.14</v>
      </c>
      <c r="AL364" s="11">
        <v>3</v>
      </c>
      <c r="AM364" s="11">
        <v>7.46</v>
      </c>
      <c r="AN364" s="11">
        <v>2.2400000000000002</v>
      </c>
      <c r="AO364" s="11">
        <v>8.48</v>
      </c>
      <c r="AP364" s="11">
        <v>5.66</v>
      </c>
      <c r="AR364" s="11" t="s">
        <v>183</v>
      </c>
      <c r="AS364" s="12" t="s">
        <v>184</v>
      </c>
      <c r="AT364" s="11">
        <v>3.49</v>
      </c>
      <c r="AU364" s="11">
        <v>1.06</v>
      </c>
      <c r="AV364" s="11">
        <v>2.2999999999999998</v>
      </c>
      <c r="AW364" s="11">
        <v>2</v>
      </c>
      <c r="AX364" s="14"/>
    </row>
    <row r="365" spans="1:50" ht="23.5" customHeight="1" thickTop="1" thickBot="1" x14ac:dyDescent="0.35">
      <c r="A365" s="63"/>
      <c r="B365" s="76"/>
      <c r="C365" s="25"/>
      <c r="D365" s="86"/>
      <c r="E365" s="36" t="s">
        <v>153</v>
      </c>
      <c r="F365" s="36">
        <v>2</v>
      </c>
      <c r="G365" s="86"/>
      <c r="H365" s="36" t="s">
        <v>201</v>
      </c>
      <c r="I365" s="36">
        <v>1</v>
      </c>
      <c r="J365" s="25"/>
      <c r="K365" s="25"/>
      <c r="L365" s="25"/>
      <c r="M365" s="18"/>
      <c r="O365" s="1">
        <v>6</v>
      </c>
      <c r="P365" s="1">
        <v>2</v>
      </c>
      <c r="Q365" s="1">
        <v>1</v>
      </c>
      <c r="R365" s="1">
        <v>1</v>
      </c>
      <c r="S365" s="14"/>
      <c r="U365" s="11" t="s">
        <v>187</v>
      </c>
      <c r="V365" s="12" t="s">
        <v>188</v>
      </c>
      <c r="W365" s="11">
        <v>9.2100000000000009</v>
      </c>
      <c r="X365" s="11">
        <v>0.65</v>
      </c>
      <c r="Y365" s="11">
        <v>1.21</v>
      </c>
      <c r="Z365" s="11">
        <v>0.72</v>
      </c>
      <c r="AA365" s="11">
        <v>2.5</v>
      </c>
      <c r="AB365" s="11">
        <v>0.86</v>
      </c>
      <c r="AC365" s="11">
        <v>0.91</v>
      </c>
      <c r="AD365" s="11">
        <v>1.2</v>
      </c>
      <c r="AE365" s="11">
        <v>1.4</v>
      </c>
      <c r="AF365" s="11">
        <v>2.25</v>
      </c>
      <c r="AX365" s="14"/>
    </row>
    <row r="366" spans="1:50" ht="23.5" customHeight="1" thickTop="1" thickBot="1" x14ac:dyDescent="0.35">
      <c r="A366" s="63"/>
      <c r="B366" s="76"/>
      <c r="C366" s="25"/>
      <c r="D366" s="86"/>
      <c r="E366" s="1" t="s">
        <v>156</v>
      </c>
      <c r="F366" s="36">
        <v>2</v>
      </c>
      <c r="G366" s="87"/>
      <c r="H366" s="38" t="s">
        <v>164</v>
      </c>
      <c r="I366" s="38">
        <v>1</v>
      </c>
      <c r="J366" s="36"/>
      <c r="K366" s="25"/>
      <c r="L366" s="25"/>
      <c r="M366" s="18"/>
      <c r="O366" s="1">
        <v>7</v>
      </c>
      <c r="P366" s="1">
        <v>1</v>
      </c>
      <c r="Q366" s="1">
        <v>1</v>
      </c>
      <c r="R366" s="1">
        <v>1</v>
      </c>
      <c r="S366" s="14"/>
      <c r="U366" s="9"/>
      <c r="V366" s="10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X366" s="14"/>
    </row>
    <row r="367" spans="1:50" ht="23.5" customHeight="1" thickTop="1" thickBot="1" x14ac:dyDescent="0.35">
      <c r="A367" s="63"/>
      <c r="B367" s="76"/>
      <c r="C367" s="25"/>
      <c r="D367" s="87"/>
      <c r="E367" s="38" t="s">
        <v>197</v>
      </c>
      <c r="F367" s="38">
        <v>1</v>
      </c>
      <c r="G367" s="39"/>
      <c r="H367" s="39"/>
      <c r="I367" s="39"/>
      <c r="J367" s="36"/>
      <c r="K367" s="36"/>
      <c r="L367" s="25"/>
      <c r="M367" s="18"/>
      <c r="O367" s="1">
        <v>8</v>
      </c>
      <c r="P367" s="1">
        <v>1</v>
      </c>
      <c r="Q367" s="1">
        <v>1</v>
      </c>
      <c r="R367" s="1">
        <v>3</v>
      </c>
      <c r="S367" s="14"/>
      <c r="U367" s="9"/>
      <c r="V367" s="10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X367" s="14"/>
    </row>
    <row r="368" spans="1:50" ht="23" customHeight="1" thickTop="1" x14ac:dyDescent="0.3">
      <c r="A368" s="63"/>
      <c r="B368" s="76"/>
      <c r="C368" s="25"/>
      <c r="D368" s="39"/>
      <c r="E368" s="39"/>
      <c r="F368" s="39"/>
      <c r="G368" s="25"/>
      <c r="H368" s="25"/>
      <c r="I368" s="25"/>
      <c r="J368" s="25"/>
      <c r="K368" s="25"/>
      <c r="L368" s="25"/>
      <c r="M368" s="18"/>
      <c r="O368" s="1">
        <v>9</v>
      </c>
      <c r="P368" s="1">
        <v>1</v>
      </c>
      <c r="Q368" s="1">
        <v>1</v>
      </c>
      <c r="R368" s="1">
        <v>0</v>
      </c>
      <c r="S368" s="14"/>
      <c r="AX368" s="14"/>
    </row>
    <row r="369" spans="1:50" ht="23" customHeight="1" thickBot="1" x14ac:dyDescent="0.35">
      <c r="A369" s="63"/>
      <c r="B369" s="76"/>
      <c r="C369" s="25"/>
      <c r="D369" s="36"/>
      <c r="E369" s="36"/>
      <c r="F369" s="36"/>
      <c r="G369" s="25"/>
      <c r="H369" s="25"/>
      <c r="I369" s="25"/>
      <c r="J369" s="25"/>
      <c r="K369" s="25"/>
      <c r="L369" s="25"/>
      <c r="M369" s="18"/>
      <c r="O369" s="4">
        <v>10</v>
      </c>
      <c r="P369" s="4">
        <v>2</v>
      </c>
      <c r="Q369" s="4">
        <v>0</v>
      </c>
      <c r="R369" s="4">
        <v>0</v>
      </c>
      <c r="S369" s="14"/>
      <c r="AX369" s="14"/>
    </row>
    <row r="370" spans="1:50" ht="23.5" customHeight="1" thickTop="1" thickBot="1" x14ac:dyDescent="0.35">
      <c r="A370" s="63"/>
      <c r="B370" s="81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19"/>
      <c r="N370" s="15"/>
      <c r="O370" s="15"/>
      <c r="P370" s="15"/>
      <c r="Q370" s="15"/>
      <c r="R370" s="15"/>
      <c r="S370" s="16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6"/>
    </row>
    <row r="371" spans="1:50" ht="15" customHeight="1" thickTop="1" thickBot="1" x14ac:dyDescent="0.35">
      <c r="A371" s="63"/>
      <c r="B371" s="89" t="s">
        <v>131</v>
      </c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17"/>
      <c r="N371" s="24"/>
      <c r="O371" s="24"/>
      <c r="P371" s="24"/>
      <c r="Q371" s="24"/>
      <c r="R371" s="24"/>
      <c r="S371" s="17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17"/>
    </row>
    <row r="372" spans="1:50" ht="16" customHeight="1" thickTop="1" thickBot="1" x14ac:dyDescent="0.35">
      <c r="A372" s="63"/>
      <c r="B372" s="76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17"/>
      <c r="N372" s="24"/>
      <c r="O372" s="82" t="s">
        <v>205</v>
      </c>
      <c r="P372" s="82" t="s">
        <v>206</v>
      </c>
      <c r="Q372" s="83"/>
      <c r="R372" s="83"/>
      <c r="S372" s="17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17"/>
    </row>
    <row r="373" spans="1:50" ht="31" customHeight="1" thickTop="1" thickBot="1" x14ac:dyDescent="0.35">
      <c r="A373" s="63"/>
      <c r="B373" s="76"/>
      <c r="C373" s="24"/>
      <c r="D373" s="27" t="s">
        <v>191</v>
      </c>
      <c r="E373" s="27" t="s">
        <v>192</v>
      </c>
      <c r="F373" s="27" t="s">
        <v>193</v>
      </c>
      <c r="G373" s="27" t="s">
        <v>191</v>
      </c>
      <c r="H373" s="27" t="s">
        <v>192</v>
      </c>
      <c r="I373" s="27" t="s">
        <v>193</v>
      </c>
      <c r="J373" s="27" t="s">
        <v>191</v>
      </c>
      <c r="K373" s="27" t="s">
        <v>192</v>
      </c>
      <c r="L373" s="27" t="s">
        <v>193</v>
      </c>
      <c r="M373" s="17"/>
      <c r="N373" s="24"/>
      <c r="O373" s="84"/>
      <c r="P373" s="2" t="s">
        <v>178</v>
      </c>
      <c r="Q373" s="2" t="s">
        <v>186</v>
      </c>
      <c r="R373" s="2" t="s">
        <v>190</v>
      </c>
      <c r="S373" s="17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17"/>
    </row>
    <row r="374" spans="1:50" ht="23" customHeight="1" thickTop="1" x14ac:dyDescent="0.3">
      <c r="A374" s="63"/>
      <c r="B374" s="76"/>
      <c r="C374" s="33"/>
      <c r="D374" s="88" t="s">
        <v>194</v>
      </c>
      <c r="E374" s="36" t="s">
        <v>148</v>
      </c>
      <c r="F374" s="36">
        <v>5</v>
      </c>
      <c r="G374" s="85" t="s">
        <v>198</v>
      </c>
      <c r="H374" s="36" t="s">
        <v>158</v>
      </c>
      <c r="I374" s="36">
        <v>2</v>
      </c>
      <c r="J374" s="85" t="s">
        <v>202</v>
      </c>
      <c r="K374" s="36" t="s">
        <v>203</v>
      </c>
      <c r="L374" s="36">
        <v>3</v>
      </c>
      <c r="M374" s="18"/>
      <c r="N374" s="13"/>
      <c r="O374" s="1">
        <v>1</v>
      </c>
      <c r="P374" s="1">
        <v>1</v>
      </c>
      <c r="Q374" s="1">
        <v>0</v>
      </c>
      <c r="R374" s="1">
        <v>1</v>
      </c>
      <c r="S374" s="14"/>
      <c r="T374" s="13"/>
      <c r="U374" s="24"/>
      <c r="AX374" s="14"/>
    </row>
    <row r="375" spans="1:50" ht="23" customHeight="1" thickBot="1" x14ac:dyDescent="0.35">
      <c r="A375" s="63"/>
      <c r="B375" s="76"/>
      <c r="C375" s="25"/>
      <c r="D375" s="86"/>
      <c r="E375" s="36" t="s">
        <v>195</v>
      </c>
      <c r="F375" s="36">
        <v>2</v>
      </c>
      <c r="G375" s="86"/>
      <c r="H375" s="36" t="s">
        <v>159</v>
      </c>
      <c r="I375" s="36">
        <v>2</v>
      </c>
      <c r="J375" s="86"/>
      <c r="K375" s="36" t="s">
        <v>166</v>
      </c>
      <c r="L375" s="36">
        <v>3</v>
      </c>
      <c r="M375" s="18"/>
      <c r="O375" s="1">
        <v>2</v>
      </c>
      <c r="P375" s="1">
        <v>1</v>
      </c>
      <c r="Q375" s="1">
        <v>0</v>
      </c>
      <c r="R375" s="1">
        <v>1</v>
      </c>
      <c r="S375" s="14"/>
      <c r="Z375" s="23" t="s">
        <v>194</v>
      </c>
      <c r="AK375" s="23" t="s">
        <v>198</v>
      </c>
      <c r="AT375" s="23" t="s">
        <v>202</v>
      </c>
      <c r="AX375" s="14"/>
    </row>
    <row r="376" spans="1:50" ht="25" customHeight="1" thickTop="1" thickBot="1" x14ac:dyDescent="0.35">
      <c r="A376" s="63"/>
      <c r="B376" s="76"/>
      <c r="C376" s="25"/>
      <c r="D376" s="86"/>
      <c r="E376" s="36" t="s">
        <v>196</v>
      </c>
      <c r="F376" s="36">
        <v>2</v>
      </c>
      <c r="G376" s="86"/>
      <c r="H376" s="36" t="s">
        <v>160</v>
      </c>
      <c r="I376" s="36">
        <v>2</v>
      </c>
      <c r="J376" s="86"/>
      <c r="K376" s="36" t="s">
        <v>167</v>
      </c>
      <c r="L376" s="36">
        <v>2</v>
      </c>
      <c r="M376" s="18"/>
      <c r="O376" s="1">
        <v>3</v>
      </c>
      <c r="P376" s="1">
        <v>1</v>
      </c>
      <c r="Q376" s="1">
        <v>1</v>
      </c>
      <c r="R376" s="1">
        <v>1</v>
      </c>
      <c r="S376" s="14"/>
      <c r="U376" s="7" t="s">
        <v>146</v>
      </c>
      <c r="V376" s="7" t="s">
        <v>147</v>
      </c>
      <c r="W376" s="7" t="s">
        <v>148</v>
      </c>
      <c r="X376" s="7" t="s">
        <v>149</v>
      </c>
      <c r="Y376" s="7" t="s">
        <v>150</v>
      </c>
      <c r="Z376" s="8" t="s">
        <v>151</v>
      </c>
      <c r="AA376" s="7" t="s">
        <v>152</v>
      </c>
      <c r="AB376" s="7" t="s">
        <v>153</v>
      </c>
      <c r="AC376" s="7" t="s">
        <v>154</v>
      </c>
      <c r="AD376" s="7" t="s">
        <v>155</v>
      </c>
      <c r="AE376" s="8" t="s">
        <v>156</v>
      </c>
      <c r="AF376" s="7" t="s">
        <v>157</v>
      </c>
      <c r="AH376" s="7" t="s">
        <v>146</v>
      </c>
      <c r="AI376" s="7" t="s">
        <v>147</v>
      </c>
      <c r="AJ376" s="7" t="s">
        <v>158</v>
      </c>
      <c r="AK376" s="7" t="s">
        <v>159</v>
      </c>
      <c r="AL376" s="7" t="s">
        <v>160</v>
      </c>
      <c r="AM376" s="7" t="s">
        <v>161</v>
      </c>
      <c r="AN376" s="7" t="s">
        <v>162</v>
      </c>
      <c r="AO376" s="7" t="s">
        <v>163</v>
      </c>
      <c r="AP376" s="7" t="s">
        <v>164</v>
      </c>
      <c r="AR376" s="7" t="s">
        <v>146</v>
      </c>
      <c r="AS376" s="7" t="s">
        <v>147</v>
      </c>
      <c r="AT376" s="7" t="s">
        <v>165</v>
      </c>
      <c r="AU376" s="7" t="s">
        <v>166</v>
      </c>
      <c r="AV376" s="7" t="s">
        <v>167</v>
      </c>
      <c r="AW376" s="7" t="s">
        <v>168</v>
      </c>
      <c r="AX376" s="14"/>
    </row>
    <row r="377" spans="1:50" ht="24" customHeight="1" thickTop="1" thickBot="1" x14ac:dyDescent="0.35">
      <c r="A377" s="63"/>
      <c r="B377" s="76"/>
      <c r="C377" s="25"/>
      <c r="D377" s="86"/>
      <c r="E377" s="1" t="s">
        <v>151</v>
      </c>
      <c r="F377" s="36">
        <v>2</v>
      </c>
      <c r="G377" s="86"/>
      <c r="H377" s="36" t="s">
        <v>199</v>
      </c>
      <c r="I377" s="36">
        <v>2</v>
      </c>
      <c r="J377" s="87"/>
      <c r="K377" s="38" t="s">
        <v>168</v>
      </c>
      <c r="L377" s="38">
        <v>2</v>
      </c>
      <c r="M377" s="18"/>
      <c r="O377" s="1">
        <v>4</v>
      </c>
      <c r="P377" s="1">
        <v>3</v>
      </c>
      <c r="Q377" s="1">
        <v>2</v>
      </c>
      <c r="R377" s="1">
        <v>0</v>
      </c>
      <c r="S377" s="14"/>
      <c r="U377" s="9" t="s">
        <v>171</v>
      </c>
      <c r="V377" s="10" t="s">
        <v>172</v>
      </c>
      <c r="W377" s="9">
        <v>7.7</v>
      </c>
      <c r="X377" s="9">
        <v>0.83</v>
      </c>
      <c r="Y377" s="9">
        <v>1.17</v>
      </c>
      <c r="Z377" s="9">
        <v>0.67</v>
      </c>
      <c r="AA377" s="9">
        <v>2.72</v>
      </c>
      <c r="AB377" s="9">
        <v>0.84</v>
      </c>
      <c r="AC377" s="9">
        <v>0.96</v>
      </c>
      <c r="AD377" s="9">
        <v>1.07</v>
      </c>
      <c r="AE377" s="9">
        <v>1.08</v>
      </c>
      <c r="AF377" s="9">
        <v>1.99</v>
      </c>
      <c r="AH377" s="9" t="s">
        <v>173</v>
      </c>
      <c r="AI377" s="10" t="s">
        <v>174</v>
      </c>
      <c r="AJ377" s="9">
        <v>6.14</v>
      </c>
      <c r="AK377" s="9">
        <v>6.56</v>
      </c>
      <c r="AL377" s="9">
        <v>3</v>
      </c>
      <c r="AM377" s="9">
        <v>6.16</v>
      </c>
      <c r="AN377" s="9">
        <v>1.56</v>
      </c>
      <c r="AO377" s="9">
        <v>7.17</v>
      </c>
      <c r="AP377" s="9">
        <v>5.14</v>
      </c>
      <c r="AR377" s="9" t="s">
        <v>175</v>
      </c>
      <c r="AS377" s="10" t="s">
        <v>176</v>
      </c>
      <c r="AT377" s="9">
        <v>2.64</v>
      </c>
      <c r="AU377" s="9">
        <v>1.19</v>
      </c>
      <c r="AV377" s="9">
        <v>2.12</v>
      </c>
      <c r="AW377" s="9">
        <v>2</v>
      </c>
      <c r="AX377" s="14"/>
    </row>
    <row r="378" spans="1:50" ht="24" customHeight="1" thickTop="1" thickBot="1" x14ac:dyDescent="0.35">
      <c r="A378" s="63"/>
      <c r="B378" s="76"/>
      <c r="C378" s="25"/>
      <c r="D378" s="86"/>
      <c r="E378" s="36" t="s">
        <v>152</v>
      </c>
      <c r="F378" s="36">
        <v>2</v>
      </c>
      <c r="G378" s="86"/>
      <c r="H378" s="36" t="s">
        <v>200</v>
      </c>
      <c r="I378" s="36">
        <v>2</v>
      </c>
      <c r="J378" s="39"/>
      <c r="K378" s="39"/>
      <c r="L378" s="39"/>
      <c r="M378" s="18"/>
      <c r="O378" s="1">
        <v>5</v>
      </c>
      <c r="P378" s="1">
        <v>0</v>
      </c>
      <c r="Q378" s="1">
        <v>1</v>
      </c>
      <c r="R378" s="1">
        <v>1</v>
      </c>
      <c r="S378" s="14"/>
      <c r="U378" s="9" t="s">
        <v>179</v>
      </c>
      <c r="V378" s="10" t="s">
        <v>180</v>
      </c>
      <c r="W378" s="9">
        <v>8.4600000000000009</v>
      </c>
      <c r="X378" s="9">
        <v>0.75</v>
      </c>
      <c r="Y378" s="9">
        <v>1.04</v>
      </c>
      <c r="Z378" s="9">
        <v>0.56999999999999995</v>
      </c>
      <c r="AA378" s="9">
        <v>2.5</v>
      </c>
      <c r="AB378" s="9">
        <v>0.87</v>
      </c>
      <c r="AC378" s="9">
        <v>0.93</v>
      </c>
      <c r="AD378" s="9">
        <v>1.18</v>
      </c>
      <c r="AE378" s="9">
        <v>1.32</v>
      </c>
      <c r="AF378" s="9">
        <v>2.44</v>
      </c>
      <c r="AH378" s="11" t="s">
        <v>181</v>
      </c>
      <c r="AI378" s="12" t="s">
        <v>182</v>
      </c>
      <c r="AJ378" s="11">
        <v>6.92</v>
      </c>
      <c r="AK378" s="11">
        <v>7.42</v>
      </c>
      <c r="AL378" s="11">
        <v>3</v>
      </c>
      <c r="AM378" s="11">
        <v>7.83</v>
      </c>
      <c r="AN378" s="11">
        <v>2.42</v>
      </c>
      <c r="AO378" s="11">
        <v>8.82</v>
      </c>
      <c r="AP378" s="11">
        <v>5.92</v>
      </c>
      <c r="AR378" s="11" t="s">
        <v>183</v>
      </c>
      <c r="AS378" s="12" t="s">
        <v>184</v>
      </c>
      <c r="AT378" s="11">
        <v>3.16</v>
      </c>
      <c r="AU378" s="11">
        <v>1.08</v>
      </c>
      <c r="AV378" s="11">
        <v>2.75</v>
      </c>
      <c r="AW378" s="11">
        <v>2</v>
      </c>
      <c r="AX378" s="14"/>
    </row>
    <row r="379" spans="1:50" ht="23.5" customHeight="1" thickTop="1" thickBot="1" x14ac:dyDescent="0.35">
      <c r="A379" s="63"/>
      <c r="B379" s="76"/>
      <c r="C379" s="25"/>
      <c r="D379" s="86"/>
      <c r="E379" s="36" t="s">
        <v>153</v>
      </c>
      <c r="F379" s="36">
        <v>2</v>
      </c>
      <c r="G379" s="86"/>
      <c r="H379" s="36" t="s">
        <v>201</v>
      </c>
      <c r="I379" s="36">
        <v>1</v>
      </c>
      <c r="J379" s="25"/>
      <c r="K379" s="25"/>
      <c r="L379" s="25"/>
      <c r="M379" s="18"/>
      <c r="O379" s="1">
        <v>6</v>
      </c>
      <c r="P379" s="1">
        <v>2</v>
      </c>
      <c r="Q379" s="1">
        <v>1</v>
      </c>
      <c r="R379" s="1">
        <v>1</v>
      </c>
      <c r="S379" s="14"/>
      <c r="U379" s="11" t="s">
        <v>187</v>
      </c>
      <c r="V379" s="12" t="s">
        <v>188</v>
      </c>
      <c r="W379" s="11">
        <v>9.16</v>
      </c>
      <c r="X379" s="11">
        <v>0.68</v>
      </c>
      <c r="Y379" s="11">
        <v>1.25</v>
      </c>
      <c r="Z379" s="11">
        <v>0.75</v>
      </c>
      <c r="AA379" s="11">
        <v>2.84</v>
      </c>
      <c r="AB379" s="11">
        <v>0.81</v>
      </c>
      <c r="AC379" s="11">
        <v>0.99</v>
      </c>
      <c r="AD379" s="11">
        <v>1.2</v>
      </c>
      <c r="AE379" s="11">
        <v>1.38</v>
      </c>
      <c r="AF379" s="11">
        <v>1.76</v>
      </c>
      <c r="AX379" s="14"/>
    </row>
    <row r="380" spans="1:50" ht="23.5" customHeight="1" thickTop="1" thickBot="1" x14ac:dyDescent="0.35">
      <c r="A380" s="63"/>
      <c r="B380" s="76"/>
      <c r="C380" s="25"/>
      <c r="D380" s="86"/>
      <c r="E380" s="1" t="s">
        <v>156</v>
      </c>
      <c r="F380" s="36">
        <v>2</v>
      </c>
      <c r="G380" s="87"/>
      <c r="H380" s="38" t="s">
        <v>164</v>
      </c>
      <c r="I380" s="38">
        <v>1</v>
      </c>
      <c r="J380" s="36"/>
      <c r="K380" s="25"/>
      <c r="L380" s="25"/>
      <c r="M380" s="18"/>
      <c r="O380" s="1">
        <v>7</v>
      </c>
      <c r="P380" s="1">
        <v>1</v>
      </c>
      <c r="Q380" s="1">
        <v>1</v>
      </c>
      <c r="R380" s="1">
        <v>1</v>
      </c>
      <c r="S380" s="14"/>
      <c r="U380" s="9"/>
      <c r="V380" s="10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X380" s="14"/>
    </row>
    <row r="381" spans="1:50" ht="23.5" customHeight="1" thickTop="1" thickBot="1" x14ac:dyDescent="0.35">
      <c r="A381" s="63"/>
      <c r="B381" s="76"/>
      <c r="C381" s="25"/>
      <c r="D381" s="87"/>
      <c r="E381" s="38" t="s">
        <v>197</v>
      </c>
      <c r="F381" s="38">
        <v>1</v>
      </c>
      <c r="G381" s="39"/>
      <c r="H381" s="39"/>
      <c r="I381" s="39"/>
      <c r="J381" s="36"/>
      <c r="K381" s="36"/>
      <c r="L381" s="25"/>
      <c r="M381" s="18"/>
      <c r="O381" s="1">
        <v>8</v>
      </c>
      <c r="P381" s="1">
        <v>0</v>
      </c>
      <c r="Q381" s="1">
        <v>0</v>
      </c>
      <c r="R381" s="1">
        <v>3</v>
      </c>
      <c r="S381" s="14"/>
      <c r="U381" s="9"/>
      <c r="V381" s="10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X381" s="14"/>
    </row>
    <row r="382" spans="1:50" ht="23" customHeight="1" thickTop="1" x14ac:dyDescent="0.3">
      <c r="A382" s="63"/>
      <c r="B382" s="76"/>
      <c r="C382" s="25"/>
      <c r="D382" s="39"/>
      <c r="E382" s="39"/>
      <c r="F382" s="39"/>
      <c r="G382" s="25"/>
      <c r="H382" s="25"/>
      <c r="I382" s="25"/>
      <c r="J382" s="25"/>
      <c r="K382" s="25"/>
      <c r="L382" s="25"/>
      <c r="M382" s="18"/>
      <c r="O382" s="1">
        <v>9</v>
      </c>
      <c r="P382" s="1">
        <v>0</v>
      </c>
      <c r="Q382" s="1">
        <v>4</v>
      </c>
      <c r="R382" s="1">
        <v>1</v>
      </c>
      <c r="S382" s="14"/>
      <c r="AX382" s="14"/>
    </row>
    <row r="383" spans="1:50" ht="23" customHeight="1" thickBot="1" x14ac:dyDescent="0.35">
      <c r="A383" s="63"/>
      <c r="B383" s="76"/>
      <c r="C383" s="25"/>
      <c r="D383" s="36"/>
      <c r="E383" s="36"/>
      <c r="F383" s="36"/>
      <c r="G383" s="25"/>
      <c r="H383" s="25"/>
      <c r="I383" s="25"/>
      <c r="J383" s="25"/>
      <c r="K383" s="25"/>
      <c r="L383" s="25"/>
      <c r="M383" s="18"/>
      <c r="O383" s="4">
        <v>10</v>
      </c>
      <c r="P383" s="4">
        <v>2</v>
      </c>
      <c r="Q383" s="4">
        <v>0</v>
      </c>
      <c r="R383" s="4">
        <v>2</v>
      </c>
      <c r="S383" s="14"/>
      <c r="AX383" s="14"/>
    </row>
    <row r="384" spans="1:50" ht="23.5" customHeight="1" thickTop="1" thickBot="1" x14ac:dyDescent="0.35">
      <c r="A384" s="63"/>
      <c r="B384" s="81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19"/>
      <c r="N384" s="15"/>
      <c r="O384" s="15"/>
      <c r="P384" s="15"/>
      <c r="Q384" s="15"/>
      <c r="R384" s="15"/>
      <c r="S384" s="16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6"/>
    </row>
    <row r="385" spans="1:50" ht="15" customHeight="1" thickTop="1" thickBot="1" x14ac:dyDescent="0.35">
      <c r="A385" s="63"/>
      <c r="B385" s="89" t="s">
        <v>132</v>
      </c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17"/>
      <c r="N385" s="24"/>
      <c r="O385" s="24"/>
      <c r="P385" s="24"/>
      <c r="Q385" s="24"/>
      <c r="R385" s="24"/>
      <c r="S385" s="17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17"/>
    </row>
    <row r="386" spans="1:50" ht="16" customHeight="1" thickTop="1" thickBot="1" x14ac:dyDescent="0.35">
      <c r="A386" s="63"/>
      <c r="B386" s="76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17"/>
      <c r="N386" s="24"/>
      <c r="O386" s="82" t="s">
        <v>205</v>
      </c>
      <c r="P386" s="82" t="s">
        <v>206</v>
      </c>
      <c r="Q386" s="83"/>
      <c r="R386" s="83"/>
      <c r="S386" s="17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17"/>
    </row>
    <row r="387" spans="1:50" ht="31" customHeight="1" thickTop="1" thickBot="1" x14ac:dyDescent="0.35">
      <c r="A387" s="63"/>
      <c r="B387" s="76"/>
      <c r="C387" s="24"/>
      <c r="D387" s="27" t="s">
        <v>191</v>
      </c>
      <c r="E387" s="27" t="s">
        <v>192</v>
      </c>
      <c r="F387" s="27" t="s">
        <v>193</v>
      </c>
      <c r="G387" s="27" t="s">
        <v>191</v>
      </c>
      <c r="H387" s="27" t="s">
        <v>192</v>
      </c>
      <c r="I387" s="27" t="s">
        <v>193</v>
      </c>
      <c r="J387" s="27" t="s">
        <v>191</v>
      </c>
      <c r="K387" s="27" t="s">
        <v>192</v>
      </c>
      <c r="L387" s="27" t="s">
        <v>193</v>
      </c>
      <c r="M387" s="17"/>
      <c r="N387" s="24"/>
      <c r="O387" s="84"/>
      <c r="P387" s="2" t="s">
        <v>178</v>
      </c>
      <c r="Q387" s="2" t="s">
        <v>186</v>
      </c>
      <c r="R387" s="2" t="s">
        <v>190</v>
      </c>
      <c r="S387" s="17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17"/>
    </row>
    <row r="388" spans="1:50" ht="23" customHeight="1" thickTop="1" x14ac:dyDescent="0.3">
      <c r="A388" s="63"/>
      <c r="B388" s="76"/>
      <c r="C388" s="33"/>
      <c r="D388" s="88" t="s">
        <v>194</v>
      </c>
      <c r="E388" s="36" t="s">
        <v>148</v>
      </c>
      <c r="F388" s="36">
        <v>5</v>
      </c>
      <c r="G388" s="85" t="s">
        <v>198</v>
      </c>
      <c r="H388" s="36" t="s">
        <v>158</v>
      </c>
      <c r="I388" s="36">
        <v>2</v>
      </c>
      <c r="J388" s="85" t="s">
        <v>202</v>
      </c>
      <c r="K388" s="36" t="s">
        <v>203</v>
      </c>
      <c r="L388" s="36">
        <v>3</v>
      </c>
      <c r="M388" s="18"/>
      <c r="N388" s="13"/>
      <c r="O388" s="1">
        <v>1</v>
      </c>
      <c r="P388" s="1">
        <v>1</v>
      </c>
      <c r="Q388" s="1">
        <v>1</v>
      </c>
      <c r="R388" s="1">
        <v>1</v>
      </c>
      <c r="S388" s="14"/>
      <c r="T388" s="13"/>
      <c r="U388" s="24"/>
      <c r="AX388" s="14"/>
    </row>
    <row r="389" spans="1:50" ht="23" customHeight="1" thickBot="1" x14ac:dyDescent="0.35">
      <c r="A389" s="63"/>
      <c r="B389" s="76"/>
      <c r="C389" s="25"/>
      <c r="D389" s="86"/>
      <c r="E389" s="36" t="s">
        <v>195</v>
      </c>
      <c r="F389" s="36">
        <v>2</v>
      </c>
      <c r="G389" s="86"/>
      <c r="H389" s="36" t="s">
        <v>159</v>
      </c>
      <c r="I389" s="36">
        <v>2</v>
      </c>
      <c r="J389" s="86"/>
      <c r="K389" s="36" t="s">
        <v>166</v>
      </c>
      <c r="L389" s="36">
        <v>3</v>
      </c>
      <c r="M389" s="18"/>
      <c r="O389" s="1">
        <v>2</v>
      </c>
      <c r="P389" s="1">
        <v>2</v>
      </c>
      <c r="Q389" s="1">
        <v>2</v>
      </c>
      <c r="R389" s="1">
        <v>0</v>
      </c>
      <c r="S389" s="14"/>
      <c r="Z389" s="23" t="s">
        <v>194</v>
      </c>
      <c r="AK389" s="23" t="s">
        <v>198</v>
      </c>
      <c r="AT389" s="23" t="s">
        <v>202</v>
      </c>
      <c r="AX389" s="14"/>
    </row>
    <row r="390" spans="1:50" ht="25" customHeight="1" thickTop="1" thickBot="1" x14ac:dyDescent="0.35">
      <c r="A390" s="63"/>
      <c r="B390" s="76"/>
      <c r="C390" s="25"/>
      <c r="D390" s="86"/>
      <c r="E390" s="36" t="s">
        <v>196</v>
      </c>
      <c r="F390" s="36">
        <v>2</v>
      </c>
      <c r="G390" s="86"/>
      <c r="H390" s="36" t="s">
        <v>160</v>
      </c>
      <c r="I390" s="36">
        <v>2</v>
      </c>
      <c r="J390" s="86"/>
      <c r="K390" s="36" t="s">
        <v>167</v>
      </c>
      <c r="L390" s="36">
        <v>3</v>
      </c>
      <c r="M390" s="18"/>
      <c r="O390" s="1">
        <v>3</v>
      </c>
      <c r="P390" s="1">
        <v>0</v>
      </c>
      <c r="Q390" s="1">
        <v>1</v>
      </c>
      <c r="R390" s="1">
        <v>1</v>
      </c>
      <c r="S390" s="14"/>
      <c r="U390" s="7" t="s">
        <v>146</v>
      </c>
      <c r="V390" s="7" t="s">
        <v>147</v>
      </c>
      <c r="W390" s="7" t="s">
        <v>148</v>
      </c>
      <c r="X390" s="7" t="s">
        <v>149</v>
      </c>
      <c r="Y390" s="7" t="s">
        <v>150</v>
      </c>
      <c r="Z390" s="8" t="s">
        <v>151</v>
      </c>
      <c r="AA390" s="7" t="s">
        <v>152</v>
      </c>
      <c r="AB390" s="7" t="s">
        <v>153</v>
      </c>
      <c r="AC390" s="7" t="s">
        <v>154</v>
      </c>
      <c r="AD390" s="7" t="s">
        <v>155</v>
      </c>
      <c r="AE390" s="8" t="s">
        <v>156</v>
      </c>
      <c r="AF390" s="7" t="s">
        <v>157</v>
      </c>
      <c r="AH390" s="7" t="s">
        <v>146</v>
      </c>
      <c r="AI390" s="7" t="s">
        <v>147</v>
      </c>
      <c r="AJ390" s="7" t="s">
        <v>158</v>
      </c>
      <c r="AK390" s="7" t="s">
        <v>159</v>
      </c>
      <c r="AL390" s="7" t="s">
        <v>160</v>
      </c>
      <c r="AM390" s="7" t="s">
        <v>161</v>
      </c>
      <c r="AN390" s="7" t="s">
        <v>162</v>
      </c>
      <c r="AO390" s="7" t="s">
        <v>163</v>
      </c>
      <c r="AP390" s="7" t="s">
        <v>164</v>
      </c>
      <c r="AR390" s="7" t="s">
        <v>146</v>
      </c>
      <c r="AS390" s="7" t="s">
        <v>147</v>
      </c>
      <c r="AT390" s="7" t="s">
        <v>165</v>
      </c>
      <c r="AU390" s="7" t="s">
        <v>166</v>
      </c>
      <c r="AV390" s="7" t="s">
        <v>167</v>
      </c>
      <c r="AW390" s="7" t="s">
        <v>168</v>
      </c>
      <c r="AX390" s="14"/>
    </row>
    <row r="391" spans="1:50" ht="24" customHeight="1" thickTop="1" thickBot="1" x14ac:dyDescent="0.35">
      <c r="A391" s="63"/>
      <c r="B391" s="76"/>
      <c r="C391" s="25"/>
      <c r="D391" s="86"/>
      <c r="E391" s="1" t="s">
        <v>151</v>
      </c>
      <c r="F391" s="36">
        <v>2</v>
      </c>
      <c r="G391" s="86"/>
      <c r="H391" s="36" t="s">
        <v>199</v>
      </c>
      <c r="I391" s="36">
        <v>2</v>
      </c>
      <c r="J391" s="87"/>
      <c r="K391" s="38" t="s">
        <v>168</v>
      </c>
      <c r="L391" s="38">
        <v>2</v>
      </c>
      <c r="M391" s="18"/>
      <c r="O391" s="1">
        <v>4</v>
      </c>
      <c r="P391" s="1">
        <v>0</v>
      </c>
      <c r="Q391" s="1">
        <v>2</v>
      </c>
      <c r="R391" s="1">
        <v>0</v>
      </c>
      <c r="S391" s="14"/>
      <c r="U391" s="9" t="s">
        <v>171</v>
      </c>
      <c r="V391" s="10" t="s">
        <v>172</v>
      </c>
      <c r="W391" s="9">
        <v>7.06</v>
      </c>
      <c r="X391" s="9">
        <v>0.77</v>
      </c>
      <c r="Y391" s="9">
        <v>1.19</v>
      </c>
      <c r="Z391" s="9">
        <v>0.63</v>
      </c>
      <c r="AA391" s="9">
        <v>2.5</v>
      </c>
      <c r="AB391" s="9">
        <v>0.89</v>
      </c>
      <c r="AC391" s="9">
        <v>0.95</v>
      </c>
      <c r="AD391" s="9">
        <v>1.1000000000000001</v>
      </c>
      <c r="AE391" s="9">
        <v>1.1100000000000001</v>
      </c>
      <c r="AF391" s="9">
        <v>2.16</v>
      </c>
      <c r="AH391" s="9" t="s">
        <v>173</v>
      </c>
      <c r="AI391" s="10" t="s">
        <v>174</v>
      </c>
      <c r="AJ391" s="9">
        <v>6.52</v>
      </c>
      <c r="AK391" s="9">
        <v>6.82</v>
      </c>
      <c r="AL391" s="9">
        <v>3</v>
      </c>
      <c r="AM391" s="9">
        <v>6.52</v>
      </c>
      <c r="AN391" s="9">
        <v>1.82</v>
      </c>
      <c r="AO391" s="9">
        <v>7.52</v>
      </c>
      <c r="AP391" s="9">
        <v>5.42</v>
      </c>
      <c r="AR391" s="9" t="s">
        <v>175</v>
      </c>
      <c r="AS391" s="10" t="s">
        <v>176</v>
      </c>
      <c r="AT391" s="9">
        <v>3.32</v>
      </c>
      <c r="AU391" s="9">
        <v>1.1200000000000001</v>
      </c>
      <c r="AV391" s="9">
        <v>2.8</v>
      </c>
      <c r="AW391" s="9">
        <v>2</v>
      </c>
      <c r="AX391" s="14"/>
    </row>
    <row r="392" spans="1:50" ht="24" customHeight="1" thickTop="1" thickBot="1" x14ac:dyDescent="0.35">
      <c r="A392" s="63"/>
      <c r="B392" s="76"/>
      <c r="C392" s="25"/>
      <c r="D392" s="86"/>
      <c r="E392" s="36" t="s">
        <v>152</v>
      </c>
      <c r="F392" s="36">
        <v>2</v>
      </c>
      <c r="G392" s="86"/>
      <c r="H392" s="36" t="s">
        <v>200</v>
      </c>
      <c r="I392" s="36">
        <v>2</v>
      </c>
      <c r="J392" s="39"/>
      <c r="K392" s="39"/>
      <c r="L392" s="39"/>
      <c r="M392" s="18"/>
      <c r="O392" s="1">
        <v>5</v>
      </c>
      <c r="P392" s="1">
        <v>1</v>
      </c>
      <c r="Q392" s="1">
        <v>1</v>
      </c>
      <c r="R392" s="1">
        <v>3</v>
      </c>
      <c r="S392" s="14"/>
      <c r="U392" s="9" t="s">
        <v>179</v>
      </c>
      <c r="V392" s="10" t="s">
        <v>180</v>
      </c>
      <c r="W392" s="9">
        <v>8.66</v>
      </c>
      <c r="X392" s="9">
        <v>0.65</v>
      </c>
      <c r="Y392" s="9">
        <v>1.02</v>
      </c>
      <c r="Z392" s="9">
        <v>0.75</v>
      </c>
      <c r="AA392" s="9">
        <v>2.61</v>
      </c>
      <c r="AB392" s="9">
        <v>0.83</v>
      </c>
      <c r="AC392" s="9">
        <v>0.92</v>
      </c>
      <c r="AD392" s="9">
        <v>1.03</v>
      </c>
      <c r="AE392" s="9">
        <v>1.27</v>
      </c>
      <c r="AF392" s="9">
        <v>1.67</v>
      </c>
      <c r="AH392" s="11" t="s">
        <v>181</v>
      </c>
      <c r="AI392" s="12" t="s">
        <v>182</v>
      </c>
      <c r="AJ392" s="11">
        <v>6.83</v>
      </c>
      <c r="AK392" s="11">
        <v>7.27</v>
      </c>
      <c r="AL392" s="11">
        <v>3</v>
      </c>
      <c r="AM392" s="11">
        <v>7.52</v>
      </c>
      <c r="AN392" s="11">
        <v>2.17</v>
      </c>
      <c r="AO392" s="11">
        <v>8.52</v>
      </c>
      <c r="AP392" s="11">
        <v>5.72</v>
      </c>
      <c r="AR392" s="11" t="s">
        <v>183</v>
      </c>
      <c r="AS392" s="12" t="s">
        <v>184</v>
      </c>
      <c r="AT392" s="11">
        <v>2.6</v>
      </c>
      <c r="AU392" s="11">
        <v>1.24</v>
      </c>
      <c r="AV392" s="11">
        <v>2.35</v>
      </c>
      <c r="AW392" s="11">
        <v>2</v>
      </c>
      <c r="AX392" s="14"/>
    </row>
    <row r="393" spans="1:50" ht="23.5" customHeight="1" thickTop="1" thickBot="1" x14ac:dyDescent="0.35">
      <c r="A393" s="63"/>
      <c r="B393" s="76"/>
      <c r="C393" s="25"/>
      <c r="D393" s="86"/>
      <c r="E393" s="36" t="s">
        <v>153</v>
      </c>
      <c r="F393" s="36">
        <v>2</v>
      </c>
      <c r="G393" s="86"/>
      <c r="H393" s="36" t="s">
        <v>201</v>
      </c>
      <c r="I393" s="36">
        <v>1</v>
      </c>
      <c r="J393" s="25"/>
      <c r="K393" s="25"/>
      <c r="L393" s="25"/>
      <c r="M393" s="18"/>
      <c r="O393" s="1">
        <v>6</v>
      </c>
      <c r="P393" s="1">
        <v>2</v>
      </c>
      <c r="Q393" s="1">
        <v>1</v>
      </c>
      <c r="R393" s="1">
        <v>1</v>
      </c>
      <c r="S393" s="14"/>
      <c r="U393" s="11" t="s">
        <v>187</v>
      </c>
      <c r="V393" s="12" t="s">
        <v>188</v>
      </c>
      <c r="W393" s="11">
        <v>9.0399999999999991</v>
      </c>
      <c r="X393" s="11">
        <v>0.9</v>
      </c>
      <c r="Y393" s="11">
        <v>1.23</v>
      </c>
      <c r="Z393" s="11">
        <v>0.65</v>
      </c>
      <c r="AA393" s="11">
        <v>2.93</v>
      </c>
      <c r="AB393" s="11">
        <v>0.8</v>
      </c>
      <c r="AC393" s="11">
        <v>0.98</v>
      </c>
      <c r="AD393" s="11">
        <v>1.2</v>
      </c>
      <c r="AE393" s="11">
        <v>1.4</v>
      </c>
      <c r="AF393" s="11">
        <v>2.5</v>
      </c>
      <c r="AX393" s="14"/>
    </row>
    <row r="394" spans="1:50" ht="23.5" customHeight="1" thickTop="1" thickBot="1" x14ac:dyDescent="0.35">
      <c r="A394" s="63"/>
      <c r="B394" s="76"/>
      <c r="C394" s="25"/>
      <c r="D394" s="86"/>
      <c r="E394" s="1" t="s">
        <v>156</v>
      </c>
      <c r="F394" s="36">
        <v>2</v>
      </c>
      <c r="G394" s="87"/>
      <c r="H394" s="38" t="s">
        <v>164</v>
      </c>
      <c r="I394" s="38">
        <v>1</v>
      </c>
      <c r="J394" s="36"/>
      <c r="K394" s="25"/>
      <c r="L394" s="25"/>
      <c r="M394" s="18"/>
      <c r="O394" s="1">
        <v>7</v>
      </c>
      <c r="P394" s="1">
        <v>1</v>
      </c>
      <c r="Q394" s="1">
        <v>1</v>
      </c>
      <c r="R394" s="1">
        <v>1</v>
      </c>
      <c r="S394" s="14"/>
      <c r="U394" s="9"/>
      <c r="V394" s="10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X394" s="14"/>
    </row>
    <row r="395" spans="1:50" ht="23.5" customHeight="1" thickTop="1" thickBot="1" x14ac:dyDescent="0.35">
      <c r="A395" s="63"/>
      <c r="B395" s="76"/>
      <c r="C395" s="25"/>
      <c r="D395" s="87"/>
      <c r="E395" s="38" t="s">
        <v>197</v>
      </c>
      <c r="F395" s="38">
        <v>2</v>
      </c>
      <c r="G395" s="39"/>
      <c r="H395" s="39"/>
      <c r="I395" s="39"/>
      <c r="J395" s="36"/>
      <c r="K395" s="36"/>
      <c r="L395" s="25"/>
      <c r="M395" s="18"/>
      <c r="O395" s="1">
        <v>8</v>
      </c>
      <c r="P395" s="1">
        <v>1</v>
      </c>
      <c r="Q395" s="1">
        <v>2</v>
      </c>
      <c r="R395" s="1">
        <v>2</v>
      </c>
      <c r="S395" s="14"/>
      <c r="U395" s="9"/>
      <c r="V395" s="10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X395" s="14"/>
    </row>
    <row r="396" spans="1:50" ht="23" customHeight="1" thickTop="1" x14ac:dyDescent="0.3">
      <c r="A396" s="63"/>
      <c r="B396" s="76"/>
      <c r="C396" s="25"/>
      <c r="D396" s="39"/>
      <c r="E396" s="39"/>
      <c r="F396" s="39"/>
      <c r="G396" s="25"/>
      <c r="H396" s="25"/>
      <c r="I396" s="25"/>
      <c r="J396" s="25"/>
      <c r="K396" s="25"/>
      <c r="L396" s="25"/>
      <c r="M396" s="18"/>
      <c r="O396" s="1">
        <v>9</v>
      </c>
      <c r="P396" s="1">
        <v>1</v>
      </c>
      <c r="Q396" s="1">
        <v>0</v>
      </c>
      <c r="R396" s="1">
        <v>1</v>
      </c>
      <c r="S396" s="14"/>
      <c r="AX396" s="14"/>
    </row>
    <row r="397" spans="1:50" ht="23" customHeight="1" thickBot="1" x14ac:dyDescent="0.35">
      <c r="A397" s="63"/>
      <c r="B397" s="76"/>
      <c r="C397" s="25"/>
      <c r="D397" s="36"/>
      <c r="E397" s="36"/>
      <c r="F397" s="36"/>
      <c r="G397" s="25"/>
      <c r="H397" s="25"/>
      <c r="I397" s="25"/>
      <c r="J397" s="25"/>
      <c r="K397" s="25"/>
      <c r="L397" s="25"/>
      <c r="M397" s="18"/>
      <c r="O397" s="4">
        <v>10</v>
      </c>
      <c r="P397" s="4">
        <v>2</v>
      </c>
      <c r="Q397" s="4">
        <v>0</v>
      </c>
      <c r="R397" s="4">
        <v>2</v>
      </c>
      <c r="S397" s="14"/>
      <c r="AX397" s="14"/>
    </row>
    <row r="398" spans="1:50" ht="23.5" customHeight="1" thickTop="1" thickBot="1" x14ac:dyDescent="0.35">
      <c r="A398" s="63"/>
      <c r="B398" s="81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19"/>
      <c r="N398" s="15"/>
      <c r="O398" s="15"/>
      <c r="P398" s="15"/>
      <c r="Q398" s="15"/>
      <c r="R398" s="15"/>
      <c r="S398" s="16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6"/>
    </row>
    <row r="399" spans="1:50" ht="15" customHeight="1" thickTop="1" thickBot="1" x14ac:dyDescent="0.35">
      <c r="A399" s="63"/>
      <c r="B399" s="89" t="s">
        <v>133</v>
      </c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17"/>
      <c r="N399" s="24"/>
      <c r="O399" s="24"/>
      <c r="P399" s="24"/>
      <c r="Q399" s="24"/>
      <c r="R399" s="24"/>
      <c r="S399" s="17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17"/>
    </row>
    <row r="400" spans="1:50" ht="16" customHeight="1" thickTop="1" thickBot="1" x14ac:dyDescent="0.35">
      <c r="A400" s="63"/>
      <c r="B400" s="76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17"/>
      <c r="N400" s="24"/>
      <c r="O400" s="82" t="s">
        <v>205</v>
      </c>
      <c r="P400" s="82" t="s">
        <v>206</v>
      </c>
      <c r="Q400" s="83"/>
      <c r="R400" s="83"/>
      <c r="S400" s="17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17"/>
    </row>
    <row r="401" spans="1:50" ht="31" customHeight="1" thickTop="1" thickBot="1" x14ac:dyDescent="0.35">
      <c r="A401" s="63"/>
      <c r="B401" s="76"/>
      <c r="C401" s="24"/>
      <c r="D401" s="27" t="s">
        <v>191</v>
      </c>
      <c r="E401" s="27" t="s">
        <v>192</v>
      </c>
      <c r="F401" s="27" t="s">
        <v>193</v>
      </c>
      <c r="G401" s="27" t="s">
        <v>191</v>
      </c>
      <c r="H401" s="27" t="s">
        <v>192</v>
      </c>
      <c r="I401" s="27" t="s">
        <v>193</v>
      </c>
      <c r="J401" s="27" t="s">
        <v>191</v>
      </c>
      <c r="K401" s="27" t="s">
        <v>192</v>
      </c>
      <c r="L401" s="27" t="s">
        <v>193</v>
      </c>
      <c r="M401" s="17"/>
      <c r="N401" s="24"/>
      <c r="O401" s="84"/>
      <c r="P401" s="2" t="s">
        <v>178</v>
      </c>
      <c r="Q401" s="2" t="s">
        <v>186</v>
      </c>
      <c r="R401" s="2" t="s">
        <v>190</v>
      </c>
      <c r="S401" s="17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17"/>
    </row>
    <row r="402" spans="1:50" ht="23" customHeight="1" thickTop="1" x14ac:dyDescent="0.3">
      <c r="A402" s="63"/>
      <c r="B402" s="76"/>
      <c r="C402" s="33"/>
      <c r="D402" s="88" t="s">
        <v>194</v>
      </c>
      <c r="E402" s="36" t="s">
        <v>148</v>
      </c>
      <c r="F402" s="36">
        <v>5</v>
      </c>
      <c r="G402" s="85" t="s">
        <v>198</v>
      </c>
      <c r="H402" s="36" t="s">
        <v>158</v>
      </c>
      <c r="I402" s="36">
        <v>2</v>
      </c>
      <c r="J402" s="85" t="s">
        <v>202</v>
      </c>
      <c r="K402" s="36" t="s">
        <v>203</v>
      </c>
      <c r="L402" s="36">
        <v>3</v>
      </c>
      <c r="M402" s="18"/>
      <c r="N402" s="13"/>
      <c r="O402" s="1">
        <v>1</v>
      </c>
      <c r="P402" s="1">
        <v>1</v>
      </c>
      <c r="Q402" s="1">
        <v>1</v>
      </c>
      <c r="R402" s="1">
        <v>0</v>
      </c>
      <c r="S402" s="14"/>
      <c r="T402" s="13"/>
      <c r="U402" s="24"/>
      <c r="AX402" s="14"/>
    </row>
    <row r="403" spans="1:50" ht="23" customHeight="1" thickBot="1" x14ac:dyDescent="0.35">
      <c r="A403" s="63"/>
      <c r="B403" s="76"/>
      <c r="C403" s="25"/>
      <c r="D403" s="86"/>
      <c r="E403" s="36" t="s">
        <v>195</v>
      </c>
      <c r="F403" s="36">
        <v>2</v>
      </c>
      <c r="G403" s="86"/>
      <c r="H403" s="36" t="s">
        <v>159</v>
      </c>
      <c r="I403" s="36">
        <v>2</v>
      </c>
      <c r="J403" s="86"/>
      <c r="K403" s="36" t="s">
        <v>166</v>
      </c>
      <c r="L403" s="36">
        <v>3</v>
      </c>
      <c r="M403" s="18"/>
      <c r="O403" s="1">
        <v>2</v>
      </c>
      <c r="P403" s="1">
        <v>2</v>
      </c>
      <c r="Q403" s="1">
        <v>4</v>
      </c>
      <c r="R403" s="1">
        <v>1</v>
      </c>
      <c r="S403" s="14"/>
      <c r="Z403" s="23" t="s">
        <v>194</v>
      </c>
      <c r="AK403" s="23" t="s">
        <v>198</v>
      </c>
      <c r="AT403" s="23" t="s">
        <v>202</v>
      </c>
      <c r="AX403" s="14"/>
    </row>
    <row r="404" spans="1:50" ht="25" customHeight="1" thickTop="1" thickBot="1" x14ac:dyDescent="0.35">
      <c r="A404" s="63"/>
      <c r="B404" s="76"/>
      <c r="C404" s="25"/>
      <c r="D404" s="86"/>
      <c r="E404" s="36" t="s">
        <v>196</v>
      </c>
      <c r="F404" s="36">
        <v>2</v>
      </c>
      <c r="G404" s="86"/>
      <c r="H404" s="36" t="s">
        <v>160</v>
      </c>
      <c r="I404" s="36">
        <v>2</v>
      </c>
      <c r="J404" s="86"/>
      <c r="K404" s="36" t="s">
        <v>167</v>
      </c>
      <c r="L404" s="36">
        <v>3</v>
      </c>
      <c r="M404" s="18"/>
      <c r="O404" s="1">
        <v>3</v>
      </c>
      <c r="P404" s="1">
        <v>1</v>
      </c>
      <c r="Q404" s="1">
        <v>1</v>
      </c>
      <c r="R404" s="1">
        <v>1</v>
      </c>
      <c r="S404" s="14"/>
      <c r="U404" s="7" t="s">
        <v>146</v>
      </c>
      <c r="V404" s="7" t="s">
        <v>147</v>
      </c>
      <c r="W404" s="7" t="s">
        <v>148</v>
      </c>
      <c r="X404" s="7" t="s">
        <v>149</v>
      </c>
      <c r="Y404" s="7" t="s">
        <v>150</v>
      </c>
      <c r="Z404" s="8" t="s">
        <v>151</v>
      </c>
      <c r="AA404" s="7" t="s">
        <v>152</v>
      </c>
      <c r="AB404" s="7" t="s">
        <v>153</v>
      </c>
      <c r="AC404" s="7" t="s">
        <v>154</v>
      </c>
      <c r="AD404" s="7" t="s">
        <v>155</v>
      </c>
      <c r="AE404" s="8" t="s">
        <v>156</v>
      </c>
      <c r="AF404" s="7" t="s">
        <v>157</v>
      </c>
      <c r="AH404" s="7" t="s">
        <v>146</v>
      </c>
      <c r="AI404" s="7" t="s">
        <v>147</v>
      </c>
      <c r="AJ404" s="7" t="s">
        <v>158</v>
      </c>
      <c r="AK404" s="7" t="s">
        <v>159</v>
      </c>
      <c r="AL404" s="7" t="s">
        <v>160</v>
      </c>
      <c r="AM404" s="7" t="s">
        <v>161</v>
      </c>
      <c r="AN404" s="7" t="s">
        <v>162</v>
      </c>
      <c r="AO404" s="7" t="s">
        <v>163</v>
      </c>
      <c r="AP404" s="7" t="s">
        <v>164</v>
      </c>
      <c r="AR404" s="7" t="s">
        <v>146</v>
      </c>
      <c r="AS404" s="7" t="s">
        <v>147</v>
      </c>
      <c r="AT404" s="7" t="s">
        <v>165</v>
      </c>
      <c r="AU404" s="7" t="s">
        <v>166</v>
      </c>
      <c r="AV404" s="7" t="s">
        <v>167</v>
      </c>
      <c r="AW404" s="7" t="s">
        <v>168</v>
      </c>
      <c r="AX404" s="14"/>
    </row>
    <row r="405" spans="1:50" ht="24" customHeight="1" thickTop="1" thickBot="1" x14ac:dyDescent="0.35">
      <c r="A405" s="63"/>
      <c r="B405" s="76"/>
      <c r="C405" s="25"/>
      <c r="D405" s="86"/>
      <c r="E405" s="1" t="s">
        <v>151</v>
      </c>
      <c r="F405" s="36">
        <v>2</v>
      </c>
      <c r="G405" s="86"/>
      <c r="H405" s="36" t="s">
        <v>199</v>
      </c>
      <c r="I405" s="36">
        <v>2</v>
      </c>
      <c r="J405" s="87"/>
      <c r="K405" s="38" t="s">
        <v>168</v>
      </c>
      <c r="L405" s="38">
        <v>2</v>
      </c>
      <c r="M405" s="18"/>
      <c r="O405" s="1">
        <v>4</v>
      </c>
      <c r="P405" s="1">
        <v>0</v>
      </c>
      <c r="Q405" s="1">
        <v>2</v>
      </c>
      <c r="R405" s="1">
        <v>0</v>
      </c>
      <c r="S405" s="14"/>
      <c r="U405" s="9" t="s">
        <v>171</v>
      </c>
      <c r="V405" s="10" t="s">
        <v>172</v>
      </c>
      <c r="W405" s="9">
        <v>7.44</v>
      </c>
      <c r="X405" s="9">
        <v>0.72</v>
      </c>
      <c r="Y405" s="9">
        <v>1.1299999999999999</v>
      </c>
      <c r="Z405" s="9">
        <v>0.69</v>
      </c>
      <c r="AA405" s="9">
        <v>2.5</v>
      </c>
      <c r="AB405" s="9">
        <v>0.85</v>
      </c>
      <c r="AC405" s="9">
        <v>0.97</v>
      </c>
      <c r="AD405" s="9">
        <v>1.1200000000000001</v>
      </c>
      <c r="AE405" s="9">
        <v>1.05</v>
      </c>
      <c r="AF405" s="9">
        <v>1.83</v>
      </c>
      <c r="AH405" s="9" t="s">
        <v>173</v>
      </c>
      <c r="AI405" s="10" t="s">
        <v>174</v>
      </c>
      <c r="AJ405" s="9">
        <v>6.27</v>
      </c>
      <c r="AK405" s="9">
        <v>6.62</v>
      </c>
      <c r="AL405" s="9">
        <v>3</v>
      </c>
      <c r="AM405" s="9">
        <v>6.82</v>
      </c>
      <c r="AN405" s="9">
        <v>1.62</v>
      </c>
      <c r="AO405" s="9">
        <v>7.27</v>
      </c>
      <c r="AP405" s="9">
        <v>5.27</v>
      </c>
      <c r="AR405" s="9" t="s">
        <v>175</v>
      </c>
      <c r="AS405" s="10" t="s">
        <v>176</v>
      </c>
      <c r="AT405" s="9">
        <v>2.81</v>
      </c>
      <c r="AU405" s="9">
        <v>1.03</v>
      </c>
      <c r="AV405" s="9">
        <v>2.5</v>
      </c>
      <c r="AW405" s="9">
        <v>2</v>
      </c>
      <c r="AX405" s="14"/>
    </row>
    <row r="406" spans="1:50" ht="24" customHeight="1" thickTop="1" thickBot="1" x14ac:dyDescent="0.35">
      <c r="A406" s="63"/>
      <c r="B406" s="76"/>
      <c r="C406" s="25"/>
      <c r="D406" s="86"/>
      <c r="E406" s="36" t="s">
        <v>152</v>
      </c>
      <c r="F406" s="36">
        <v>2</v>
      </c>
      <c r="G406" s="86"/>
      <c r="H406" s="36" t="s">
        <v>200</v>
      </c>
      <c r="I406" s="36">
        <v>2</v>
      </c>
      <c r="J406" s="39"/>
      <c r="K406" s="39"/>
      <c r="L406" s="39"/>
      <c r="M406" s="18"/>
      <c r="O406" s="1">
        <v>5</v>
      </c>
      <c r="P406" s="1">
        <v>1</v>
      </c>
      <c r="Q406" s="1">
        <v>1</v>
      </c>
      <c r="R406" s="1">
        <v>1</v>
      </c>
      <c r="S406" s="14"/>
      <c r="U406" s="9" t="s">
        <v>179</v>
      </c>
      <c r="V406" s="10" t="s">
        <v>180</v>
      </c>
      <c r="W406" s="9">
        <v>8.73</v>
      </c>
      <c r="X406" s="9">
        <v>0.67</v>
      </c>
      <c r="Y406" s="9">
        <v>1.06</v>
      </c>
      <c r="Z406" s="9">
        <v>0.57999999999999996</v>
      </c>
      <c r="AA406" s="9">
        <v>2.8</v>
      </c>
      <c r="AB406" s="9">
        <v>0.81</v>
      </c>
      <c r="AC406" s="9">
        <v>0.93</v>
      </c>
      <c r="AD406" s="9">
        <v>1</v>
      </c>
      <c r="AE406" s="9">
        <v>1.22</v>
      </c>
      <c r="AF406" s="9">
        <v>2.33</v>
      </c>
      <c r="AH406" s="11" t="s">
        <v>181</v>
      </c>
      <c r="AI406" s="12" t="s">
        <v>182</v>
      </c>
      <c r="AJ406" s="11">
        <v>6.85</v>
      </c>
      <c r="AK406" s="11">
        <v>7.32</v>
      </c>
      <c r="AL406" s="11">
        <v>3</v>
      </c>
      <c r="AM406" s="11">
        <v>7.72</v>
      </c>
      <c r="AN406" s="11">
        <v>2.3199999999999998</v>
      </c>
      <c r="AO406" s="11">
        <v>8.7200000000000006</v>
      </c>
      <c r="AP406" s="11">
        <v>5.77</v>
      </c>
      <c r="AR406" s="11" t="s">
        <v>183</v>
      </c>
      <c r="AS406" s="12" t="s">
        <v>184</v>
      </c>
      <c r="AT406" s="11">
        <v>3.28</v>
      </c>
      <c r="AU406" s="11">
        <v>1.1599999999999999</v>
      </c>
      <c r="AV406" s="11">
        <v>2.25</v>
      </c>
      <c r="AW406" s="11">
        <v>2</v>
      </c>
      <c r="AX406" s="14"/>
    </row>
    <row r="407" spans="1:50" ht="23.5" customHeight="1" thickTop="1" thickBot="1" x14ac:dyDescent="0.35">
      <c r="A407" s="63"/>
      <c r="B407" s="76"/>
      <c r="C407" s="25"/>
      <c r="D407" s="86"/>
      <c r="E407" s="36" t="s">
        <v>153</v>
      </c>
      <c r="F407" s="36">
        <v>2</v>
      </c>
      <c r="G407" s="86"/>
      <c r="H407" s="36" t="s">
        <v>201</v>
      </c>
      <c r="I407" s="36">
        <v>1</v>
      </c>
      <c r="J407" s="25"/>
      <c r="K407" s="25"/>
      <c r="L407" s="25"/>
      <c r="M407" s="18"/>
      <c r="O407" s="1">
        <v>6</v>
      </c>
      <c r="P407" s="1">
        <v>2</v>
      </c>
      <c r="Q407" s="1">
        <v>1</v>
      </c>
      <c r="R407" s="1">
        <v>1</v>
      </c>
      <c r="S407" s="14"/>
      <c r="U407" s="11" t="s">
        <v>187</v>
      </c>
      <c r="V407" s="12" t="s">
        <v>188</v>
      </c>
      <c r="W407" s="11">
        <v>9.1300000000000008</v>
      </c>
      <c r="X407" s="11">
        <v>0.85</v>
      </c>
      <c r="Y407" s="11">
        <v>1.25</v>
      </c>
      <c r="Z407" s="11">
        <v>0.71</v>
      </c>
      <c r="AA407" s="11">
        <v>2.5</v>
      </c>
      <c r="AB407" s="11">
        <v>0.88</v>
      </c>
      <c r="AC407" s="11">
        <v>0.91</v>
      </c>
      <c r="AD407" s="11">
        <v>1.1499999999999999</v>
      </c>
      <c r="AE407" s="11">
        <v>1.35</v>
      </c>
      <c r="AF407" s="11">
        <v>1.58</v>
      </c>
      <c r="AX407" s="14"/>
    </row>
    <row r="408" spans="1:50" ht="23.5" customHeight="1" thickTop="1" thickBot="1" x14ac:dyDescent="0.35">
      <c r="A408" s="63"/>
      <c r="B408" s="76"/>
      <c r="C408" s="25"/>
      <c r="D408" s="86"/>
      <c r="E408" s="1" t="s">
        <v>156</v>
      </c>
      <c r="F408" s="36">
        <v>2</v>
      </c>
      <c r="G408" s="87"/>
      <c r="H408" s="38" t="s">
        <v>164</v>
      </c>
      <c r="I408" s="38">
        <v>1</v>
      </c>
      <c r="J408" s="36"/>
      <c r="K408" s="25"/>
      <c r="L408" s="25"/>
      <c r="M408" s="18"/>
      <c r="O408" s="1">
        <v>7</v>
      </c>
      <c r="P408" s="1">
        <v>1</v>
      </c>
      <c r="Q408" s="1">
        <v>1</v>
      </c>
      <c r="R408" s="1">
        <v>1</v>
      </c>
      <c r="S408" s="14"/>
      <c r="U408" s="9"/>
      <c r="V408" s="10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X408" s="14"/>
    </row>
    <row r="409" spans="1:50" ht="23.5" customHeight="1" thickTop="1" thickBot="1" x14ac:dyDescent="0.35">
      <c r="A409" s="63"/>
      <c r="B409" s="76"/>
      <c r="C409" s="25"/>
      <c r="D409" s="87"/>
      <c r="E409" s="38" t="s">
        <v>197</v>
      </c>
      <c r="F409" s="38">
        <v>2</v>
      </c>
      <c r="G409" s="39"/>
      <c r="H409" s="39"/>
      <c r="I409" s="39"/>
      <c r="J409" s="36"/>
      <c r="K409" s="36"/>
      <c r="L409" s="25"/>
      <c r="M409" s="18"/>
      <c r="O409" s="1">
        <v>8</v>
      </c>
      <c r="P409" s="1">
        <v>1</v>
      </c>
      <c r="Q409" s="1">
        <v>1</v>
      </c>
      <c r="R409" s="1">
        <v>3</v>
      </c>
      <c r="S409" s="14"/>
      <c r="U409" s="9"/>
      <c r="V409" s="10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X409" s="14"/>
    </row>
    <row r="410" spans="1:50" ht="23" customHeight="1" thickTop="1" x14ac:dyDescent="0.3">
      <c r="A410" s="63"/>
      <c r="B410" s="76"/>
      <c r="C410" s="25"/>
      <c r="D410" s="39"/>
      <c r="E410" s="39"/>
      <c r="F410" s="39"/>
      <c r="G410" s="25"/>
      <c r="H410" s="25"/>
      <c r="I410" s="25"/>
      <c r="J410" s="25"/>
      <c r="K410" s="25"/>
      <c r="L410" s="25"/>
      <c r="M410" s="18"/>
      <c r="O410" s="1">
        <v>9</v>
      </c>
      <c r="P410" s="1">
        <v>1</v>
      </c>
      <c r="Q410" s="1">
        <v>1</v>
      </c>
      <c r="R410" s="1">
        <v>1</v>
      </c>
      <c r="S410" s="14"/>
      <c r="AX410" s="14"/>
    </row>
    <row r="411" spans="1:50" ht="23" customHeight="1" thickBot="1" x14ac:dyDescent="0.35">
      <c r="A411" s="63"/>
      <c r="B411" s="76"/>
      <c r="C411" s="25"/>
      <c r="D411" s="36"/>
      <c r="E411" s="36"/>
      <c r="F411" s="36"/>
      <c r="G411" s="25"/>
      <c r="H411" s="25"/>
      <c r="I411" s="25"/>
      <c r="J411" s="25"/>
      <c r="K411" s="25"/>
      <c r="L411" s="25"/>
      <c r="M411" s="18"/>
      <c r="O411" s="4">
        <v>10</v>
      </c>
      <c r="P411" s="4">
        <v>2</v>
      </c>
      <c r="Q411" s="4">
        <v>0</v>
      </c>
      <c r="R411" s="4">
        <v>2</v>
      </c>
      <c r="S411" s="14"/>
      <c r="AX411" s="14"/>
    </row>
    <row r="412" spans="1:50" ht="23.5" customHeight="1" thickTop="1" thickBot="1" x14ac:dyDescent="0.35">
      <c r="A412" s="63"/>
      <c r="B412" s="81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19"/>
      <c r="N412" s="15"/>
      <c r="O412" s="15"/>
      <c r="P412" s="15"/>
      <c r="Q412" s="15"/>
      <c r="R412" s="15"/>
      <c r="S412" s="16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6"/>
    </row>
    <row r="413" spans="1:50" ht="15" customHeight="1" thickTop="1" thickBot="1" x14ac:dyDescent="0.35">
      <c r="A413" s="63"/>
      <c r="B413" s="89" t="s">
        <v>134</v>
      </c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17"/>
      <c r="N413" s="24"/>
      <c r="O413" s="24"/>
      <c r="P413" s="24"/>
      <c r="Q413" s="24"/>
      <c r="R413" s="24"/>
      <c r="S413" s="17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17"/>
    </row>
    <row r="414" spans="1:50" ht="16" customHeight="1" thickTop="1" thickBot="1" x14ac:dyDescent="0.35">
      <c r="A414" s="63"/>
      <c r="B414" s="76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17"/>
      <c r="N414" s="24"/>
      <c r="O414" s="82" t="s">
        <v>205</v>
      </c>
      <c r="P414" s="82" t="s">
        <v>206</v>
      </c>
      <c r="Q414" s="83"/>
      <c r="R414" s="83"/>
      <c r="S414" s="17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17"/>
    </row>
    <row r="415" spans="1:50" ht="31" customHeight="1" thickTop="1" thickBot="1" x14ac:dyDescent="0.35">
      <c r="A415" s="63"/>
      <c r="B415" s="76"/>
      <c r="C415" s="24"/>
      <c r="D415" s="27" t="s">
        <v>191</v>
      </c>
      <c r="E415" s="27" t="s">
        <v>192</v>
      </c>
      <c r="F415" s="27" t="s">
        <v>193</v>
      </c>
      <c r="G415" s="27" t="s">
        <v>191</v>
      </c>
      <c r="H415" s="27" t="s">
        <v>192</v>
      </c>
      <c r="I415" s="27" t="s">
        <v>193</v>
      </c>
      <c r="J415" s="27" t="s">
        <v>191</v>
      </c>
      <c r="K415" s="27" t="s">
        <v>192</v>
      </c>
      <c r="L415" s="27" t="s">
        <v>193</v>
      </c>
      <c r="M415" s="17"/>
      <c r="N415" s="24"/>
      <c r="O415" s="84"/>
      <c r="P415" s="2" t="s">
        <v>178</v>
      </c>
      <c r="Q415" s="2" t="s">
        <v>186</v>
      </c>
      <c r="R415" s="2" t="s">
        <v>190</v>
      </c>
      <c r="S415" s="17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17"/>
    </row>
    <row r="416" spans="1:50" ht="23" customHeight="1" thickTop="1" x14ac:dyDescent="0.3">
      <c r="A416" s="63"/>
      <c r="B416" s="76"/>
      <c r="C416" s="33"/>
      <c r="D416" s="88" t="s">
        <v>194</v>
      </c>
      <c r="E416" s="36" t="s">
        <v>148</v>
      </c>
      <c r="F416" s="36">
        <v>6</v>
      </c>
      <c r="G416" s="85" t="s">
        <v>198</v>
      </c>
      <c r="H416" s="36" t="s">
        <v>158</v>
      </c>
      <c r="I416" s="36">
        <v>2</v>
      </c>
      <c r="J416" s="85" t="s">
        <v>202</v>
      </c>
      <c r="K416" s="36" t="s">
        <v>203</v>
      </c>
      <c r="L416" s="36">
        <v>3</v>
      </c>
      <c r="M416" s="18"/>
      <c r="N416" s="13"/>
      <c r="O416" s="1">
        <v>1</v>
      </c>
      <c r="P416" s="1">
        <v>1</v>
      </c>
      <c r="Q416" s="1">
        <v>2</v>
      </c>
      <c r="R416" s="1">
        <v>0</v>
      </c>
      <c r="S416" s="14"/>
      <c r="T416" s="13"/>
      <c r="U416" s="24"/>
      <c r="AX416" s="14"/>
    </row>
    <row r="417" spans="1:50" ht="23" customHeight="1" thickBot="1" x14ac:dyDescent="0.35">
      <c r="A417" s="63"/>
      <c r="B417" s="76"/>
      <c r="C417" s="25"/>
      <c r="D417" s="86"/>
      <c r="E417" s="36" t="s">
        <v>195</v>
      </c>
      <c r="F417" s="36">
        <v>2</v>
      </c>
      <c r="G417" s="86"/>
      <c r="H417" s="36" t="s">
        <v>159</v>
      </c>
      <c r="I417" s="36">
        <v>2</v>
      </c>
      <c r="J417" s="86"/>
      <c r="K417" s="36" t="s">
        <v>166</v>
      </c>
      <c r="L417" s="36">
        <v>3</v>
      </c>
      <c r="M417" s="18"/>
      <c r="O417" s="1">
        <v>2</v>
      </c>
      <c r="P417" s="1">
        <v>2</v>
      </c>
      <c r="Q417" s="1">
        <v>2</v>
      </c>
      <c r="R417" s="1">
        <v>1</v>
      </c>
      <c r="S417" s="14"/>
      <c r="Z417" s="23" t="s">
        <v>194</v>
      </c>
      <c r="AK417" s="23" t="s">
        <v>198</v>
      </c>
      <c r="AT417" s="23" t="s">
        <v>202</v>
      </c>
      <c r="AX417" s="14"/>
    </row>
    <row r="418" spans="1:50" ht="25" customHeight="1" thickTop="1" thickBot="1" x14ac:dyDescent="0.35">
      <c r="A418" s="63"/>
      <c r="B418" s="76"/>
      <c r="C418" s="25"/>
      <c r="D418" s="86"/>
      <c r="E418" s="36" t="s">
        <v>196</v>
      </c>
      <c r="F418" s="36">
        <v>2</v>
      </c>
      <c r="G418" s="86"/>
      <c r="H418" s="36" t="s">
        <v>160</v>
      </c>
      <c r="I418" s="36">
        <v>2</v>
      </c>
      <c r="J418" s="86"/>
      <c r="K418" s="36" t="s">
        <v>167</v>
      </c>
      <c r="L418" s="36">
        <v>2</v>
      </c>
      <c r="M418" s="18"/>
      <c r="O418" s="1">
        <v>3</v>
      </c>
      <c r="P418" s="1">
        <v>0</v>
      </c>
      <c r="Q418" s="1">
        <v>1</v>
      </c>
      <c r="R418" s="1">
        <v>1</v>
      </c>
      <c r="S418" s="14"/>
      <c r="U418" s="7" t="s">
        <v>146</v>
      </c>
      <c r="V418" s="7" t="s">
        <v>147</v>
      </c>
      <c r="W418" s="7" t="s">
        <v>148</v>
      </c>
      <c r="X418" s="7" t="s">
        <v>149</v>
      </c>
      <c r="Y418" s="7" t="s">
        <v>150</v>
      </c>
      <c r="Z418" s="8" t="s">
        <v>151</v>
      </c>
      <c r="AA418" s="7" t="s">
        <v>152</v>
      </c>
      <c r="AB418" s="7" t="s">
        <v>153</v>
      </c>
      <c r="AC418" s="7" t="s">
        <v>154</v>
      </c>
      <c r="AD418" s="7" t="s">
        <v>155</v>
      </c>
      <c r="AE418" s="8" t="s">
        <v>156</v>
      </c>
      <c r="AF418" s="7" t="s">
        <v>157</v>
      </c>
      <c r="AH418" s="7" t="s">
        <v>146</v>
      </c>
      <c r="AI418" s="7" t="s">
        <v>147</v>
      </c>
      <c r="AJ418" s="7" t="s">
        <v>158</v>
      </c>
      <c r="AK418" s="7" t="s">
        <v>159</v>
      </c>
      <c r="AL418" s="7" t="s">
        <v>160</v>
      </c>
      <c r="AM418" s="7" t="s">
        <v>161</v>
      </c>
      <c r="AN418" s="7" t="s">
        <v>162</v>
      </c>
      <c r="AO418" s="7" t="s">
        <v>163</v>
      </c>
      <c r="AP418" s="7" t="s">
        <v>164</v>
      </c>
      <c r="AR418" s="7" t="s">
        <v>146</v>
      </c>
      <c r="AS418" s="7" t="s">
        <v>147</v>
      </c>
      <c r="AT418" s="7" t="s">
        <v>165</v>
      </c>
      <c r="AU418" s="7" t="s">
        <v>166</v>
      </c>
      <c r="AV418" s="7" t="s">
        <v>167</v>
      </c>
      <c r="AW418" s="7" t="s">
        <v>168</v>
      </c>
      <c r="AX418" s="14"/>
    </row>
    <row r="419" spans="1:50" ht="24" customHeight="1" thickTop="1" thickBot="1" x14ac:dyDescent="0.35">
      <c r="A419" s="63"/>
      <c r="B419" s="76"/>
      <c r="C419" s="25"/>
      <c r="D419" s="86"/>
      <c r="E419" s="1" t="s">
        <v>151</v>
      </c>
      <c r="F419" s="36">
        <v>2</v>
      </c>
      <c r="G419" s="86"/>
      <c r="H419" s="36" t="s">
        <v>199</v>
      </c>
      <c r="I419" s="36">
        <v>2</v>
      </c>
      <c r="J419" s="87"/>
      <c r="K419" s="38" t="s">
        <v>168</v>
      </c>
      <c r="L419" s="38">
        <v>2</v>
      </c>
      <c r="M419" s="18"/>
      <c r="O419" s="1">
        <v>4</v>
      </c>
      <c r="P419" s="1">
        <v>1</v>
      </c>
      <c r="Q419" s="1">
        <v>2</v>
      </c>
      <c r="R419" s="1">
        <v>0</v>
      </c>
      <c r="S419" s="14"/>
      <c r="U419" s="9" t="s">
        <v>171</v>
      </c>
      <c r="V419" s="10" t="s">
        <v>172</v>
      </c>
      <c r="W419" s="9">
        <v>7.74</v>
      </c>
      <c r="X419" s="9">
        <v>0.79</v>
      </c>
      <c r="Y419" s="9">
        <v>1.1100000000000001</v>
      </c>
      <c r="Z419" s="9">
        <v>0.64</v>
      </c>
      <c r="AA419" s="9">
        <v>2.5</v>
      </c>
      <c r="AB419" s="9">
        <v>0.82</v>
      </c>
      <c r="AC419" s="9">
        <v>0.99</v>
      </c>
      <c r="AD419" s="9">
        <v>1.18</v>
      </c>
      <c r="AE419" s="9">
        <v>1.3</v>
      </c>
      <c r="AF419" s="9">
        <v>2</v>
      </c>
      <c r="AH419" s="9" t="s">
        <v>173</v>
      </c>
      <c r="AI419" s="10" t="s">
        <v>174</v>
      </c>
      <c r="AJ419" s="9">
        <v>6.41</v>
      </c>
      <c r="AK419" s="9">
        <v>6.71</v>
      </c>
      <c r="AL419" s="9">
        <v>3</v>
      </c>
      <c r="AM419" s="9">
        <v>6.38</v>
      </c>
      <c r="AN419" s="9">
        <v>1.96</v>
      </c>
      <c r="AO419" s="9">
        <v>7.41</v>
      </c>
      <c r="AP419" s="9">
        <v>5.31</v>
      </c>
      <c r="AR419" s="9" t="s">
        <v>175</v>
      </c>
      <c r="AS419" s="10" t="s">
        <v>176</v>
      </c>
      <c r="AT419" s="9">
        <v>3.15</v>
      </c>
      <c r="AU419" s="9">
        <v>1.1399999999999999</v>
      </c>
      <c r="AV419" s="9">
        <v>2.95</v>
      </c>
      <c r="AW419" s="9">
        <v>2</v>
      </c>
      <c r="AX419" s="14"/>
    </row>
    <row r="420" spans="1:50" ht="24" customHeight="1" thickTop="1" thickBot="1" x14ac:dyDescent="0.35">
      <c r="A420" s="63"/>
      <c r="B420" s="76"/>
      <c r="C420" s="25"/>
      <c r="D420" s="86"/>
      <c r="E420" s="36" t="s">
        <v>152</v>
      </c>
      <c r="F420" s="36">
        <v>2</v>
      </c>
      <c r="G420" s="86"/>
      <c r="H420" s="36" t="s">
        <v>200</v>
      </c>
      <c r="I420" s="36">
        <v>2</v>
      </c>
      <c r="J420" s="39"/>
      <c r="K420" s="39"/>
      <c r="L420" s="39"/>
      <c r="M420" s="18"/>
      <c r="O420" s="1">
        <v>5</v>
      </c>
      <c r="P420" s="1">
        <v>1</v>
      </c>
      <c r="Q420" s="1">
        <v>1</v>
      </c>
      <c r="R420" s="1">
        <v>1</v>
      </c>
      <c r="S420" s="14"/>
      <c r="U420" s="9" t="s">
        <v>179</v>
      </c>
      <c r="V420" s="10" t="s">
        <v>180</v>
      </c>
      <c r="W420" s="9">
        <v>8.2100000000000009</v>
      </c>
      <c r="X420" s="9">
        <v>0.81</v>
      </c>
      <c r="Y420" s="9">
        <v>1.03</v>
      </c>
      <c r="Z420" s="9">
        <v>0.75</v>
      </c>
      <c r="AA420" s="9">
        <v>2.75</v>
      </c>
      <c r="AB420" s="9">
        <v>0.86</v>
      </c>
      <c r="AC420" s="9">
        <v>0.92</v>
      </c>
      <c r="AD420" s="9">
        <v>1.07</v>
      </c>
      <c r="AE420" s="9">
        <v>1.1000000000000001</v>
      </c>
      <c r="AF420" s="9">
        <v>1.61</v>
      </c>
      <c r="AH420" s="11" t="s">
        <v>181</v>
      </c>
      <c r="AI420" s="12" t="s">
        <v>182</v>
      </c>
      <c r="AJ420" s="11">
        <v>6.74</v>
      </c>
      <c r="AK420" s="11">
        <v>7.16</v>
      </c>
      <c r="AL420" s="11">
        <v>3</v>
      </c>
      <c r="AM420" s="11">
        <v>7.42</v>
      </c>
      <c r="AN420" s="11">
        <v>2.2599999999999998</v>
      </c>
      <c r="AO420" s="11">
        <v>8.41</v>
      </c>
      <c r="AP420" s="11">
        <v>5.62</v>
      </c>
      <c r="AR420" s="11" t="s">
        <v>183</v>
      </c>
      <c r="AS420" s="12" t="s">
        <v>184</v>
      </c>
      <c r="AT420" s="11">
        <v>2.73</v>
      </c>
      <c r="AU420" s="11">
        <v>1.01</v>
      </c>
      <c r="AV420" s="11">
        <v>2.65</v>
      </c>
      <c r="AW420" s="11">
        <v>2</v>
      </c>
      <c r="AX420" s="14"/>
    </row>
    <row r="421" spans="1:50" ht="23.5" customHeight="1" thickTop="1" thickBot="1" x14ac:dyDescent="0.35">
      <c r="A421" s="63"/>
      <c r="B421" s="76"/>
      <c r="C421" s="25"/>
      <c r="D421" s="86"/>
      <c r="E421" s="36" t="s">
        <v>153</v>
      </c>
      <c r="F421" s="36">
        <v>2</v>
      </c>
      <c r="G421" s="86"/>
      <c r="H421" s="36" t="s">
        <v>201</v>
      </c>
      <c r="I421" s="36">
        <v>2</v>
      </c>
      <c r="J421" s="25"/>
      <c r="K421" s="25"/>
      <c r="L421" s="25"/>
      <c r="M421" s="18"/>
      <c r="O421" s="1">
        <v>6</v>
      </c>
      <c r="P421" s="1">
        <v>2</v>
      </c>
      <c r="Q421" s="1">
        <v>1</v>
      </c>
      <c r="R421" s="1">
        <v>1</v>
      </c>
      <c r="S421" s="14"/>
      <c r="U421" s="11" t="s">
        <v>187</v>
      </c>
      <c r="V421" s="12" t="s">
        <v>188</v>
      </c>
      <c r="W421" s="11">
        <v>9.08</v>
      </c>
      <c r="X421" s="11">
        <v>0.65</v>
      </c>
      <c r="Y421" s="11">
        <v>1.2</v>
      </c>
      <c r="Z421" s="11">
        <v>0.61</v>
      </c>
      <c r="AA421" s="11">
        <v>2.87</v>
      </c>
      <c r="AB421" s="11">
        <v>0.89</v>
      </c>
      <c r="AC421" s="11">
        <v>0.95</v>
      </c>
      <c r="AD421" s="11">
        <v>1.2</v>
      </c>
      <c r="AE421" s="11">
        <v>1.38</v>
      </c>
      <c r="AF421" s="11">
        <v>2.4900000000000002</v>
      </c>
      <c r="AX421" s="14"/>
    </row>
    <row r="422" spans="1:50" ht="23.5" customHeight="1" thickTop="1" thickBot="1" x14ac:dyDescent="0.35">
      <c r="A422" s="63"/>
      <c r="B422" s="76"/>
      <c r="C422" s="25"/>
      <c r="D422" s="86"/>
      <c r="E422" s="1" t="s">
        <v>156</v>
      </c>
      <c r="F422" s="36">
        <v>2</v>
      </c>
      <c r="G422" s="87"/>
      <c r="H422" s="38" t="s">
        <v>164</v>
      </c>
      <c r="I422" s="38">
        <v>1</v>
      </c>
      <c r="J422" s="36"/>
      <c r="K422" s="25"/>
      <c r="L422" s="25"/>
      <c r="M422" s="18"/>
      <c r="O422" s="1">
        <v>7</v>
      </c>
      <c r="P422" s="1">
        <v>1</v>
      </c>
      <c r="Q422" s="1">
        <v>1</v>
      </c>
      <c r="R422" s="1">
        <v>1</v>
      </c>
      <c r="S422" s="14"/>
      <c r="U422" s="9"/>
      <c r="V422" s="10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X422" s="14"/>
    </row>
    <row r="423" spans="1:50" ht="23.5" customHeight="1" thickTop="1" thickBot="1" x14ac:dyDescent="0.35">
      <c r="A423" s="63"/>
      <c r="B423" s="76"/>
      <c r="C423" s="25"/>
      <c r="D423" s="87"/>
      <c r="E423" s="38" t="s">
        <v>197</v>
      </c>
      <c r="F423" s="38">
        <v>2</v>
      </c>
      <c r="G423" s="39"/>
      <c r="H423" s="39"/>
      <c r="I423" s="39"/>
      <c r="J423" s="36"/>
      <c r="K423" s="36"/>
      <c r="L423" s="25"/>
      <c r="M423" s="18"/>
      <c r="O423" s="1">
        <v>8</v>
      </c>
      <c r="P423" s="1">
        <v>0</v>
      </c>
      <c r="Q423" s="1">
        <v>1</v>
      </c>
      <c r="R423" s="1">
        <v>1</v>
      </c>
      <c r="S423" s="14"/>
      <c r="U423" s="9"/>
      <c r="V423" s="10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X423" s="14"/>
    </row>
    <row r="424" spans="1:50" ht="23" customHeight="1" thickTop="1" x14ac:dyDescent="0.3">
      <c r="A424" s="63"/>
      <c r="B424" s="76"/>
      <c r="C424" s="25"/>
      <c r="D424" s="39"/>
      <c r="E424" s="39"/>
      <c r="F424" s="39"/>
      <c r="G424" s="25"/>
      <c r="H424" s="25"/>
      <c r="I424" s="25"/>
      <c r="J424" s="25"/>
      <c r="K424" s="25"/>
      <c r="L424" s="25"/>
      <c r="M424" s="18"/>
      <c r="O424" s="1">
        <v>9</v>
      </c>
      <c r="P424" s="1">
        <v>2</v>
      </c>
      <c r="Q424" s="1">
        <v>1</v>
      </c>
      <c r="R424" s="1">
        <v>2</v>
      </c>
      <c r="S424" s="14"/>
      <c r="AX424" s="14"/>
    </row>
    <row r="425" spans="1:50" ht="23" customHeight="1" thickBot="1" x14ac:dyDescent="0.35">
      <c r="A425" s="63"/>
      <c r="B425" s="76"/>
      <c r="C425" s="25"/>
      <c r="D425" s="36"/>
      <c r="E425" s="36"/>
      <c r="F425" s="36"/>
      <c r="G425" s="25"/>
      <c r="H425" s="25"/>
      <c r="I425" s="25"/>
      <c r="J425" s="25"/>
      <c r="K425" s="25"/>
      <c r="L425" s="25"/>
      <c r="M425" s="18"/>
      <c r="O425" s="4">
        <v>10</v>
      </c>
      <c r="P425" s="4">
        <v>2</v>
      </c>
      <c r="Q425" s="4">
        <v>1</v>
      </c>
      <c r="R425" s="4">
        <v>2</v>
      </c>
      <c r="S425" s="14"/>
      <c r="AX425" s="14"/>
    </row>
    <row r="426" spans="1:50" ht="23.5" customHeight="1" thickTop="1" thickBot="1" x14ac:dyDescent="0.35">
      <c r="A426" s="63"/>
      <c r="B426" s="81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19"/>
      <c r="N426" s="15"/>
      <c r="O426" s="15"/>
      <c r="P426" s="15"/>
      <c r="Q426" s="15"/>
      <c r="R426" s="15"/>
      <c r="S426" s="16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6"/>
    </row>
    <row r="427" spans="1:50" ht="15" customHeight="1" thickTop="1" thickBot="1" x14ac:dyDescent="0.35">
      <c r="A427" s="63"/>
      <c r="B427" s="89" t="s">
        <v>135</v>
      </c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17"/>
      <c r="N427" s="24"/>
      <c r="O427" s="24"/>
      <c r="P427" s="24"/>
      <c r="Q427" s="24"/>
      <c r="R427" s="24"/>
      <c r="S427" s="17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17"/>
    </row>
    <row r="428" spans="1:50" ht="16" customHeight="1" thickTop="1" thickBot="1" x14ac:dyDescent="0.35">
      <c r="A428" s="63"/>
      <c r="B428" s="76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17"/>
      <c r="N428" s="24"/>
      <c r="O428" s="82" t="s">
        <v>205</v>
      </c>
      <c r="P428" s="82" t="s">
        <v>206</v>
      </c>
      <c r="Q428" s="83"/>
      <c r="R428" s="83"/>
      <c r="S428" s="17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17"/>
    </row>
    <row r="429" spans="1:50" ht="31" customHeight="1" thickTop="1" thickBot="1" x14ac:dyDescent="0.35">
      <c r="A429" s="63"/>
      <c r="B429" s="76"/>
      <c r="C429" s="24"/>
      <c r="D429" s="27" t="s">
        <v>191</v>
      </c>
      <c r="E429" s="27" t="s">
        <v>192</v>
      </c>
      <c r="F429" s="27" t="s">
        <v>193</v>
      </c>
      <c r="G429" s="27" t="s">
        <v>191</v>
      </c>
      <c r="H429" s="27" t="s">
        <v>192</v>
      </c>
      <c r="I429" s="27" t="s">
        <v>193</v>
      </c>
      <c r="J429" s="27" t="s">
        <v>191</v>
      </c>
      <c r="K429" s="27" t="s">
        <v>192</v>
      </c>
      <c r="L429" s="27" t="s">
        <v>193</v>
      </c>
      <c r="M429" s="17"/>
      <c r="N429" s="24"/>
      <c r="O429" s="84"/>
      <c r="P429" s="2" t="s">
        <v>178</v>
      </c>
      <c r="Q429" s="2" t="s">
        <v>186</v>
      </c>
      <c r="R429" s="2" t="s">
        <v>190</v>
      </c>
      <c r="S429" s="1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17"/>
    </row>
    <row r="430" spans="1:50" ht="23" customHeight="1" thickTop="1" x14ac:dyDescent="0.3">
      <c r="A430" s="63"/>
      <c r="B430" s="76"/>
      <c r="C430" s="33"/>
      <c r="D430" s="88" t="s">
        <v>194</v>
      </c>
      <c r="E430" s="36" t="s">
        <v>148</v>
      </c>
      <c r="F430" s="36">
        <v>6</v>
      </c>
      <c r="G430" s="85" t="s">
        <v>198</v>
      </c>
      <c r="H430" s="36" t="s">
        <v>158</v>
      </c>
      <c r="I430" s="36">
        <v>2</v>
      </c>
      <c r="J430" s="85" t="s">
        <v>202</v>
      </c>
      <c r="K430" s="36" t="s">
        <v>203</v>
      </c>
      <c r="L430" s="36">
        <v>3</v>
      </c>
      <c r="M430" s="18"/>
      <c r="N430" s="13"/>
      <c r="O430" s="1">
        <v>1</v>
      </c>
      <c r="P430" s="1">
        <v>1</v>
      </c>
      <c r="Q430" s="1">
        <v>1</v>
      </c>
      <c r="R430" s="1">
        <v>1</v>
      </c>
      <c r="S430" s="14"/>
      <c r="T430" s="13"/>
      <c r="U430" s="24"/>
      <c r="AX430" s="14"/>
    </row>
    <row r="431" spans="1:50" ht="23" customHeight="1" thickBot="1" x14ac:dyDescent="0.35">
      <c r="A431" s="63"/>
      <c r="B431" s="76"/>
      <c r="C431" s="25"/>
      <c r="D431" s="86"/>
      <c r="E431" s="36" t="s">
        <v>195</v>
      </c>
      <c r="F431" s="36">
        <v>2</v>
      </c>
      <c r="G431" s="86"/>
      <c r="H431" s="36" t="s">
        <v>159</v>
      </c>
      <c r="I431" s="36">
        <v>2</v>
      </c>
      <c r="J431" s="86"/>
      <c r="K431" s="36" t="s">
        <v>166</v>
      </c>
      <c r="L431" s="36">
        <v>3</v>
      </c>
      <c r="M431" s="18"/>
      <c r="O431" s="1">
        <v>2</v>
      </c>
      <c r="P431" s="1">
        <v>2</v>
      </c>
      <c r="Q431" s="1">
        <v>2</v>
      </c>
      <c r="R431" s="1">
        <v>0</v>
      </c>
      <c r="S431" s="14"/>
      <c r="Z431" s="23" t="s">
        <v>194</v>
      </c>
      <c r="AK431" s="23" t="s">
        <v>198</v>
      </c>
      <c r="AT431" s="23" t="s">
        <v>202</v>
      </c>
      <c r="AX431" s="14"/>
    </row>
    <row r="432" spans="1:50" ht="25" customHeight="1" thickTop="1" thickBot="1" x14ac:dyDescent="0.35">
      <c r="A432" s="63"/>
      <c r="B432" s="76"/>
      <c r="C432" s="25"/>
      <c r="D432" s="86"/>
      <c r="E432" s="36" t="s">
        <v>196</v>
      </c>
      <c r="F432" s="36">
        <v>2</v>
      </c>
      <c r="G432" s="86"/>
      <c r="H432" s="36" t="s">
        <v>160</v>
      </c>
      <c r="I432" s="36">
        <v>2</v>
      </c>
      <c r="J432" s="86"/>
      <c r="K432" s="36" t="s">
        <v>167</v>
      </c>
      <c r="L432" s="36">
        <v>2</v>
      </c>
      <c r="M432" s="18"/>
      <c r="O432" s="1">
        <v>3</v>
      </c>
      <c r="P432" s="1">
        <v>2</v>
      </c>
      <c r="Q432" s="1">
        <v>1</v>
      </c>
      <c r="R432" s="1">
        <v>0</v>
      </c>
      <c r="S432" s="14"/>
      <c r="U432" s="7" t="s">
        <v>146</v>
      </c>
      <c r="V432" s="7" t="s">
        <v>147</v>
      </c>
      <c r="W432" s="7" t="s">
        <v>148</v>
      </c>
      <c r="X432" s="7" t="s">
        <v>149</v>
      </c>
      <c r="Y432" s="7" t="s">
        <v>150</v>
      </c>
      <c r="Z432" s="8" t="s">
        <v>151</v>
      </c>
      <c r="AA432" s="7" t="s">
        <v>152</v>
      </c>
      <c r="AB432" s="7" t="s">
        <v>153</v>
      </c>
      <c r="AC432" s="7" t="s">
        <v>154</v>
      </c>
      <c r="AD432" s="7" t="s">
        <v>155</v>
      </c>
      <c r="AE432" s="8" t="s">
        <v>156</v>
      </c>
      <c r="AF432" s="7" t="s">
        <v>157</v>
      </c>
      <c r="AH432" s="7" t="s">
        <v>146</v>
      </c>
      <c r="AI432" s="7" t="s">
        <v>147</v>
      </c>
      <c r="AJ432" s="7" t="s">
        <v>158</v>
      </c>
      <c r="AK432" s="7" t="s">
        <v>159</v>
      </c>
      <c r="AL432" s="7" t="s">
        <v>160</v>
      </c>
      <c r="AM432" s="7" t="s">
        <v>161</v>
      </c>
      <c r="AN432" s="7" t="s">
        <v>162</v>
      </c>
      <c r="AO432" s="7" t="s">
        <v>163</v>
      </c>
      <c r="AP432" s="7" t="s">
        <v>164</v>
      </c>
      <c r="AR432" s="7" t="s">
        <v>146</v>
      </c>
      <c r="AS432" s="7" t="s">
        <v>147</v>
      </c>
      <c r="AT432" s="7" t="s">
        <v>165</v>
      </c>
      <c r="AU432" s="7" t="s">
        <v>166</v>
      </c>
      <c r="AV432" s="7" t="s">
        <v>167</v>
      </c>
      <c r="AW432" s="7" t="s">
        <v>168</v>
      </c>
      <c r="AX432" s="14"/>
    </row>
    <row r="433" spans="1:50" ht="24" customHeight="1" thickTop="1" thickBot="1" x14ac:dyDescent="0.35">
      <c r="A433" s="63"/>
      <c r="B433" s="76"/>
      <c r="C433" s="25"/>
      <c r="D433" s="86"/>
      <c r="E433" s="1" t="s">
        <v>151</v>
      </c>
      <c r="F433" s="36">
        <v>2</v>
      </c>
      <c r="G433" s="86"/>
      <c r="H433" s="36" t="s">
        <v>199</v>
      </c>
      <c r="I433" s="36">
        <v>2</v>
      </c>
      <c r="J433" s="87"/>
      <c r="K433" s="38" t="s">
        <v>168</v>
      </c>
      <c r="L433" s="38">
        <v>2</v>
      </c>
      <c r="M433" s="18"/>
      <c r="O433" s="1">
        <v>4</v>
      </c>
      <c r="P433" s="1">
        <v>1</v>
      </c>
      <c r="Q433" s="1">
        <v>2</v>
      </c>
      <c r="R433" s="1">
        <v>0</v>
      </c>
      <c r="S433" s="14"/>
      <c r="U433" s="9" t="s">
        <v>171</v>
      </c>
      <c r="V433" s="10" t="s">
        <v>172</v>
      </c>
      <c r="W433" s="9">
        <v>7.23</v>
      </c>
      <c r="X433" s="9">
        <v>0.68</v>
      </c>
      <c r="Y433" s="9">
        <v>1.18</v>
      </c>
      <c r="Z433" s="9">
        <v>0.72</v>
      </c>
      <c r="AA433" s="9">
        <v>2.66</v>
      </c>
      <c r="AB433" s="9">
        <v>0.8</v>
      </c>
      <c r="AC433" s="9">
        <v>0.93</v>
      </c>
      <c r="AD433" s="9">
        <v>1.05</v>
      </c>
      <c r="AE433" s="9">
        <v>1.02</v>
      </c>
      <c r="AF433" s="9">
        <v>1.72</v>
      </c>
      <c r="AH433" s="9" t="s">
        <v>173</v>
      </c>
      <c r="AI433" s="10" t="s">
        <v>174</v>
      </c>
      <c r="AJ433" s="9">
        <v>6.93</v>
      </c>
      <c r="AK433" s="9">
        <v>7.47</v>
      </c>
      <c r="AL433" s="9">
        <v>3</v>
      </c>
      <c r="AM433" s="9">
        <v>7.88</v>
      </c>
      <c r="AN433" s="9">
        <v>2.4700000000000002</v>
      </c>
      <c r="AO433" s="9">
        <v>8.93</v>
      </c>
      <c r="AP433" s="9">
        <v>5.93</v>
      </c>
      <c r="AR433" s="9" t="s">
        <v>175</v>
      </c>
      <c r="AS433" s="10" t="s">
        <v>176</v>
      </c>
      <c r="AT433" s="9">
        <v>2.94</v>
      </c>
      <c r="AU433" s="9">
        <v>1.17</v>
      </c>
      <c r="AV433" s="9">
        <v>2.4500000000000002</v>
      </c>
      <c r="AW433" s="9">
        <v>2</v>
      </c>
      <c r="AX433" s="14"/>
    </row>
    <row r="434" spans="1:50" ht="24" customHeight="1" thickTop="1" thickBot="1" x14ac:dyDescent="0.35">
      <c r="A434" s="63"/>
      <c r="B434" s="76"/>
      <c r="C434" s="25"/>
      <c r="D434" s="86"/>
      <c r="E434" s="36" t="s">
        <v>152</v>
      </c>
      <c r="F434" s="36">
        <v>2</v>
      </c>
      <c r="G434" s="86"/>
      <c r="H434" s="36" t="s">
        <v>200</v>
      </c>
      <c r="I434" s="36">
        <v>2</v>
      </c>
      <c r="J434" s="39"/>
      <c r="K434" s="39"/>
      <c r="L434" s="39"/>
      <c r="M434" s="18"/>
      <c r="O434" s="1">
        <v>5</v>
      </c>
      <c r="P434" s="1">
        <v>1</v>
      </c>
      <c r="Q434" s="1">
        <v>1</v>
      </c>
      <c r="R434" s="1">
        <v>1</v>
      </c>
      <c r="S434" s="14"/>
      <c r="U434" s="9" t="s">
        <v>179</v>
      </c>
      <c r="V434" s="10" t="s">
        <v>180</v>
      </c>
      <c r="W434" s="9">
        <v>8.89</v>
      </c>
      <c r="X434" s="9">
        <v>0.74</v>
      </c>
      <c r="Y434" s="9">
        <v>1.01</v>
      </c>
      <c r="Z434" s="9">
        <v>0.56999999999999995</v>
      </c>
      <c r="AA434" s="9">
        <v>2.5</v>
      </c>
      <c r="AB434" s="9">
        <v>0.84</v>
      </c>
      <c r="AC434" s="9">
        <v>0.98</v>
      </c>
      <c r="AD434" s="9">
        <v>1.1200000000000001</v>
      </c>
      <c r="AE434" s="9">
        <v>1.25</v>
      </c>
      <c r="AF434" s="9">
        <v>2.2799999999999998</v>
      </c>
      <c r="AH434" s="11" t="s">
        <v>181</v>
      </c>
      <c r="AI434" s="12" t="s">
        <v>182</v>
      </c>
      <c r="AJ434" s="11">
        <v>6.06</v>
      </c>
      <c r="AK434" s="11">
        <v>6.55</v>
      </c>
      <c r="AL434" s="11">
        <v>3</v>
      </c>
      <c r="AM434" s="11">
        <v>6.02</v>
      </c>
      <c r="AN434" s="11">
        <v>1.55</v>
      </c>
      <c r="AO434" s="11">
        <v>7.05</v>
      </c>
      <c r="AP434" s="11">
        <v>5.0599999999999996</v>
      </c>
      <c r="AR434" s="11" t="s">
        <v>183</v>
      </c>
      <c r="AS434" s="12" t="s">
        <v>184</v>
      </c>
      <c r="AT434" s="11">
        <v>3.45</v>
      </c>
      <c r="AU434" s="11">
        <v>1.0900000000000001</v>
      </c>
      <c r="AV434" s="11">
        <v>2.1800000000000002</v>
      </c>
      <c r="AW434" s="11">
        <v>2</v>
      </c>
      <c r="AX434" s="14"/>
    </row>
    <row r="435" spans="1:50" ht="23.5" customHeight="1" thickTop="1" thickBot="1" x14ac:dyDescent="0.35">
      <c r="A435" s="63"/>
      <c r="B435" s="76"/>
      <c r="C435" s="25"/>
      <c r="D435" s="86"/>
      <c r="E435" s="36" t="s">
        <v>153</v>
      </c>
      <c r="F435" s="36">
        <v>2</v>
      </c>
      <c r="G435" s="86"/>
      <c r="H435" s="36" t="s">
        <v>201</v>
      </c>
      <c r="I435" s="36">
        <v>2</v>
      </c>
      <c r="J435" s="25"/>
      <c r="K435" s="25"/>
      <c r="L435" s="25"/>
      <c r="M435" s="18"/>
      <c r="O435" s="1">
        <v>6</v>
      </c>
      <c r="P435" s="1">
        <v>2</v>
      </c>
      <c r="Q435" s="1">
        <v>1</v>
      </c>
      <c r="R435" s="1">
        <v>2</v>
      </c>
      <c r="S435" s="14"/>
      <c r="U435" s="11" t="s">
        <v>187</v>
      </c>
      <c r="V435" s="12" t="s">
        <v>188</v>
      </c>
      <c r="W435" s="11">
        <v>9.25</v>
      </c>
      <c r="X435" s="11">
        <v>0.9</v>
      </c>
      <c r="Y435" s="11">
        <v>1.25</v>
      </c>
      <c r="Z435" s="11">
        <v>0.75</v>
      </c>
      <c r="AA435" s="11">
        <v>2.96</v>
      </c>
      <c r="AB435" s="11">
        <v>0.87</v>
      </c>
      <c r="AC435" s="11">
        <v>1</v>
      </c>
      <c r="AD435" s="11">
        <v>1.2</v>
      </c>
      <c r="AE435" s="11">
        <v>1.4</v>
      </c>
      <c r="AF435" s="11">
        <v>1.54</v>
      </c>
      <c r="AX435" s="14"/>
    </row>
    <row r="436" spans="1:50" ht="23.5" customHeight="1" thickTop="1" thickBot="1" x14ac:dyDescent="0.35">
      <c r="A436" s="63"/>
      <c r="B436" s="76"/>
      <c r="C436" s="25"/>
      <c r="D436" s="86"/>
      <c r="E436" s="1" t="s">
        <v>156</v>
      </c>
      <c r="F436" s="36">
        <v>2</v>
      </c>
      <c r="G436" s="87"/>
      <c r="H436" s="38" t="s">
        <v>164</v>
      </c>
      <c r="I436" s="38">
        <v>1</v>
      </c>
      <c r="J436" s="36"/>
      <c r="K436" s="25"/>
      <c r="L436" s="25"/>
      <c r="M436" s="18"/>
      <c r="O436" s="1">
        <v>7</v>
      </c>
      <c r="P436" s="1">
        <v>1</v>
      </c>
      <c r="Q436" s="1">
        <v>1</v>
      </c>
      <c r="R436" s="1">
        <v>1</v>
      </c>
      <c r="S436" s="14"/>
      <c r="U436" s="9"/>
      <c r="V436" s="10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X436" s="14"/>
    </row>
    <row r="437" spans="1:50" ht="23.5" customHeight="1" thickTop="1" thickBot="1" x14ac:dyDescent="0.35">
      <c r="A437" s="63"/>
      <c r="B437" s="76"/>
      <c r="C437" s="25"/>
      <c r="D437" s="87"/>
      <c r="E437" s="38" t="s">
        <v>197</v>
      </c>
      <c r="F437" s="38">
        <v>2</v>
      </c>
      <c r="G437" s="39"/>
      <c r="H437" s="39"/>
      <c r="I437" s="39"/>
      <c r="J437" s="36"/>
      <c r="K437" s="36"/>
      <c r="L437" s="25"/>
      <c r="M437" s="18"/>
      <c r="O437" s="1">
        <v>8</v>
      </c>
      <c r="P437" s="1">
        <v>2</v>
      </c>
      <c r="Q437" s="1">
        <v>2</v>
      </c>
      <c r="R437" s="1">
        <v>2</v>
      </c>
      <c r="S437" s="14"/>
      <c r="U437" s="9"/>
      <c r="V437" s="10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X437" s="14"/>
    </row>
    <row r="438" spans="1:50" ht="23" customHeight="1" thickTop="1" x14ac:dyDescent="0.3">
      <c r="A438" s="63"/>
      <c r="B438" s="76"/>
      <c r="C438" s="25"/>
      <c r="D438" s="39"/>
      <c r="E438" s="39"/>
      <c r="F438" s="39"/>
      <c r="G438" s="25"/>
      <c r="H438" s="25"/>
      <c r="I438" s="25"/>
      <c r="J438" s="25"/>
      <c r="K438" s="25"/>
      <c r="L438" s="25"/>
      <c r="M438" s="18"/>
      <c r="O438" s="1">
        <v>9</v>
      </c>
      <c r="P438" s="1">
        <v>0</v>
      </c>
      <c r="Q438" s="1">
        <v>3</v>
      </c>
      <c r="R438" s="1">
        <v>3</v>
      </c>
      <c r="S438" s="14"/>
      <c r="AX438" s="14"/>
    </row>
    <row r="439" spans="1:50" ht="23" customHeight="1" thickBot="1" x14ac:dyDescent="0.35">
      <c r="A439" s="63"/>
      <c r="B439" s="76"/>
      <c r="C439" s="25"/>
      <c r="D439" s="36"/>
      <c r="E439" s="36"/>
      <c r="F439" s="36"/>
      <c r="G439" s="25"/>
      <c r="H439" s="25"/>
      <c r="I439" s="25"/>
      <c r="J439" s="25"/>
      <c r="K439" s="25"/>
      <c r="L439" s="25"/>
      <c r="M439" s="18"/>
      <c r="O439" s="4">
        <v>10</v>
      </c>
      <c r="P439" s="4">
        <v>1</v>
      </c>
      <c r="Q439" s="4">
        <v>0</v>
      </c>
      <c r="R439" s="4">
        <v>2</v>
      </c>
      <c r="S439" s="14"/>
      <c r="AX439" s="14"/>
    </row>
    <row r="440" spans="1:50" ht="23.5" customHeight="1" thickTop="1" thickBot="1" x14ac:dyDescent="0.35">
      <c r="A440" s="63"/>
      <c r="B440" s="81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19"/>
      <c r="N440" s="15"/>
      <c r="O440" s="15"/>
      <c r="P440" s="15"/>
      <c r="Q440" s="15"/>
      <c r="R440" s="15"/>
      <c r="S440" s="16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6"/>
    </row>
    <row r="441" spans="1:50" ht="15" customHeight="1" thickTop="1" thickBot="1" x14ac:dyDescent="0.35">
      <c r="A441" s="63"/>
      <c r="B441" s="89" t="s">
        <v>136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17"/>
      <c r="N441" s="24"/>
      <c r="O441" s="24"/>
      <c r="P441" s="24"/>
      <c r="Q441" s="24"/>
      <c r="R441" s="24"/>
      <c r="S441" s="1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17"/>
    </row>
    <row r="442" spans="1:50" ht="16" customHeight="1" thickTop="1" thickBot="1" x14ac:dyDescent="0.35">
      <c r="A442" s="63"/>
      <c r="B442" s="76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17"/>
      <c r="N442" s="24"/>
      <c r="O442" s="82" t="s">
        <v>205</v>
      </c>
      <c r="P442" s="82" t="s">
        <v>206</v>
      </c>
      <c r="Q442" s="83"/>
      <c r="R442" s="83"/>
      <c r="S442" s="1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17"/>
    </row>
    <row r="443" spans="1:50" ht="31" customHeight="1" thickTop="1" thickBot="1" x14ac:dyDescent="0.35">
      <c r="A443" s="63"/>
      <c r="B443" s="76"/>
      <c r="C443" s="24"/>
      <c r="D443" s="27" t="s">
        <v>191</v>
      </c>
      <c r="E443" s="27" t="s">
        <v>192</v>
      </c>
      <c r="F443" s="27" t="s">
        <v>193</v>
      </c>
      <c r="G443" s="27" t="s">
        <v>191</v>
      </c>
      <c r="H443" s="27" t="s">
        <v>192</v>
      </c>
      <c r="I443" s="27" t="s">
        <v>193</v>
      </c>
      <c r="J443" s="27" t="s">
        <v>191</v>
      </c>
      <c r="K443" s="27" t="s">
        <v>192</v>
      </c>
      <c r="L443" s="27" t="s">
        <v>193</v>
      </c>
      <c r="M443" s="17"/>
      <c r="N443" s="24"/>
      <c r="O443" s="84"/>
      <c r="P443" s="2" t="s">
        <v>178</v>
      </c>
      <c r="Q443" s="2" t="s">
        <v>186</v>
      </c>
      <c r="R443" s="2" t="s">
        <v>190</v>
      </c>
      <c r="S443" s="17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17"/>
    </row>
    <row r="444" spans="1:50" ht="23" customHeight="1" thickTop="1" x14ac:dyDescent="0.3">
      <c r="A444" s="63"/>
      <c r="B444" s="76"/>
      <c r="C444" s="33"/>
      <c r="D444" s="88" t="s">
        <v>194</v>
      </c>
      <c r="E444" s="36" t="s">
        <v>148</v>
      </c>
      <c r="F444" s="36">
        <v>6</v>
      </c>
      <c r="G444" s="85" t="s">
        <v>198</v>
      </c>
      <c r="H444" s="36" t="s">
        <v>158</v>
      </c>
      <c r="I444" s="36">
        <v>3</v>
      </c>
      <c r="J444" s="85" t="s">
        <v>202</v>
      </c>
      <c r="K444" s="36" t="s">
        <v>203</v>
      </c>
      <c r="L444" s="36">
        <v>3</v>
      </c>
      <c r="M444" s="18"/>
      <c r="N444" s="13"/>
      <c r="O444" s="1">
        <v>1</v>
      </c>
      <c r="P444" s="1">
        <v>1</v>
      </c>
      <c r="Q444" s="1">
        <v>0</v>
      </c>
      <c r="R444" s="1">
        <v>3</v>
      </c>
      <c r="S444" s="14"/>
      <c r="T444" s="13"/>
      <c r="U444" s="24"/>
      <c r="AX444" s="14"/>
    </row>
    <row r="445" spans="1:50" ht="23" customHeight="1" thickBot="1" x14ac:dyDescent="0.35">
      <c r="A445" s="63"/>
      <c r="B445" s="76"/>
      <c r="C445" s="25"/>
      <c r="D445" s="86"/>
      <c r="E445" s="36" t="s">
        <v>195</v>
      </c>
      <c r="F445" s="36">
        <v>3</v>
      </c>
      <c r="G445" s="86"/>
      <c r="H445" s="36" t="s">
        <v>159</v>
      </c>
      <c r="I445" s="36">
        <v>2</v>
      </c>
      <c r="J445" s="86"/>
      <c r="K445" s="36" t="s">
        <v>166</v>
      </c>
      <c r="L445" s="36">
        <v>3</v>
      </c>
      <c r="M445" s="18"/>
      <c r="O445" s="1">
        <v>2</v>
      </c>
      <c r="P445" s="1">
        <v>2</v>
      </c>
      <c r="Q445" s="1">
        <v>2</v>
      </c>
      <c r="R445" s="1">
        <v>1</v>
      </c>
      <c r="S445" s="14"/>
      <c r="Z445" s="23" t="s">
        <v>194</v>
      </c>
      <c r="AK445" s="23" t="s">
        <v>198</v>
      </c>
      <c r="AT445" s="23" t="s">
        <v>202</v>
      </c>
      <c r="AX445" s="14"/>
    </row>
    <row r="446" spans="1:50" ht="25" customHeight="1" thickTop="1" thickBot="1" x14ac:dyDescent="0.35">
      <c r="A446" s="63"/>
      <c r="B446" s="76"/>
      <c r="C446" s="25"/>
      <c r="D446" s="86"/>
      <c r="E446" s="36" t="s">
        <v>196</v>
      </c>
      <c r="F446" s="36">
        <v>2</v>
      </c>
      <c r="G446" s="86"/>
      <c r="H446" s="36" t="s">
        <v>160</v>
      </c>
      <c r="I446" s="36">
        <v>2</v>
      </c>
      <c r="J446" s="86"/>
      <c r="K446" s="36" t="s">
        <v>167</v>
      </c>
      <c r="L446" s="36">
        <v>3</v>
      </c>
      <c r="M446" s="18"/>
      <c r="O446" s="1">
        <v>3</v>
      </c>
      <c r="P446" s="1">
        <v>1</v>
      </c>
      <c r="Q446" s="1">
        <v>1</v>
      </c>
      <c r="R446" s="1">
        <v>1</v>
      </c>
      <c r="S446" s="14"/>
      <c r="U446" s="7" t="s">
        <v>146</v>
      </c>
      <c r="V446" s="7" t="s">
        <v>147</v>
      </c>
      <c r="W446" s="7" t="s">
        <v>148</v>
      </c>
      <c r="X446" s="7" t="s">
        <v>149</v>
      </c>
      <c r="Y446" s="7" t="s">
        <v>150</v>
      </c>
      <c r="Z446" s="8" t="s">
        <v>151</v>
      </c>
      <c r="AA446" s="7" t="s">
        <v>152</v>
      </c>
      <c r="AB446" s="7" t="s">
        <v>153</v>
      </c>
      <c r="AC446" s="7" t="s">
        <v>154</v>
      </c>
      <c r="AD446" s="7" t="s">
        <v>155</v>
      </c>
      <c r="AE446" s="8" t="s">
        <v>156</v>
      </c>
      <c r="AF446" s="7" t="s">
        <v>157</v>
      </c>
      <c r="AH446" s="7" t="s">
        <v>146</v>
      </c>
      <c r="AI446" s="7" t="s">
        <v>147</v>
      </c>
      <c r="AJ446" s="7" t="s">
        <v>158</v>
      </c>
      <c r="AK446" s="7" t="s">
        <v>159</v>
      </c>
      <c r="AL446" s="7" t="s">
        <v>160</v>
      </c>
      <c r="AM446" s="7" t="s">
        <v>161</v>
      </c>
      <c r="AN446" s="7" t="s">
        <v>162</v>
      </c>
      <c r="AO446" s="7" t="s">
        <v>163</v>
      </c>
      <c r="AP446" s="7" t="s">
        <v>164</v>
      </c>
      <c r="AR446" s="7" t="s">
        <v>146</v>
      </c>
      <c r="AS446" s="7" t="s">
        <v>147</v>
      </c>
      <c r="AT446" s="7" t="s">
        <v>165</v>
      </c>
      <c r="AU446" s="7" t="s">
        <v>166</v>
      </c>
      <c r="AV446" s="7" t="s">
        <v>167</v>
      </c>
      <c r="AW446" s="7" t="s">
        <v>168</v>
      </c>
      <c r="AX446" s="14"/>
    </row>
    <row r="447" spans="1:50" ht="24" customHeight="1" thickTop="1" thickBot="1" x14ac:dyDescent="0.35">
      <c r="A447" s="63"/>
      <c r="B447" s="76"/>
      <c r="C447" s="25"/>
      <c r="D447" s="86"/>
      <c r="E447" s="1" t="s">
        <v>151</v>
      </c>
      <c r="F447" s="36">
        <v>2</v>
      </c>
      <c r="G447" s="86"/>
      <c r="H447" s="36" t="s">
        <v>199</v>
      </c>
      <c r="I447" s="36">
        <v>2</v>
      </c>
      <c r="J447" s="87"/>
      <c r="K447" s="38" t="s">
        <v>168</v>
      </c>
      <c r="L447" s="38">
        <v>3</v>
      </c>
      <c r="M447" s="18"/>
      <c r="O447" s="1">
        <v>4</v>
      </c>
      <c r="P447" s="1">
        <v>0</v>
      </c>
      <c r="Q447" s="1">
        <v>2</v>
      </c>
      <c r="R447" s="1">
        <v>0</v>
      </c>
      <c r="S447" s="14"/>
      <c r="U447" s="9" t="s">
        <v>171</v>
      </c>
      <c r="V447" s="10" t="s">
        <v>172</v>
      </c>
      <c r="W447" s="9">
        <v>7.58</v>
      </c>
      <c r="X447" s="9">
        <v>0.73</v>
      </c>
      <c r="Y447" s="9">
        <v>1.1399999999999999</v>
      </c>
      <c r="Z447" s="9">
        <v>0.61</v>
      </c>
      <c r="AA447" s="9">
        <v>2.5</v>
      </c>
      <c r="AB447" s="9">
        <v>0.87</v>
      </c>
      <c r="AC447" s="9">
        <v>0.94</v>
      </c>
      <c r="AD447" s="9">
        <v>1.1499999999999999</v>
      </c>
      <c r="AE447" s="9">
        <v>1.17</v>
      </c>
      <c r="AF447" s="9">
        <v>2.19</v>
      </c>
      <c r="AH447" s="9" t="s">
        <v>173</v>
      </c>
      <c r="AI447" s="10" t="s">
        <v>174</v>
      </c>
      <c r="AJ447" s="9">
        <v>6.33</v>
      </c>
      <c r="AK447" s="9">
        <v>6.79</v>
      </c>
      <c r="AL447" s="9">
        <v>3</v>
      </c>
      <c r="AM447" s="9">
        <v>6.91</v>
      </c>
      <c r="AN447" s="9">
        <v>1.79</v>
      </c>
      <c r="AO447" s="9">
        <v>7.25</v>
      </c>
      <c r="AP447" s="9">
        <v>5.33</v>
      </c>
      <c r="AR447" s="9" t="s">
        <v>175</v>
      </c>
      <c r="AS447" s="10" t="s">
        <v>176</v>
      </c>
      <c r="AT447" s="9">
        <v>2.68</v>
      </c>
      <c r="AU447" s="9">
        <v>1.1000000000000001</v>
      </c>
      <c r="AV447" s="9">
        <v>2.7</v>
      </c>
      <c r="AW447" s="9">
        <v>2</v>
      </c>
      <c r="AX447" s="14"/>
    </row>
    <row r="448" spans="1:50" ht="24" customHeight="1" thickTop="1" thickBot="1" x14ac:dyDescent="0.35">
      <c r="A448" s="63"/>
      <c r="B448" s="76"/>
      <c r="C448" s="25"/>
      <c r="D448" s="86"/>
      <c r="E448" s="36" t="s">
        <v>152</v>
      </c>
      <c r="F448" s="36">
        <v>2</v>
      </c>
      <c r="G448" s="86"/>
      <c r="H448" s="36" t="s">
        <v>200</v>
      </c>
      <c r="I448" s="36">
        <v>2</v>
      </c>
      <c r="J448" s="39"/>
      <c r="K448" s="39"/>
      <c r="L448" s="39"/>
      <c r="M448" s="18"/>
      <c r="O448" s="1">
        <v>5</v>
      </c>
      <c r="P448" s="1">
        <v>1</v>
      </c>
      <c r="Q448" s="1">
        <v>1</v>
      </c>
      <c r="R448" s="1">
        <v>1</v>
      </c>
      <c r="S448" s="14"/>
      <c r="U448" s="9" t="s">
        <v>179</v>
      </c>
      <c r="V448" s="10" t="s">
        <v>180</v>
      </c>
      <c r="W448" s="9">
        <v>8.32</v>
      </c>
      <c r="X448" s="9">
        <v>0.65</v>
      </c>
      <c r="Y448" s="9">
        <v>1.07</v>
      </c>
      <c r="Z448" s="9">
        <v>0.68</v>
      </c>
      <c r="AA448" s="9">
        <v>2.92</v>
      </c>
      <c r="AB448" s="9">
        <v>0.83</v>
      </c>
      <c r="AC448" s="9">
        <v>0.91</v>
      </c>
      <c r="AD448" s="9">
        <v>1</v>
      </c>
      <c r="AE448" s="9">
        <v>1.32</v>
      </c>
      <c r="AF448" s="9">
        <v>1.66</v>
      </c>
      <c r="AH448" s="11" t="s">
        <v>181</v>
      </c>
      <c r="AI448" s="12" t="s">
        <v>182</v>
      </c>
      <c r="AJ448" s="11">
        <v>6.84</v>
      </c>
      <c r="AK448" s="11">
        <v>7.35</v>
      </c>
      <c r="AL448" s="11">
        <v>3</v>
      </c>
      <c r="AM448" s="11">
        <v>7.57</v>
      </c>
      <c r="AN448" s="11">
        <v>2.29</v>
      </c>
      <c r="AO448" s="11">
        <v>8.57</v>
      </c>
      <c r="AP448" s="11">
        <v>5.85</v>
      </c>
      <c r="AR448" s="11" t="s">
        <v>183</v>
      </c>
      <c r="AS448" s="12" t="s">
        <v>184</v>
      </c>
      <c r="AT448" s="11">
        <v>3.36</v>
      </c>
      <c r="AU448" s="11">
        <v>1.07</v>
      </c>
      <c r="AV448" s="11">
        <v>2.2999999999999998</v>
      </c>
      <c r="AW448" s="11">
        <v>2</v>
      </c>
      <c r="AX448" s="14"/>
    </row>
    <row r="449" spans="1:50" ht="23.5" customHeight="1" thickTop="1" thickBot="1" x14ac:dyDescent="0.35">
      <c r="A449" s="63"/>
      <c r="B449" s="76"/>
      <c r="C449" s="25"/>
      <c r="D449" s="86"/>
      <c r="E449" s="36" t="s">
        <v>153</v>
      </c>
      <c r="F449" s="36">
        <v>2</v>
      </c>
      <c r="G449" s="86"/>
      <c r="H449" s="36" t="s">
        <v>201</v>
      </c>
      <c r="I449" s="36">
        <v>2</v>
      </c>
      <c r="J449" s="25"/>
      <c r="K449" s="25"/>
      <c r="L449" s="25"/>
      <c r="M449" s="18"/>
      <c r="O449" s="1">
        <v>6</v>
      </c>
      <c r="P449" s="1">
        <v>2</v>
      </c>
      <c r="Q449" s="1">
        <v>1</v>
      </c>
      <c r="R449" s="1">
        <v>1</v>
      </c>
      <c r="S449" s="14"/>
      <c r="U449" s="11" t="s">
        <v>187</v>
      </c>
      <c r="V449" s="12" t="s">
        <v>188</v>
      </c>
      <c r="W449" s="11">
        <v>9.19</v>
      </c>
      <c r="X449" s="11">
        <v>0.89</v>
      </c>
      <c r="Y449" s="11">
        <v>1.23</v>
      </c>
      <c r="Z449" s="11">
        <v>0.75</v>
      </c>
      <c r="AA449" s="11">
        <v>2.5</v>
      </c>
      <c r="AB449" s="11">
        <v>0.81</v>
      </c>
      <c r="AC449" s="11">
        <v>0.97</v>
      </c>
      <c r="AD449" s="11">
        <v>1.2</v>
      </c>
      <c r="AE449" s="11">
        <v>1.35</v>
      </c>
      <c r="AF449" s="11">
        <v>2.42</v>
      </c>
      <c r="AX449" s="14"/>
    </row>
    <row r="450" spans="1:50" ht="23.5" customHeight="1" thickTop="1" thickBot="1" x14ac:dyDescent="0.35">
      <c r="A450" s="63"/>
      <c r="B450" s="76"/>
      <c r="C450" s="25"/>
      <c r="D450" s="86"/>
      <c r="E450" s="1" t="s">
        <v>156</v>
      </c>
      <c r="F450" s="36">
        <v>2</v>
      </c>
      <c r="G450" s="87"/>
      <c r="H450" s="38" t="s">
        <v>164</v>
      </c>
      <c r="I450" s="38">
        <v>1</v>
      </c>
      <c r="J450" s="36"/>
      <c r="K450" s="25"/>
      <c r="L450" s="25"/>
      <c r="M450" s="18"/>
      <c r="O450" s="1">
        <v>7</v>
      </c>
      <c r="P450" s="1">
        <v>1</v>
      </c>
      <c r="Q450" s="1">
        <v>1</v>
      </c>
      <c r="R450" s="1">
        <v>1</v>
      </c>
      <c r="S450" s="14"/>
      <c r="U450" s="9"/>
      <c r="V450" s="10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X450" s="14"/>
    </row>
    <row r="451" spans="1:50" ht="23.5" customHeight="1" thickTop="1" thickBot="1" x14ac:dyDescent="0.35">
      <c r="A451" s="63"/>
      <c r="B451" s="76"/>
      <c r="C451" s="25"/>
      <c r="D451" s="87"/>
      <c r="E451" s="38" t="s">
        <v>197</v>
      </c>
      <c r="F451" s="38">
        <v>2</v>
      </c>
      <c r="G451" s="39"/>
      <c r="H451" s="39"/>
      <c r="I451" s="39"/>
      <c r="J451" s="36"/>
      <c r="K451" s="36"/>
      <c r="L451" s="25"/>
      <c r="M451" s="18"/>
      <c r="O451" s="1">
        <v>8</v>
      </c>
      <c r="P451" s="1">
        <v>2</v>
      </c>
      <c r="Q451" s="1">
        <v>1</v>
      </c>
      <c r="R451" s="1">
        <v>4</v>
      </c>
      <c r="S451" s="14"/>
      <c r="U451" s="9"/>
      <c r="V451" s="10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X451" s="14"/>
    </row>
    <row r="452" spans="1:50" ht="23" customHeight="1" thickTop="1" x14ac:dyDescent="0.3">
      <c r="A452" s="63"/>
      <c r="B452" s="76"/>
      <c r="C452" s="25"/>
      <c r="D452" s="39"/>
      <c r="E452" s="39"/>
      <c r="F452" s="39"/>
      <c r="G452" s="25"/>
      <c r="H452" s="25"/>
      <c r="I452" s="25"/>
      <c r="J452" s="25"/>
      <c r="K452" s="25"/>
      <c r="L452" s="25"/>
      <c r="M452" s="18"/>
      <c r="O452" s="1">
        <v>9</v>
      </c>
      <c r="P452" s="1">
        <v>2</v>
      </c>
      <c r="Q452" s="1">
        <v>3</v>
      </c>
      <c r="R452" s="1">
        <v>1</v>
      </c>
      <c r="S452" s="14"/>
      <c r="AX452" s="14"/>
    </row>
    <row r="453" spans="1:50" ht="23" customHeight="1" thickBot="1" x14ac:dyDescent="0.35">
      <c r="A453" s="63"/>
      <c r="B453" s="76"/>
      <c r="C453" s="25"/>
      <c r="D453" s="36"/>
      <c r="E453" s="36"/>
      <c r="F453" s="36"/>
      <c r="G453" s="25"/>
      <c r="H453" s="25"/>
      <c r="I453" s="25"/>
      <c r="J453" s="25"/>
      <c r="K453" s="25"/>
      <c r="L453" s="25"/>
      <c r="M453" s="18"/>
      <c r="O453" s="4">
        <v>10</v>
      </c>
      <c r="P453" s="4">
        <v>2</v>
      </c>
      <c r="Q453" s="4">
        <v>0</v>
      </c>
      <c r="R453" s="4">
        <v>2</v>
      </c>
      <c r="S453" s="14"/>
      <c r="AX453" s="14"/>
    </row>
    <row r="454" spans="1:50" ht="23.5" customHeight="1" thickTop="1" thickBot="1" x14ac:dyDescent="0.35">
      <c r="A454" s="63"/>
      <c r="B454" s="81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19"/>
      <c r="N454" s="15"/>
      <c r="O454" s="15"/>
      <c r="P454" s="15"/>
      <c r="Q454" s="15"/>
      <c r="R454" s="15"/>
      <c r="S454" s="16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6"/>
    </row>
    <row r="455" spans="1:50" ht="15" customHeight="1" thickTop="1" thickBot="1" x14ac:dyDescent="0.35">
      <c r="A455" s="63"/>
      <c r="B455" s="89" t="s">
        <v>137</v>
      </c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17"/>
      <c r="N455" s="24"/>
      <c r="O455" s="24"/>
      <c r="P455" s="24"/>
      <c r="Q455" s="24"/>
      <c r="R455" s="24"/>
      <c r="S455" s="17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17"/>
    </row>
    <row r="456" spans="1:50" ht="16" customHeight="1" thickTop="1" thickBot="1" x14ac:dyDescent="0.35">
      <c r="A456" s="63"/>
      <c r="B456" s="76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17"/>
      <c r="N456" s="24"/>
      <c r="O456" s="82" t="s">
        <v>205</v>
      </c>
      <c r="P456" s="82" t="s">
        <v>206</v>
      </c>
      <c r="Q456" s="83"/>
      <c r="R456" s="83"/>
      <c r="S456" s="17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17"/>
    </row>
    <row r="457" spans="1:50" ht="31" customHeight="1" thickTop="1" thickBot="1" x14ac:dyDescent="0.35">
      <c r="A457" s="63"/>
      <c r="B457" s="76"/>
      <c r="C457" s="24"/>
      <c r="D457" s="27" t="s">
        <v>191</v>
      </c>
      <c r="E457" s="27" t="s">
        <v>192</v>
      </c>
      <c r="F457" s="27" t="s">
        <v>193</v>
      </c>
      <c r="G457" s="27" t="s">
        <v>191</v>
      </c>
      <c r="H457" s="27" t="s">
        <v>192</v>
      </c>
      <c r="I457" s="27" t="s">
        <v>193</v>
      </c>
      <c r="J457" s="27" t="s">
        <v>191</v>
      </c>
      <c r="K457" s="27" t="s">
        <v>192</v>
      </c>
      <c r="L457" s="27" t="s">
        <v>193</v>
      </c>
      <c r="M457" s="17"/>
      <c r="N457" s="24"/>
      <c r="O457" s="84"/>
      <c r="P457" s="2" t="s">
        <v>178</v>
      </c>
      <c r="Q457" s="2" t="s">
        <v>186</v>
      </c>
      <c r="R457" s="2" t="s">
        <v>190</v>
      </c>
      <c r="S457" s="17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17"/>
    </row>
    <row r="458" spans="1:50" ht="23" customHeight="1" thickTop="1" x14ac:dyDescent="0.3">
      <c r="A458" s="63"/>
      <c r="B458" s="76"/>
      <c r="C458" s="33"/>
      <c r="D458" s="88" t="s">
        <v>194</v>
      </c>
      <c r="E458" s="36" t="s">
        <v>148</v>
      </c>
      <c r="F458" s="36">
        <v>6</v>
      </c>
      <c r="G458" s="85" t="s">
        <v>198</v>
      </c>
      <c r="H458" s="36" t="s">
        <v>158</v>
      </c>
      <c r="I458" s="36">
        <v>3</v>
      </c>
      <c r="J458" s="85" t="s">
        <v>202</v>
      </c>
      <c r="K458" s="36" t="s">
        <v>203</v>
      </c>
      <c r="L458" s="36">
        <v>3</v>
      </c>
      <c r="M458" s="18"/>
      <c r="N458" s="13"/>
      <c r="O458" s="1">
        <v>1</v>
      </c>
      <c r="P458" s="1">
        <v>1</v>
      </c>
      <c r="Q458" s="1">
        <v>1</v>
      </c>
      <c r="R458" s="1">
        <v>0</v>
      </c>
      <c r="S458" s="14"/>
      <c r="T458" s="13"/>
      <c r="U458" s="24"/>
      <c r="AX458" s="14"/>
    </row>
    <row r="459" spans="1:50" ht="23" customHeight="1" thickBot="1" x14ac:dyDescent="0.35">
      <c r="A459" s="63"/>
      <c r="B459" s="76"/>
      <c r="C459" s="25"/>
      <c r="D459" s="86"/>
      <c r="E459" s="36" t="s">
        <v>195</v>
      </c>
      <c r="F459" s="36">
        <v>3</v>
      </c>
      <c r="G459" s="86"/>
      <c r="H459" s="36" t="s">
        <v>159</v>
      </c>
      <c r="I459" s="36">
        <v>2</v>
      </c>
      <c r="J459" s="86"/>
      <c r="K459" s="36" t="s">
        <v>166</v>
      </c>
      <c r="L459" s="36">
        <v>3</v>
      </c>
      <c r="M459" s="18"/>
      <c r="O459" s="1">
        <v>2</v>
      </c>
      <c r="P459" s="1">
        <v>2</v>
      </c>
      <c r="Q459" s="1">
        <v>2</v>
      </c>
      <c r="R459" s="1">
        <v>0</v>
      </c>
      <c r="S459" s="14"/>
      <c r="Z459" s="23" t="s">
        <v>194</v>
      </c>
      <c r="AK459" s="23" t="s">
        <v>198</v>
      </c>
      <c r="AT459" s="23" t="s">
        <v>202</v>
      </c>
      <c r="AX459" s="14"/>
    </row>
    <row r="460" spans="1:50" ht="25" customHeight="1" thickTop="1" thickBot="1" x14ac:dyDescent="0.35">
      <c r="A460" s="63"/>
      <c r="B460" s="76"/>
      <c r="C460" s="25"/>
      <c r="D460" s="86"/>
      <c r="E460" s="36" t="s">
        <v>196</v>
      </c>
      <c r="F460" s="36">
        <v>2</v>
      </c>
      <c r="G460" s="86"/>
      <c r="H460" s="36" t="s">
        <v>160</v>
      </c>
      <c r="I460" s="36">
        <v>2</v>
      </c>
      <c r="J460" s="86"/>
      <c r="K460" s="36" t="s">
        <v>167</v>
      </c>
      <c r="L460" s="36">
        <v>3</v>
      </c>
      <c r="M460" s="18"/>
      <c r="O460" s="1">
        <v>3</v>
      </c>
      <c r="P460" s="1">
        <v>0</v>
      </c>
      <c r="Q460" s="1">
        <v>1</v>
      </c>
      <c r="R460" s="1">
        <v>1</v>
      </c>
      <c r="S460" s="14"/>
      <c r="U460" s="7" t="s">
        <v>146</v>
      </c>
      <c r="V460" s="7" t="s">
        <v>147</v>
      </c>
      <c r="W460" s="7" t="s">
        <v>148</v>
      </c>
      <c r="X460" s="7" t="s">
        <v>149</v>
      </c>
      <c r="Y460" s="7" t="s">
        <v>150</v>
      </c>
      <c r="Z460" s="8" t="s">
        <v>151</v>
      </c>
      <c r="AA460" s="7" t="s">
        <v>152</v>
      </c>
      <c r="AB460" s="7" t="s">
        <v>153</v>
      </c>
      <c r="AC460" s="7" t="s">
        <v>154</v>
      </c>
      <c r="AD460" s="7" t="s">
        <v>155</v>
      </c>
      <c r="AE460" s="8" t="s">
        <v>156</v>
      </c>
      <c r="AF460" s="7" t="s">
        <v>157</v>
      </c>
      <c r="AH460" s="7" t="s">
        <v>146</v>
      </c>
      <c r="AI460" s="7" t="s">
        <v>147</v>
      </c>
      <c r="AJ460" s="7" t="s">
        <v>158</v>
      </c>
      <c r="AK460" s="7" t="s">
        <v>159</v>
      </c>
      <c r="AL460" s="7" t="s">
        <v>160</v>
      </c>
      <c r="AM460" s="7" t="s">
        <v>161</v>
      </c>
      <c r="AN460" s="7" t="s">
        <v>162</v>
      </c>
      <c r="AO460" s="7" t="s">
        <v>163</v>
      </c>
      <c r="AP460" s="7" t="s">
        <v>164</v>
      </c>
      <c r="AR460" s="7" t="s">
        <v>146</v>
      </c>
      <c r="AS460" s="7" t="s">
        <v>147</v>
      </c>
      <c r="AT460" s="7" t="s">
        <v>165</v>
      </c>
      <c r="AU460" s="7" t="s">
        <v>166</v>
      </c>
      <c r="AV460" s="7" t="s">
        <v>167</v>
      </c>
      <c r="AW460" s="7" t="s">
        <v>168</v>
      </c>
      <c r="AX460" s="14"/>
    </row>
    <row r="461" spans="1:50" ht="24" customHeight="1" thickTop="1" thickBot="1" x14ac:dyDescent="0.35">
      <c r="A461" s="63"/>
      <c r="B461" s="76"/>
      <c r="C461" s="25"/>
      <c r="D461" s="86"/>
      <c r="E461" s="1" t="s">
        <v>151</v>
      </c>
      <c r="F461" s="36">
        <v>2</v>
      </c>
      <c r="G461" s="86"/>
      <c r="H461" s="36" t="s">
        <v>199</v>
      </c>
      <c r="I461" s="36">
        <v>2</v>
      </c>
      <c r="J461" s="87"/>
      <c r="K461" s="38" t="s">
        <v>168</v>
      </c>
      <c r="L461" s="38">
        <v>3</v>
      </c>
      <c r="M461" s="18"/>
      <c r="O461" s="1">
        <v>4</v>
      </c>
      <c r="P461" s="1">
        <v>1</v>
      </c>
      <c r="Q461" s="1">
        <v>2</v>
      </c>
      <c r="R461" s="1">
        <v>5</v>
      </c>
      <c r="S461" s="14"/>
      <c r="U461" s="9" t="s">
        <v>171</v>
      </c>
      <c r="V461" s="10" t="s">
        <v>172</v>
      </c>
      <c r="W461" s="9">
        <v>7.88</v>
      </c>
      <c r="X461" s="9">
        <v>0.82</v>
      </c>
      <c r="Y461" s="9">
        <v>1.1599999999999999</v>
      </c>
      <c r="Z461" s="9">
        <v>0.65</v>
      </c>
      <c r="AA461" s="9">
        <v>2.79</v>
      </c>
      <c r="AB461" s="9">
        <v>0.85</v>
      </c>
      <c r="AC461" s="9">
        <v>0.96</v>
      </c>
      <c r="AD461" s="9">
        <v>1.03</v>
      </c>
      <c r="AE461" s="9">
        <v>1.08</v>
      </c>
      <c r="AF461" s="9">
        <v>1.87</v>
      </c>
      <c r="AH461" s="9" t="s">
        <v>173</v>
      </c>
      <c r="AI461" s="10" t="s">
        <v>174</v>
      </c>
      <c r="AJ461" s="9">
        <v>6.13</v>
      </c>
      <c r="AK461" s="9">
        <v>6.51</v>
      </c>
      <c r="AL461" s="9">
        <v>3</v>
      </c>
      <c r="AM461" s="9">
        <v>6.09</v>
      </c>
      <c r="AN461" s="9">
        <v>1.51</v>
      </c>
      <c r="AO461" s="9">
        <v>7.06</v>
      </c>
      <c r="AP461" s="9">
        <v>5.03</v>
      </c>
      <c r="AR461" s="9" t="s">
        <v>175</v>
      </c>
      <c r="AS461" s="10" t="s">
        <v>176</v>
      </c>
      <c r="AT461" s="9">
        <v>3.03</v>
      </c>
      <c r="AU461" s="9">
        <v>1.21</v>
      </c>
      <c r="AV461" s="9">
        <v>2.2000000000000002</v>
      </c>
      <c r="AW461" s="9">
        <v>2</v>
      </c>
      <c r="AX461" s="14"/>
    </row>
    <row r="462" spans="1:50" ht="24" customHeight="1" thickTop="1" thickBot="1" x14ac:dyDescent="0.35">
      <c r="A462" s="63"/>
      <c r="B462" s="76"/>
      <c r="C462" s="25"/>
      <c r="D462" s="86"/>
      <c r="E462" s="36" t="s">
        <v>152</v>
      </c>
      <c r="F462" s="36">
        <v>2</v>
      </c>
      <c r="G462" s="86"/>
      <c r="H462" s="36" t="s">
        <v>200</v>
      </c>
      <c r="I462" s="36">
        <v>2</v>
      </c>
      <c r="J462" s="39"/>
      <c r="K462" s="39"/>
      <c r="L462" s="39"/>
      <c r="M462" s="18"/>
      <c r="O462" s="1">
        <v>5</v>
      </c>
      <c r="P462" s="1">
        <v>1</v>
      </c>
      <c r="Q462" s="1">
        <v>1</v>
      </c>
      <c r="R462" s="1">
        <v>1</v>
      </c>
      <c r="S462" s="14"/>
      <c r="U462" s="9" t="s">
        <v>179</v>
      </c>
      <c r="V462" s="10" t="s">
        <v>180</v>
      </c>
      <c r="W462" s="9">
        <v>8.2799999999999994</v>
      </c>
      <c r="X462" s="9">
        <v>0.75</v>
      </c>
      <c r="Y462" s="9">
        <v>1.02</v>
      </c>
      <c r="Z462" s="9">
        <v>0.59</v>
      </c>
      <c r="AA462" s="9">
        <v>2.5</v>
      </c>
      <c r="AB462" s="9">
        <v>0.89</v>
      </c>
      <c r="AC462" s="9">
        <v>0.99</v>
      </c>
      <c r="AD462" s="9">
        <v>1.18</v>
      </c>
      <c r="AE462" s="9">
        <v>1.22</v>
      </c>
      <c r="AF462" s="9">
        <v>2.31</v>
      </c>
      <c r="AH462" s="11" t="s">
        <v>181</v>
      </c>
      <c r="AI462" s="12" t="s">
        <v>182</v>
      </c>
      <c r="AJ462" s="11">
        <v>6.98</v>
      </c>
      <c r="AK462" s="11">
        <v>7.49</v>
      </c>
      <c r="AL462" s="11">
        <v>3</v>
      </c>
      <c r="AM462" s="11">
        <v>7.97</v>
      </c>
      <c r="AN462" s="11">
        <v>2.4900000000000002</v>
      </c>
      <c r="AO462" s="11">
        <v>8.9499999999999993</v>
      </c>
      <c r="AP462" s="11">
        <v>5.98</v>
      </c>
      <c r="AR462" s="11" t="s">
        <v>183</v>
      </c>
      <c r="AS462" s="12" t="s">
        <v>184</v>
      </c>
      <c r="AT462" s="11">
        <v>2.85</v>
      </c>
      <c r="AU462" s="11">
        <v>1.05</v>
      </c>
      <c r="AV462" s="11">
        <v>2.85</v>
      </c>
      <c r="AW462" s="11">
        <v>2</v>
      </c>
      <c r="AX462" s="14"/>
    </row>
    <row r="463" spans="1:50" ht="23.5" customHeight="1" thickTop="1" thickBot="1" x14ac:dyDescent="0.35">
      <c r="A463" s="63"/>
      <c r="B463" s="76"/>
      <c r="C463" s="25"/>
      <c r="D463" s="86"/>
      <c r="E463" s="36" t="s">
        <v>153</v>
      </c>
      <c r="F463" s="36">
        <v>2</v>
      </c>
      <c r="G463" s="86"/>
      <c r="H463" s="36" t="s">
        <v>201</v>
      </c>
      <c r="I463" s="36">
        <v>2</v>
      </c>
      <c r="J463" s="25"/>
      <c r="K463" s="25"/>
      <c r="L463" s="25"/>
      <c r="M463" s="18"/>
      <c r="O463" s="1">
        <v>6</v>
      </c>
      <c r="P463" s="1">
        <v>2</v>
      </c>
      <c r="Q463" s="1">
        <v>1</v>
      </c>
      <c r="R463" s="1">
        <v>1</v>
      </c>
      <c r="S463" s="14"/>
      <c r="U463" s="11" t="s">
        <v>187</v>
      </c>
      <c r="V463" s="12" t="s">
        <v>188</v>
      </c>
      <c r="W463" s="11">
        <v>9.06</v>
      </c>
      <c r="X463" s="11">
        <v>0.67</v>
      </c>
      <c r="Y463" s="11">
        <v>1.25</v>
      </c>
      <c r="Z463" s="11">
        <v>0.71</v>
      </c>
      <c r="AA463" s="11">
        <v>2.63</v>
      </c>
      <c r="AB463" s="11">
        <v>0.82</v>
      </c>
      <c r="AC463" s="11">
        <v>0.93</v>
      </c>
      <c r="AD463" s="11">
        <v>1.1499999999999999</v>
      </c>
      <c r="AE463" s="11">
        <v>1.38</v>
      </c>
      <c r="AF463" s="11">
        <v>1.73</v>
      </c>
      <c r="AX463" s="14"/>
    </row>
    <row r="464" spans="1:50" ht="23.5" customHeight="1" thickTop="1" thickBot="1" x14ac:dyDescent="0.35">
      <c r="A464" s="63"/>
      <c r="B464" s="76"/>
      <c r="C464" s="25"/>
      <c r="D464" s="86"/>
      <c r="E464" s="1" t="s">
        <v>156</v>
      </c>
      <c r="F464" s="36">
        <v>2</v>
      </c>
      <c r="G464" s="87"/>
      <c r="H464" s="38" t="s">
        <v>164</v>
      </c>
      <c r="I464" s="38">
        <v>1</v>
      </c>
      <c r="J464" s="36"/>
      <c r="K464" s="25"/>
      <c r="L464" s="25"/>
      <c r="M464" s="18"/>
      <c r="O464" s="1">
        <v>7</v>
      </c>
      <c r="P464" s="1">
        <v>1</v>
      </c>
      <c r="Q464" s="1">
        <v>1</v>
      </c>
      <c r="R464" s="1">
        <v>1</v>
      </c>
      <c r="S464" s="14"/>
      <c r="U464" s="9"/>
      <c r="V464" s="10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X464" s="14"/>
    </row>
    <row r="465" spans="1:50" ht="23.5" customHeight="1" thickTop="1" thickBot="1" x14ac:dyDescent="0.35">
      <c r="A465" s="63"/>
      <c r="B465" s="76"/>
      <c r="C465" s="25"/>
      <c r="D465" s="87"/>
      <c r="E465" s="38" t="s">
        <v>197</v>
      </c>
      <c r="F465" s="38">
        <v>2</v>
      </c>
      <c r="G465" s="39"/>
      <c r="H465" s="39"/>
      <c r="I465" s="39"/>
      <c r="J465" s="36"/>
      <c r="K465" s="36"/>
      <c r="L465" s="25"/>
      <c r="M465" s="18"/>
      <c r="O465" s="1">
        <v>8</v>
      </c>
      <c r="P465" s="1">
        <v>1</v>
      </c>
      <c r="Q465" s="1">
        <v>3</v>
      </c>
      <c r="R465" s="1">
        <v>1</v>
      </c>
      <c r="S465" s="14"/>
      <c r="U465" s="9"/>
      <c r="V465" s="10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X465" s="14"/>
    </row>
    <row r="466" spans="1:50" ht="23" customHeight="1" thickTop="1" x14ac:dyDescent="0.3">
      <c r="A466" s="63"/>
      <c r="B466" s="76"/>
      <c r="C466" s="25"/>
      <c r="D466" s="39"/>
      <c r="E466" s="39"/>
      <c r="F466" s="39"/>
      <c r="G466" s="25"/>
      <c r="H466" s="25"/>
      <c r="I466" s="25"/>
      <c r="J466" s="25"/>
      <c r="K466" s="25"/>
      <c r="L466" s="25"/>
      <c r="M466" s="18"/>
      <c r="O466" s="1">
        <v>9</v>
      </c>
      <c r="P466" s="1">
        <v>3</v>
      </c>
      <c r="Q466" s="1">
        <v>2</v>
      </c>
      <c r="R466" s="1">
        <v>1</v>
      </c>
      <c r="S466" s="14"/>
      <c r="AX466" s="14"/>
    </row>
    <row r="467" spans="1:50" ht="23" customHeight="1" thickBot="1" x14ac:dyDescent="0.35">
      <c r="A467" s="63"/>
      <c r="B467" s="76"/>
      <c r="C467" s="25"/>
      <c r="D467" s="36"/>
      <c r="E467" s="36"/>
      <c r="F467" s="36"/>
      <c r="G467" s="25"/>
      <c r="H467" s="25"/>
      <c r="I467" s="25"/>
      <c r="J467" s="25"/>
      <c r="K467" s="25"/>
      <c r="L467" s="25"/>
      <c r="M467" s="18"/>
      <c r="O467" s="4">
        <v>10</v>
      </c>
      <c r="P467" s="4">
        <v>2</v>
      </c>
      <c r="Q467" s="4">
        <v>1</v>
      </c>
      <c r="R467" s="4">
        <v>2</v>
      </c>
      <c r="S467" s="14"/>
      <c r="AX467" s="14"/>
    </row>
    <row r="468" spans="1:50" ht="23.5" customHeight="1" thickTop="1" thickBot="1" x14ac:dyDescent="0.35">
      <c r="A468" s="63"/>
      <c r="B468" s="81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19"/>
      <c r="N468" s="15"/>
      <c r="O468" s="15"/>
      <c r="P468" s="15"/>
      <c r="Q468" s="15"/>
      <c r="R468" s="15"/>
      <c r="S468" s="16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6"/>
    </row>
    <row r="469" spans="1:50" ht="15" customHeight="1" thickTop="1" thickBot="1" x14ac:dyDescent="0.35">
      <c r="A469" s="98">
        <v>5</v>
      </c>
      <c r="B469" s="89" t="s">
        <v>138</v>
      </c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17"/>
      <c r="N469" s="24"/>
      <c r="O469" s="24"/>
      <c r="P469" s="24"/>
      <c r="Q469" s="24"/>
      <c r="R469" s="24"/>
      <c r="S469" s="17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17"/>
    </row>
    <row r="470" spans="1:50" ht="16" customHeight="1" thickTop="1" thickBot="1" x14ac:dyDescent="0.35">
      <c r="A470" s="63"/>
      <c r="B470" s="76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17"/>
      <c r="N470" s="24"/>
      <c r="O470" s="82" t="s">
        <v>205</v>
      </c>
      <c r="P470" s="82" t="s">
        <v>206</v>
      </c>
      <c r="Q470" s="83"/>
      <c r="R470" s="83"/>
      <c r="S470" s="17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17"/>
    </row>
    <row r="471" spans="1:50" ht="31" customHeight="1" thickTop="1" thickBot="1" x14ac:dyDescent="0.35">
      <c r="A471" s="63"/>
      <c r="B471" s="76"/>
      <c r="C471" s="24"/>
      <c r="D471" s="27" t="s">
        <v>191</v>
      </c>
      <c r="E471" s="27" t="s">
        <v>192</v>
      </c>
      <c r="F471" s="27" t="s">
        <v>193</v>
      </c>
      <c r="G471" s="27" t="s">
        <v>191</v>
      </c>
      <c r="H471" s="27" t="s">
        <v>192</v>
      </c>
      <c r="I471" s="27" t="s">
        <v>193</v>
      </c>
      <c r="J471" s="27" t="s">
        <v>191</v>
      </c>
      <c r="K471" s="27" t="s">
        <v>192</v>
      </c>
      <c r="L471" s="27" t="s">
        <v>193</v>
      </c>
      <c r="M471" s="17"/>
      <c r="N471" s="24"/>
      <c r="O471" s="84"/>
      <c r="P471" s="2" t="s">
        <v>178</v>
      </c>
      <c r="Q471" s="2" t="s">
        <v>186</v>
      </c>
      <c r="R471" s="2" t="s">
        <v>190</v>
      </c>
      <c r="S471" s="17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17"/>
    </row>
    <row r="472" spans="1:50" ht="23" customHeight="1" thickTop="1" x14ac:dyDescent="0.3">
      <c r="A472" s="63"/>
      <c r="B472" s="76"/>
      <c r="C472" s="33"/>
      <c r="D472" s="88" t="s">
        <v>194</v>
      </c>
      <c r="E472" s="36" t="s">
        <v>148</v>
      </c>
      <c r="F472" s="36">
        <v>5</v>
      </c>
      <c r="G472" s="85" t="s">
        <v>198</v>
      </c>
      <c r="H472" s="36" t="s">
        <v>158</v>
      </c>
      <c r="I472" s="36">
        <v>2</v>
      </c>
      <c r="J472" s="85" t="s">
        <v>202</v>
      </c>
      <c r="K472" s="36" t="s">
        <v>203</v>
      </c>
      <c r="L472" s="36">
        <v>3</v>
      </c>
      <c r="M472" s="18"/>
      <c r="N472" s="13"/>
      <c r="O472" s="1">
        <v>1</v>
      </c>
      <c r="P472" s="1">
        <v>1</v>
      </c>
      <c r="Q472" s="1">
        <v>1</v>
      </c>
      <c r="R472" s="1">
        <v>0</v>
      </c>
      <c r="S472" s="14"/>
      <c r="T472" s="13"/>
      <c r="U472" s="24"/>
      <c r="AX472" s="14"/>
    </row>
    <row r="473" spans="1:50" ht="23" customHeight="1" thickBot="1" x14ac:dyDescent="0.35">
      <c r="A473" s="63"/>
      <c r="B473" s="76"/>
      <c r="C473" s="25"/>
      <c r="D473" s="86"/>
      <c r="E473" s="36" t="s">
        <v>195</v>
      </c>
      <c r="F473" s="36">
        <v>2</v>
      </c>
      <c r="G473" s="86"/>
      <c r="H473" s="36" t="s">
        <v>159</v>
      </c>
      <c r="I473" s="36">
        <v>2</v>
      </c>
      <c r="J473" s="86"/>
      <c r="K473" s="36" t="s">
        <v>166</v>
      </c>
      <c r="L473" s="36">
        <v>3</v>
      </c>
      <c r="M473" s="18"/>
      <c r="O473" s="1">
        <v>2</v>
      </c>
      <c r="P473" s="1">
        <v>2</v>
      </c>
      <c r="Q473" s="1">
        <v>2</v>
      </c>
      <c r="R473" s="1">
        <v>1</v>
      </c>
      <c r="S473" s="14"/>
      <c r="Z473" s="23" t="s">
        <v>194</v>
      </c>
      <c r="AK473" s="23" t="s">
        <v>198</v>
      </c>
      <c r="AT473" s="23" t="s">
        <v>202</v>
      </c>
      <c r="AX473" s="14"/>
    </row>
    <row r="474" spans="1:50" ht="25" customHeight="1" thickTop="1" thickBot="1" x14ac:dyDescent="0.35">
      <c r="A474" s="63"/>
      <c r="B474" s="76"/>
      <c r="C474" s="25"/>
      <c r="D474" s="86"/>
      <c r="E474" s="36" t="s">
        <v>196</v>
      </c>
      <c r="F474" s="36">
        <v>2</v>
      </c>
      <c r="G474" s="86"/>
      <c r="H474" s="36" t="s">
        <v>160</v>
      </c>
      <c r="I474" s="36">
        <v>2</v>
      </c>
      <c r="J474" s="86"/>
      <c r="K474" s="36" t="s">
        <v>167</v>
      </c>
      <c r="L474" s="36">
        <v>2</v>
      </c>
      <c r="M474" s="18"/>
      <c r="O474" s="1">
        <v>3</v>
      </c>
      <c r="P474" s="1">
        <v>0</v>
      </c>
      <c r="Q474" s="1">
        <v>1</v>
      </c>
      <c r="R474" s="1">
        <v>1</v>
      </c>
      <c r="S474" s="14"/>
      <c r="U474" s="7" t="s">
        <v>146</v>
      </c>
      <c r="V474" s="7" t="s">
        <v>147</v>
      </c>
      <c r="W474" s="7" t="s">
        <v>148</v>
      </c>
      <c r="X474" s="7" t="s">
        <v>149</v>
      </c>
      <c r="Y474" s="7" t="s">
        <v>150</v>
      </c>
      <c r="Z474" s="8" t="s">
        <v>151</v>
      </c>
      <c r="AA474" s="7" t="s">
        <v>152</v>
      </c>
      <c r="AB474" s="7" t="s">
        <v>153</v>
      </c>
      <c r="AC474" s="7" t="s">
        <v>154</v>
      </c>
      <c r="AD474" s="7" t="s">
        <v>155</v>
      </c>
      <c r="AE474" s="8" t="s">
        <v>156</v>
      </c>
      <c r="AF474" s="7" t="s">
        <v>157</v>
      </c>
      <c r="AH474" s="7" t="s">
        <v>146</v>
      </c>
      <c r="AI474" s="7" t="s">
        <v>147</v>
      </c>
      <c r="AJ474" s="7" t="s">
        <v>158</v>
      </c>
      <c r="AK474" s="7" t="s">
        <v>159</v>
      </c>
      <c r="AL474" s="7" t="s">
        <v>160</v>
      </c>
      <c r="AM474" s="7" t="s">
        <v>161</v>
      </c>
      <c r="AN474" s="7" t="s">
        <v>162</v>
      </c>
      <c r="AO474" s="7" t="s">
        <v>163</v>
      </c>
      <c r="AP474" s="7" t="s">
        <v>164</v>
      </c>
      <c r="AR474" s="7" t="s">
        <v>146</v>
      </c>
      <c r="AS474" s="7" t="s">
        <v>147</v>
      </c>
      <c r="AT474" s="7" t="s">
        <v>165</v>
      </c>
      <c r="AU474" s="7" t="s">
        <v>166</v>
      </c>
      <c r="AV474" s="7" t="s">
        <v>167</v>
      </c>
      <c r="AW474" s="7" t="s">
        <v>168</v>
      </c>
      <c r="AX474" s="14"/>
    </row>
    <row r="475" spans="1:50" ht="24" customHeight="1" thickTop="1" thickBot="1" x14ac:dyDescent="0.35">
      <c r="A475" s="63"/>
      <c r="B475" s="76"/>
      <c r="C475" s="25"/>
      <c r="D475" s="86"/>
      <c r="E475" s="1" t="s">
        <v>151</v>
      </c>
      <c r="F475" s="36">
        <v>2</v>
      </c>
      <c r="G475" s="86"/>
      <c r="H475" s="36" t="s">
        <v>199</v>
      </c>
      <c r="I475" s="36">
        <v>2</v>
      </c>
      <c r="J475" s="87"/>
      <c r="K475" s="38" t="s">
        <v>168</v>
      </c>
      <c r="L475" s="38">
        <v>2</v>
      </c>
      <c r="M475" s="18"/>
      <c r="O475" s="1">
        <v>4</v>
      </c>
      <c r="P475" s="1">
        <v>0</v>
      </c>
      <c r="Q475" s="1">
        <v>2</v>
      </c>
      <c r="R475" s="1">
        <v>0</v>
      </c>
      <c r="S475" s="14"/>
      <c r="U475" s="9" t="s">
        <v>171</v>
      </c>
      <c r="V475" s="10" t="s">
        <v>172</v>
      </c>
      <c r="W475" s="9">
        <v>7.11</v>
      </c>
      <c r="X475" s="9">
        <v>0.76</v>
      </c>
      <c r="Y475" s="9">
        <v>1.1000000000000001</v>
      </c>
      <c r="Z475" s="9">
        <v>0.67</v>
      </c>
      <c r="AA475" s="9">
        <v>2.5</v>
      </c>
      <c r="AB475" s="9">
        <v>0.84</v>
      </c>
      <c r="AC475" s="9">
        <v>0.98</v>
      </c>
      <c r="AD475" s="9">
        <v>1.1000000000000001</v>
      </c>
      <c r="AE475" s="9">
        <v>1.05</v>
      </c>
      <c r="AF475" s="9">
        <v>2.04</v>
      </c>
      <c r="AH475" s="9" t="s">
        <v>173</v>
      </c>
      <c r="AI475" s="10" t="s">
        <v>174</v>
      </c>
      <c r="AJ475" s="9">
        <v>6.6</v>
      </c>
      <c r="AK475" s="9">
        <v>6.86</v>
      </c>
      <c r="AL475" s="9">
        <v>3</v>
      </c>
      <c r="AM475" s="9">
        <v>6.48</v>
      </c>
      <c r="AN475" s="9">
        <v>1.86</v>
      </c>
      <c r="AO475" s="9">
        <v>7.69</v>
      </c>
      <c r="AP475" s="9">
        <v>5.47</v>
      </c>
      <c r="AR475" s="9" t="s">
        <v>175</v>
      </c>
      <c r="AS475" s="10" t="s">
        <v>176</v>
      </c>
      <c r="AT475" s="9">
        <v>3.31</v>
      </c>
      <c r="AU475" s="9">
        <v>1.1499999999999999</v>
      </c>
      <c r="AV475" s="9">
        <v>2.5499999999999998</v>
      </c>
      <c r="AW475" s="9">
        <v>2</v>
      </c>
      <c r="AX475" s="14"/>
    </row>
    <row r="476" spans="1:50" ht="24" customHeight="1" thickTop="1" thickBot="1" x14ac:dyDescent="0.35">
      <c r="A476" s="63"/>
      <c r="B476" s="76"/>
      <c r="C476" s="25"/>
      <c r="D476" s="86"/>
      <c r="E476" s="36" t="s">
        <v>152</v>
      </c>
      <c r="F476" s="36">
        <v>2</v>
      </c>
      <c r="G476" s="86"/>
      <c r="H476" s="36" t="s">
        <v>200</v>
      </c>
      <c r="I476" s="36">
        <v>2</v>
      </c>
      <c r="J476" s="39"/>
      <c r="K476" s="39"/>
      <c r="L476" s="39"/>
      <c r="M476" s="18"/>
      <c r="O476" s="1">
        <v>5</v>
      </c>
      <c r="P476" s="1">
        <v>1</v>
      </c>
      <c r="Q476" s="1">
        <v>1</v>
      </c>
      <c r="R476" s="1">
        <v>1</v>
      </c>
      <c r="S476" s="14"/>
      <c r="U476" s="9" t="s">
        <v>179</v>
      </c>
      <c r="V476" s="10" t="s">
        <v>180</v>
      </c>
      <c r="W476" s="9">
        <v>8.61</v>
      </c>
      <c r="X476" s="9">
        <v>0.9</v>
      </c>
      <c r="Y476" s="9">
        <v>1.04</v>
      </c>
      <c r="Z476" s="9">
        <v>0.75</v>
      </c>
      <c r="AA476" s="9">
        <v>2.88</v>
      </c>
      <c r="AB476" s="9">
        <v>0.8</v>
      </c>
      <c r="AC476" s="9">
        <v>0.92</v>
      </c>
      <c r="AD476" s="9">
        <v>1.07</v>
      </c>
      <c r="AE476" s="9">
        <v>1.1000000000000001</v>
      </c>
      <c r="AF476" s="9">
        <v>1.64</v>
      </c>
      <c r="AH476" s="11" t="s">
        <v>181</v>
      </c>
      <c r="AI476" s="12" t="s">
        <v>182</v>
      </c>
      <c r="AJ476" s="11">
        <v>6.75</v>
      </c>
      <c r="AK476" s="11">
        <v>7.24</v>
      </c>
      <c r="AL476" s="11">
        <v>3</v>
      </c>
      <c r="AM476" s="11">
        <v>7.28</v>
      </c>
      <c r="AN476" s="11">
        <v>2.1800000000000002</v>
      </c>
      <c r="AO476" s="11">
        <v>8.2799999999999994</v>
      </c>
      <c r="AP476" s="11">
        <v>5.65</v>
      </c>
      <c r="AR476" s="11" t="s">
        <v>183</v>
      </c>
      <c r="AS476" s="12" t="s">
        <v>184</v>
      </c>
      <c r="AT476" s="11">
        <v>2.5499999999999998</v>
      </c>
      <c r="AU476" s="11">
        <v>1.18</v>
      </c>
      <c r="AV476" s="11">
        <v>2.4</v>
      </c>
      <c r="AW476" s="11">
        <v>2</v>
      </c>
      <c r="AX476" s="14"/>
    </row>
    <row r="477" spans="1:50" ht="23.5" customHeight="1" thickTop="1" thickBot="1" x14ac:dyDescent="0.35">
      <c r="A477" s="63"/>
      <c r="B477" s="76"/>
      <c r="C477" s="25"/>
      <c r="D477" s="86"/>
      <c r="E477" s="36" t="s">
        <v>153</v>
      </c>
      <c r="F477" s="36">
        <v>2</v>
      </c>
      <c r="G477" s="86"/>
      <c r="H477" s="36" t="s">
        <v>201</v>
      </c>
      <c r="I477" s="36">
        <v>1</v>
      </c>
      <c r="J477" s="25"/>
      <c r="K477" s="25"/>
      <c r="L477" s="25"/>
      <c r="M477" s="18"/>
      <c r="O477" s="1">
        <v>6</v>
      </c>
      <c r="P477" s="1">
        <v>2</v>
      </c>
      <c r="Q477" s="1">
        <v>1</v>
      </c>
      <c r="R477" s="1">
        <v>1</v>
      </c>
      <c r="S477" s="14"/>
      <c r="U477" s="11" t="s">
        <v>187</v>
      </c>
      <c r="V477" s="12" t="s">
        <v>188</v>
      </c>
      <c r="W477" s="11">
        <v>9.24</v>
      </c>
      <c r="X477" s="11">
        <v>0.65</v>
      </c>
      <c r="Y477" s="11">
        <v>1.21</v>
      </c>
      <c r="Z477" s="11">
        <v>0.69</v>
      </c>
      <c r="AA477" s="11">
        <v>2.5</v>
      </c>
      <c r="AB477" s="11">
        <v>0.88</v>
      </c>
      <c r="AC477" s="11">
        <v>0.95</v>
      </c>
      <c r="AD477" s="11">
        <v>1.2</v>
      </c>
      <c r="AE477" s="11">
        <v>1.4</v>
      </c>
      <c r="AF477" s="11">
        <v>2.5</v>
      </c>
      <c r="AX477" s="14"/>
    </row>
    <row r="478" spans="1:50" ht="23.5" customHeight="1" thickTop="1" thickBot="1" x14ac:dyDescent="0.35">
      <c r="A478" s="63"/>
      <c r="B478" s="76"/>
      <c r="C478" s="25"/>
      <c r="D478" s="86"/>
      <c r="E478" s="1" t="s">
        <v>156</v>
      </c>
      <c r="F478" s="36">
        <v>2</v>
      </c>
      <c r="G478" s="87"/>
      <c r="H478" s="38" t="s">
        <v>164</v>
      </c>
      <c r="I478" s="38">
        <v>1</v>
      </c>
      <c r="J478" s="36"/>
      <c r="K478" s="25"/>
      <c r="L478" s="25"/>
      <c r="M478" s="18"/>
      <c r="O478" s="1">
        <v>7</v>
      </c>
      <c r="P478" s="1">
        <v>1</v>
      </c>
      <c r="Q478" s="1">
        <v>1</v>
      </c>
      <c r="R478" s="1">
        <v>1</v>
      </c>
      <c r="S478" s="14"/>
      <c r="U478" s="9"/>
      <c r="V478" s="10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X478" s="14"/>
    </row>
    <row r="479" spans="1:50" ht="23.5" customHeight="1" thickTop="1" thickBot="1" x14ac:dyDescent="0.35">
      <c r="A479" s="63"/>
      <c r="B479" s="76"/>
      <c r="C479" s="25"/>
      <c r="D479" s="87"/>
      <c r="E479" s="38" t="s">
        <v>197</v>
      </c>
      <c r="F479" s="38">
        <v>1</v>
      </c>
      <c r="G479" s="39"/>
      <c r="H479" s="39"/>
      <c r="I479" s="39"/>
      <c r="J479" s="36"/>
      <c r="K479" s="36"/>
      <c r="L479" s="25"/>
      <c r="M479" s="18"/>
      <c r="O479" s="1">
        <v>8</v>
      </c>
      <c r="P479" s="1">
        <v>1</v>
      </c>
      <c r="Q479" s="1">
        <v>1</v>
      </c>
      <c r="R479" s="1">
        <v>1</v>
      </c>
      <c r="S479" s="14"/>
      <c r="U479" s="9"/>
      <c r="V479" s="10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X479" s="14"/>
    </row>
    <row r="480" spans="1:50" ht="23" customHeight="1" thickTop="1" x14ac:dyDescent="0.3">
      <c r="A480" s="63"/>
      <c r="B480" s="76"/>
      <c r="C480" s="25"/>
      <c r="D480" s="39"/>
      <c r="E480" s="39"/>
      <c r="F480" s="39"/>
      <c r="G480" s="25"/>
      <c r="H480" s="25"/>
      <c r="I480" s="25"/>
      <c r="J480" s="25"/>
      <c r="K480" s="25"/>
      <c r="L480" s="25"/>
      <c r="M480" s="18"/>
      <c r="O480" s="1">
        <v>9</v>
      </c>
      <c r="P480" s="1">
        <v>1</v>
      </c>
      <c r="Q480" s="1">
        <v>1</v>
      </c>
      <c r="R480" s="1">
        <v>0</v>
      </c>
      <c r="S480" s="14"/>
      <c r="AX480" s="14"/>
    </row>
    <row r="481" spans="1:50" ht="23" customHeight="1" thickBot="1" x14ac:dyDescent="0.35">
      <c r="A481" s="63"/>
      <c r="B481" s="76"/>
      <c r="C481" s="25"/>
      <c r="D481" s="36"/>
      <c r="E481" s="36"/>
      <c r="F481" s="36"/>
      <c r="G481" s="25"/>
      <c r="H481" s="25"/>
      <c r="I481" s="25"/>
      <c r="J481" s="25"/>
      <c r="K481" s="25"/>
      <c r="L481" s="25"/>
      <c r="M481" s="18"/>
      <c r="O481" s="4">
        <v>10</v>
      </c>
      <c r="P481" s="4">
        <v>2</v>
      </c>
      <c r="Q481" s="4">
        <v>0</v>
      </c>
      <c r="R481" s="4">
        <v>2</v>
      </c>
      <c r="S481" s="14"/>
      <c r="AX481" s="14"/>
    </row>
    <row r="482" spans="1:50" ht="23.5" customHeight="1" thickTop="1" thickBot="1" x14ac:dyDescent="0.35">
      <c r="A482" s="63"/>
      <c r="B482" s="81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19"/>
      <c r="N482" s="15"/>
      <c r="O482" s="15"/>
      <c r="P482" s="15"/>
      <c r="Q482" s="15"/>
      <c r="R482" s="15"/>
      <c r="S482" s="16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6"/>
    </row>
    <row r="483" spans="1:50" ht="15" customHeight="1" thickTop="1" thickBot="1" x14ac:dyDescent="0.35">
      <c r="A483" s="63"/>
      <c r="B483" s="89" t="s">
        <v>139</v>
      </c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17"/>
      <c r="N483" s="24"/>
      <c r="O483" s="24"/>
      <c r="P483" s="24"/>
      <c r="Q483" s="24"/>
      <c r="R483" s="24"/>
      <c r="S483" s="17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17"/>
    </row>
    <row r="484" spans="1:50" ht="16" customHeight="1" thickTop="1" thickBot="1" x14ac:dyDescent="0.35">
      <c r="A484" s="63"/>
      <c r="B484" s="76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17"/>
      <c r="N484" s="24"/>
      <c r="O484" s="82" t="s">
        <v>205</v>
      </c>
      <c r="P484" s="82" t="s">
        <v>206</v>
      </c>
      <c r="Q484" s="83"/>
      <c r="R484" s="83"/>
      <c r="S484" s="17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17"/>
    </row>
    <row r="485" spans="1:50" ht="31" customHeight="1" thickTop="1" thickBot="1" x14ac:dyDescent="0.35">
      <c r="A485" s="63"/>
      <c r="B485" s="76"/>
      <c r="C485" s="24"/>
      <c r="D485" s="27" t="s">
        <v>191</v>
      </c>
      <c r="E485" s="27" t="s">
        <v>192</v>
      </c>
      <c r="F485" s="27" t="s">
        <v>193</v>
      </c>
      <c r="G485" s="27" t="s">
        <v>191</v>
      </c>
      <c r="H485" s="27" t="s">
        <v>192</v>
      </c>
      <c r="I485" s="27" t="s">
        <v>193</v>
      </c>
      <c r="J485" s="27" t="s">
        <v>191</v>
      </c>
      <c r="K485" s="27" t="s">
        <v>192</v>
      </c>
      <c r="L485" s="27" t="s">
        <v>193</v>
      </c>
      <c r="M485" s="17"/>
      <c r="N485" s="24"/>
      <c r="O485" s="84"/>
      <c r="P485" s="2" t="s">
        <v>178</v>
      </c>
      <c r="Q485" s="2" t="s">
        <v>186</v>
      </c>
      <c r="R485" s="2" t="s">
        <v>190</v>
      </c>
      <c r="S485" s="17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17"/>
    </row>
    <row r="486" spans="1:50" ht="23" customHeight="1" thickTop="1" x14ac:dyDescent="0.3">
      <c r="A486" s="63"/>
      <c r="B486" s="76"/>
      <c r="C486" s="33"/>
      <c r="D486" s="88" t="s">
        <v>194</v>
      </c>
      <c r="E486" s="36" t="s">
        <v>148</v>
      </c>
      <c r="F486" s="36">
        <v>5</v>
      </c>
      <c r="G486" s="85" t="s">
        <v>198</v>
      </c>
      <c r="H486" s="36" t="s">
        <v>158</v>
      </c>
      <c r="I486" s="36">
        <v>2</v>
      </c>
      <c r="J486" s="85" t="s">
        <v>202</v>
      </c>
      <c r="K486" s="36" t="s">
        <v>203</v>
      </c>
      <c r="L486" s="36">
        <v>3</v>
      </c>
      <c r="M486" s="18"/>
      <c r="N486" s="13"/>
      <c r="O486" s="1">
        <v>1</v>
      </c>
      <c r="P486" s="1">
        <v>1</v>
      </c>
      <c r="Q486" s="1">
        <v>0</v>
      </c>
      <c r="R486" s="1">
        <v>0</v>
      </c>
      <c r="S486" s="14"/>
      <c r="T486" s="13"/>
      <c r="U486" s="24"/>
      <c r="AX486" s="14"/>
    </row>
    <row r="487" spans="1:50" ht="23" customHeight="1" thickBot="1" x14ac:dyDescent="0.35">
      <c r="A487" s="63"/>
      <c r="B487" s="76"/>
      <c r="C487" s="25"/>
      <c r="D487" s="86"/>
      <c r="E487" s="36" t="s">
        <v>195</v>
      </c>
      <c r="F487" s="36">
        <v>2</v>
      </c>
      <c r="G487" s="86"/>
      <c r="H487" s="36" t="s">
        <v>159</v>
      </c>
      <c r="I487" s="36">
        <v>2</v>
      </c>
      <c r="J487" s="86"/>
      <c r="K487" s="36" t="s">
        <v>166</v>
      </c>
      <c r="L487" s="36">
        <v>3</v>
      </c>
      <c r="M487" s="18"/>
      <c r="O487" s="1">
        <v>2</v>
      </c>
      <c r="P487" s="1">
        <v>1</v>
      </c>
      <c r="Q487" s="1">
        <v>0</v>
      </c>
      <c r="R487" s="1">
        <v>1</v>
      </c>
      <c r="S487" s="14"/>
      <c r="Z487" s="23" t="s">
        <v>194</v>
      </c>
      <c r="AK487" s="23" t="s">
        <v>198</v>
      </c>
      <c r="AT487" s="23" t="s">
        <v>202</v>
      </c>
      <c r="AX487" s="14"/>
    </row>
    <row r="488" spans="1:50" ht="25" customHeight="1" thickTop="1" thickBot="1" x14ac:dyDescent="0.35">
      <c r="A488" s="63"/>
      <c r="B488" s="76"/>
      <c r="C488" s="25"/>
      <c r="D488" s="86"/>
      <c r="E488" s="36" t="s">
        <v>196</v>
      </c>
      <c r="F488" s="36">
        <v>2</v>
      </c>
      <c r="G488" s="86"/>
      <c r="H488" s="36" t="s">
        <v>160</v>
      </c>
      <c r="I488" s="36">
        <v>2</v>
      </c>
      <c r="J488" s="86"/>
      <c r="K488" s="36" t="s">
        <v>167</v>
      </c>
      <c r="L488" s="36">
        <v>2</v>
      </c>
      <c r="M488" s="18"/>
      <c r="O488" s="1">
        <v>3</v>
      </c>
      <c r="P488" s="1">
        <v>2</v>
      </c>
      <c r="Q488" s="1">
        <v>1</v>
      </c>
      <c r="R488" s="1">
        <v>1</v>
      </c>
      <c r="S488" s="14"/>
      <c r="U488" s="7" t="s">
        <v>146</v>
      </c>
      <c r="V488" s="7" t="s">
        <v>147</v>
      </c>
      <c r="W488" s="7" t="s">
        <v>148</v>
      </c>
      <c r="X488" s="7" t="s">
        <v>149</v>
      </c>
      <c r="Y488" s="7" t="s">
        <v>150</v>
      </c>
      <c r="Z488" s="8" t="s">
        <v>151</v>
      </c>
      <c r="AA488" s="7" t="s">
        <v>152</v>
      </c>
      <c r="AB488" s="7" t="s">
        <v>153</v>
      </c>
      <c r="AC488" s="7" t="s">
        <v>154</v>
      </c>
      <c r="AD488" s="7" t="s">
        <v>155</v>
      </c>
      <c r="AE488" s="8" t="s">
        <v>156</v>
      </c>
      <c r="AF488" s="7" t="s">
        <v>157</v>
      </c>
      <c r="AH488" s="7" t="s">
        <v>146</v>
      </c>
      <c r="AI488" s="7" t="s">
        <v>147</v>
      </c>
      <c r="AJ488" s="7" t="s">
        <v>158</v>
      </c>
      <c r="AK488" s="7" t="s">
        <v>159</v>
      </c>
      <c r="AL488" s="7" t="s">
        <v>160</v>
      </c>
      <c r="AM488" s="7" t="s">
        <v>161</v>
      </c>
      <c r="AN488" s="7" t="s">
        <v>162</v>
      </c>
      <c r="AO488" s="7" t="s">
        <v>163</v>
      </c>
      <c r="AP488" s="7" t="s">
        <v>164</v>
      </c>
      <c r="AR488" s="7" t="s">
        <v>146</v>
      </c>
      <c r="AS488" s="7" t="s">
        <v>147</v>
      </c>
      <c r="AT488" s="7" t="s">
        <v>165</v>
      </c>
      <c r="AU488" s="7" t="s">
        <v>166</v>
      </c>
      <c r="AV488" s="7" t="s">
        <v>167</v>
      </c>
      <c r="AW488" s="7" t="s">
        <v>168</v>
      </c>
      <c r="AX488" s="14"/>
    </row>
    <row r="489" spans="1:50" ht="24" customHeight="1" thickTop="1" thickBot="1" x14ac:dyDescent="0.35">
      <c r="A489" s="63"/>
      <c r="B489" s="76"/>
      <c r="C489" s="25"/>
      <c r="D489" s="86"/>
      <c r="E489" s="1" t="s">
        <v>151</v>
      </c>
      <c r="F489" s="36">
        <v>2</v>
      </c>
      <c r="G489" s="86"/>
      <c r="H489" s="36" t="s">
        <v>199</v>
      </c>
      <c r="I489" s="36">
        <v>2</v>
      </c>
      <c r="J489" s="87"/>
      <c r="K489" s="38" t="s">
        <v>168</v>
      </c>
      <c r="L489" s="38">
        <v>2</v>
      </c>
      <c r="M489" s="18"/>
      <c r="O489" s="1">
        <v>4</v>
      </c>
      <c r="P489" s="1">
        <v>3</v>
      </c>
      <c r="Q489" s="1">
        <v>2</v>
      </c>
      <c r="R489" s="1">
        <v>0</v>
      </c>
      <c r="S489" s="14"/>
      <c r="U489" s="9" t="s">
        <v>171</v>
      </c>
      <c r="V489" s="10" t="s">
        <v>172</v>
      </c>
      <c r="W489" s="9">
        <v>7.52</v>
      </c>
      <c r="X489" s="9">
        <v>0.78</v>
      </c>
      <c r="Y489" s="9">
        <v>1.19</v>
      </c>
      <c r="Z489" s="9">
        <v>0.63</v>
      </c>
      <c r="AA489" s="9">
        <v>2.64</v>
      </c>
      <c r="AB489" s="9">
        <v>0.87</v>
      </c>
      <c r="AC489" s="9">
        <v>0.93</v>
      </c>
      <c r="AD489" s="9">
        <v>1.1200000000000001</v>
      </c>
      <c r="AE489" s="9">
        <v>1.3</v>
      </c>
      <c r="AF489" s="9">
        <v>1.92</v>
      </c>
      <c r="AH489" s="9" t="s">
        <v>173</v>
      </c>
      <c r="AI489" s="10" t="s">
        <v>174</v>
      </c>
      <c r="AJ489" s="9">
        <v>6.2</v>
      </c>
      <c r="AK489" s="9">
        <v>6.69</v>
      </c>
      <c r="AL489" s="9">
        <v>3</v>
      </c>
      <c r="AM489" s="9">
        <v>6.95</v>
      </c>
      <c r="AN489" s="9">
        <v>1.69</v>
      </c>
      <c r="AO489" s="9">
        <v>7.38</v>
      </c>
      <c r="AP489" s="9">
        <v>5.2</v>
      </c>
      <c r="AR489" s="9" t="s">
        <v>175</v>
      </c>
      <c r="AS489" s="10" t="s">
        <v>176</v>
      </c>
      <c r="AT489" s="9">
        <v>2.78</v>
      </c>
      <c r="AU489" s="9">
        <v>1.06</v>
      </c>
      <c r="AV489" s="9">
        <v>2.9</v>
      </c>
      <c r="AW489" s="9">
        <v>2</v>
      </c>
      <c r="AX489" s="14"/>
    </row>
    <row r="490" spans="1:50" ht="24" customHeight="1" thickTop="1" thickBot="1" x14ac:dyDescent="0.35">
      <c r="A490" s="63"/>
      <c r="B490" s="76"/>
      <c r="C490" s="25"/>
      <c r="D490" s="86"/>
      <c r="E490" s="36" t="s">
        <v>152</v>
      </c>
      <c r="F490" s="36">
        <v>2</v>
      </c>
      <c r="G490" s="86"/>
      <c r="H490" s="36" t="s">
        <v>200</v>
      </c>
      <c r="I490" s="36">
        <v>2</v>
      </c>
      <c r="J490" s="39"/>
      <c r="K490" s="39"/>
      <c r="L490" s="39"/>
      <c r="M490" s="18"/>
      <c r="O490" s="1">
        <v>5</v>
      </c>
      <c r="P490" s="1">
        <v>0</v>
      </c>
      <c r="Q490" s="1">
        <v>1</v>
      </c>
      <c r="R490" s="1">
        <v>1</v>
      </c>
      <c r="S490" s="14"/>
      <c r="U490" s="9" t="s">
        <v>179</v>
      </c>
      <c r="V490" s="10" t="s">
        <v>180</v>
      </c>
      <c r="W490" s="9">
        <v>8.34</v>
      </c>
      <c r="X490" s="9">
        <v>0.69</v>
      </c>
      <c r="Y490" s="9">
        <v>1.01</v>
      </c>
      <c r="Z490" s="9">
        <v>0.61</v>
      </c>
      <c r="AA490" s="9">
        <v>2.5</v>
      </c>
      <c r="AB490" s="9">
        <v>0.83</v>
      </c>
      <c r="AC490" s="9">
        <v>0.97</v>
      </c>
      <c r="AD490" s="9">
        <v>1</v>
      </c>
      <c r="AE490" s="9">
        <v>1.25</v>
      </c>
      <c r="AF490" s="9">
        <v>2.2400000000000002</v>
      </c>
      <c r="AH490" s="11" t="s">
        <v>181</v>
      </c>
      <c r="AI490" s="12" t="s">
        <v>182</v>
      </c>
      <c r="AJ490" s="11">
        <v>6.89</v>
      </c>
      <c r="AK490" s="11">
        <v>7.37</v>
      </c>
      <c r="AL490" s="11">
        <v>3</v>
      </c>
      <c r="AM490" s="11">
        <v>7.79</v>
      </c>
      <c r="AN490" s="11">
        <v>2.39</v>
      </c>
      <c r="AO490" s="11">
        <v>8.77</v>
      </c>
      <c r="AP490" s="11">
        <v>5.79</v>
      </c>
      <c r="AR490" s="11" t="s">
        <v>183</v>
      </c>
      <c r="AS490" s="12" t="s">
        <v>184</v>
      </c>
      <c r="AT490" s="11">
        <v>3.22</v>
      </c>
      <c r="AU490" s="11">
        <v>1.23</v>
      </c>
      <c r="AV490" s="11">
        <v>2.15</v>
      </c>
      <c r="AW490" s="11">
        <v>2</v>
      </c>
      <c r="AX490" s="14"/>
    </row>
    <row r="491" spans="1:50" ht="23.5" customHeight="1" thickTop="1" thickBot="1" x14ac:dyDescent="0.35">
      <c r="A491" s="63"/>
      <c r="B491" s="76"/>
      <c r="C491" s="25"/>
      <c r="D491" s="86"/>
      <c r="E491" s="36" t="s">
        <v>153</v>
      </c>
      <c r="F491" s="36">
        <v>2</v>
      </c>
      <c r="G491" s="86"/>
      <c r="H491" s="36" t="s">
        <v>201</v>
      </c>
      <c r="I491" s="36">
        <v>1</v>
      </c>
      <c r="J491" s="25"/>
      <c r="K491" s="25"/>
      <c r="L491" s="25"/>
      <c r="M491" s="18"/>
      <c r="O491" s="1">
        <v>6</v>
      </c>
      <c r="P491" s="1">
        <v>2</v>
      </c>
      <c r="Q491" s="1">
        <v>1</v>
      </c>
      <c r="R491" s="1">
        <v>1</v>
      </c>
      <c r="S491" s="14"/>
      <c r="U491" s="11" t="s">
        <v>187</v>
      </c>
      <c r="V491" s="12" t="s">
        <v>188</v>
      </c>
      <c r="W491" s="11">
        <v>9.11</v>
      </c>
      <c r="X491" s="11">
        <v>0.85</v>
      </c>
      <c r="Y491" s="11">
        <v>1.25</v>
      </c>
      <c r="Z491" s="11">
        <v>0.75</v>
      </c>
      <c r="AA491" s="11">
        <v>2.99</v>
      </c>
      <c r="AB491" s="11">
        <v>0.81</v>
      </c>
      <c r="AC491" s="11">
        <v>0.91</v>
      </c>
      <c r="AD491" s="11">
        <v>1.2</v>
      </c>
      <c r="AE491" s="11">
        <v>1.35</v>
      </c>
      <c r="AF491" s="11">
        <v>1.5</v>
      </c>
      <c r="AX491" s="14"/>
    </row>
    <row r="492" spans="1:50" ht="23.5" customHeight="1" thickTop="1" thickBot="1" x14ac:dyDescent="0.35">
      <c r="A492" s="63"/>
      <c r="B492" s="76"/>
      <c r="C492" s="25"/>
      <c r="D492" s="86"/>
      <c r="E492" s="1" t="s">
        <v>156</v>
      </c>
      <c r="F492" s="36">
        <v>2</v>
      </c>
      <c r="G492" s="87"/>
      <c r="H492" s="38" t="s">
        <v>164</v>
      </c>
      <c r="I492" s="38">
        <v>1</v>
      </c>
      <c r="J492" s="36"/>
      <c r="K492" s="25"/>
      <c r="L492" s="25"/>
      <c r="M492" s="18"/>
      <c r="O492" s="1">
        <v>7</v>
      </c>
      <c r="P492" s="1">
        <v>1</v>
      </c>
      <c r="Q492" s="1">
        <v>1</v>
      </c>
      <c r="R492" s="1">
        <v>1</v>
      </c>
      <c r="S492" s="14"/>
      <c r="U492" s="9"/>
      <c r="V492" s="10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X492" s="14"/>
    </row>
    <row r="493" spans="1:50" ht="23.5" customHeight="1" thickTop="1" thickBot="1" x14ac:dyDescent="0.35">
      <c r="A493" s="63"/>
      <c r="B493" s="76"/>
      <c r="C493" s="25"/>
      <c r="D493" s="87"/>
      <c r="E493" s="38" t="s">
        <v>197</v>
      </c>
      <c r="F493" s="38">
        <v>1</v>
      </c>
      <c r="G493" s="39"/>
      <c r="H493" s="39"/>
      <c r="I493" s="39"/>
      <c r="J493" s="36"/>
      <c r="K493" s="36"/>
      <c r="L493" s="25"/>
      <c r="M493" s="18"/>
      <c r="O493" s="1">
        <v>8</v>
      </c>
      <c r="P493" s="1">
        <v>0</v>
      </c>
      <c r="Q493" s="1">
        <v>0</v>
      </c>
      <c r="R493" s="1">
        <v>3</v>
      </c>
      <c r="S493" s="14"/>
      <c r="U493" s="9"/>
      <c r="V493" s="10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X493" s="14"/>
    </row>
    <row r="494" spans="1:50" ht="23" customHeight="1" thickTop="1" x14ac:dyDescent="0.3">
      <c r="A494" s="63"/>
      <c r="B494" s="76"/>
      <c r="C494" s="25"/>
      <c r="D494" s="39"/>
      <c r="E494" s="39"/>
      <c r="F494" s="39"/>
      <c r="G494" s="25"/>
      <c r="H494" s="25"/>
      <c r="I494" s="25"/>
      <c r="J494" s="25"/>
      <c r="K494" s="25"/>
      <c r="L494" s="25"/>
      <c r="M494" s="18"/>
      <c r="O494" s="1">
        <v>9</v>
      </c>
      <c r="P494" s="1">
        <v>0</v>
      </c>
      <c r="Q494" s="1">
        <v>4</v>
      </c>
      <c r="R494" s="1">
        <v>1</v>
      </c>
      <c r="S494" s="14"/>
      <c r="AX494" s="14"/>
    </row>
    <row r="495" spans="1:50" ht="23" customHeight="1" thickBot="1" x14ac:dyDescent="0.35">
      <c r="A495" s="63"/>
      <c r="B495" s="76"/>
      <c r="C495" s="25"/>
      <c r="D495" s="36"/>
      <c r="E495" s="36"/>
      <c r="F495" s="36"/>
      <c r="G495" s="25"/>
      <c r="H495" s="25"/>
      <c r="I495" s="25"/>
      <c r="J495" s="25"/>
      <c r="K495" s="25"/>
      <c r="L495" s="25"/>
      <c r="M495" s="18"/>
      <c r="O495" s="4">
        <v>10</v>
      </c>
      <c r="P495" s="4">
        <v>2</v>
      </c>
      <c r="Q495" s="4">
        <v>0</v>
      </c>
      <c r="R495" s="4">
        <v>2</v>
      </c>
      <c r="S495" s="14"/>
      <c r="AX495" s="14"/>
    </row>
    <row r="496" spans="1:50" ht="23.5" customHeight="1" thickTop="1" thickBot="1" x14ac:dyDescent="0.35">
      <c r="A496" s="63"/>
      <c r="B496" s="81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19"/>
      <c r="N496" s="15"/>
      <c r="O496" s="15"/>
      <c r="P496" s="15"/>
      <c r="Q496" s="15"/>
      <c r="R496" s="15"/>
      <c r="S496" s="16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6"/>
    </row>
    <row r="497" spans="1:50" ht="15" customHeight="1" thickTop="1" thickBot="1" x14ac:dyDescent="0.35">
      <c r="A497" s="63"/>
      <c r="B497" s="89" t="s">
        <v>140</v>
      </c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17"/>
      <c r="N497" s="24"/>
      <c r="O497" s="24"/>
      <c r="P497" s="24"/>
      <c r="Q497" s="24"/>
      <c r="R497" s="24"/>
      <c r="S497" s="17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17"/>
    </row>
    <row r="498" spans="1:50" ht="16" customHeight="1" thickTop="1" thickBot="1" x14ac:dyDescent="0.35">
      <c r="A498" s="63"/>
      <c r="B498" s="76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17"/>
      <c r="N498" s="24"/>
      <c r="O498" s="82" t="s">
        <v>205</v>
      </c>
      <c r="P498" s="82" t="s">
        <v>206</v>
      </c>
      <c r="Q498" s="83"/>
      <c r="R498" s="83"/>
      <c r="S498" s="17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17"/>
    </row>
    <row r="499" spans="1:50" ht="31" customHeight="1" thickTop="1" thickBot="1" x14ac:dyDescent="0.35">
      <c r="A499" s="63"/>
      <c r="B499" s="76"/>
      <c r="C499" s="24"/>
      <c r="D499" s="27" t="s">
        <v>191</v>
      </c>
      <c r="E499" s="27" t="s">
        <v>192</v>
      </c>
      <c r="F499" s="27" t="s">
        <v>193</v>
      </c>
      <c r="G499" s="27" t="s">
        <v>191</v>
      </c>
      <c r="H499" s="27" t="s">
        <v>192</v>
      </c>
      <c r="I499" s="27" t="s">
        <v>193</v>
      </c>
      <c r="J499" s="27" t="s">
        <v>191</v>
      </c>
      <c r="K499" s="27" t="s">
        <v>192</v>
      </c>
      <c r="L499" s="27" t="s">
        <v>193</v>
      </c>
      <c r="M499" s="17"/>
      <c r="N499" s="24"/>
      <c r="O499" s="84"/>
      <c r="P499" s="2" t="s">
        <v>178</v>
      </c>
      <c r="Q499" s="2" t="s">
        <v>186</v>
      </c>
      <c r="R499" s="2" t="s">
        <v>190</v>
      </c>
      <c r="S499" s="17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17"/>
    </row>
    <row r="500" spans="1:50" ht="23" customHeight="1" thickTop="1" x14ac:dyDescent="0.3">
      <c r="A500" s="63"/>
      <c r="B500" s="76"/>
      <c r="C500" s="33"/>
      <c r="D500" s="88" t="s">
        <v>194</v>
      </c>
      <c r="E500" s="36" t="s">
        <v>148</v>
      </c>
      <c r="F500" s="36">
        <v>5</v>
      </c>
      <c r="G500" s="85" t="s">
        <v>198</v>
      </c>
      <c r="H500" s="36" t="s">
        <v>158</v>
      </c>
      <c r="I500" s="36">
        <v>2</v>
      </c>
      <c r="J500" s="85" t="s">
        <v>202</v>
      </c>
      <c r="K500" s="36" t="s">
        <v>203</v>
      </c>
      <c r="L500" s="36">
        <v>3</v>
      </c>
      <c r="M500" s="18"/>
      <c r="N500" s="13"/>
      <c r="O500" s="1">
        <v>1</v>
      </c>
      <c r="P500" s="1">
        <v>1</v>
      </c>
      <c r="Q500" s="1">
        <v>1</v>
      </c>
      <c r="R500" s="1">
        <v>1</v>
      </c>
      <c r="S500" s="14"/>
      <c r="T500" s="13"/>
      <c r="U500" s="24"/>
      <c r="AX500" s="14"/>
    </row>
    <row r="501" spans="1:50" ht="23" customHeight="1" thickBot="1" x14ac:dyDescent="0.35">
      <c r="A501" s="63"/>
      <c r="B501" s="76"/>
      <c r="C501" s="25"/>
      <c r="D501" s="86"/>
      <c r="E501" s="36" t="s">
        <v>195</v>
      </c>
      <c r="F501" s="36">
        <v>2</v>
      </c>
      <c r="G501" s="86"/>
      <c r="H501" s="36" t="s">
        <v>159</v>
      </c>
      <c r="I501" s="36">
        <v>2</v>
      </c>
      <c r="J501" s="86"/>
      <c r="K501" s="36" t="s">
        <v>166</v>
      </c>
      <c r="L501" s="36">
        <v>3</v>
      </c>
      <c r="M501" s="18"/>
      <c r="O501" s="1">
        <v>2</v>
      </c>
      <c r="P501" s="1">
        <v>2</v>
      </c>
      <c r="Q501" s="1">
        <v>2</v>
      </c>
      <c r="R501" s="1">
        <v>1</v>
      </c>
      <c r="S501" s="14"/>
      <c r="Z501" s="23" t="s">
        <v>194</v>
      </c>
      <c r="AK501" s="23" t="s">
        <v>198</v>
      </c>
      <c r="AT501" s="23" t="s">
        <v>202</v>
      </c>
      <c r="AX501" s="14"/>
    </row>
    <row r="502" spans="1:50" ht="25" customHeight="1" thickTop="1" thickBot="1" x14ac:dyDescent="0.35">
      <c r="A502" s="63"/>
      <c r="B502" s="76"/>
      <c r="C502" s="25"/>
      <c r="D502" s="86"/>
      <c r="E502" s="36" t="s">
        <v>196</v>
      </c>
      <c r="F502" s="36">
        <v>2</v>
      </c>
      <c r="G502" s="86"/>
      <c r="H502" s="36" t="s">
        <v>160</v>
      </c>
      <c r="I502" s="36">
        <v>2</v>
      </c>
      <c r="J502" s="86"/>
      <c r="K502" s="36" t="s">
        <v>167</v>
      </c>
      <c r="L502" s="36">
        <v>3</v>
      </c>
      <c r="M502" s="18"/>
      <c r="O502" s="1">
        <v>3</v>
      </c>
      <c r="P502" s="1">
        <v>0</v>
      </c>
      <c r="Q502" s="1">
        <v>1</v>
      </c>
      <c r="R502" s="1">
        <v>1</v>
      </c>
      <c r="S502" s="14"/>
      <c r="U502" s="7" t="s">
        <v>146</v>
      </c>
      <c r="V502" s="7" t="s">
        <v>147</v>
      </c>
      <c r="W502" s="7" t="s">
        <v>148</v>
      </c>
      <c r="X502" s="7" t="s">
        <v>149</v>
      </c>
      <c r="Y502" s="7" t="s">
        <v>150</v>
      </c>
      <c r="Z502" s="8" t="s">
        <v>151</v>
      </c>
      <c r="AA502" s="7" t="s">
        <v>152</v>
      </c>
      <c r="AB502" s="7" t="s">
        <v>153</v>
      </c>
      <c r="AC502" s="7" t="s">
        <v>154</v>
      </c>
      <c r="AD502" s="7" t="s">
        <v>155</v>
      </c>
      <c r="AE502" s="8" t="s">
        <v>156</v>
      </c>
      <c r="AF502" s="7" t="s">
        <v>157</v>
      </c>
      <c r="AH502" s="7" t="s">
        <v>146</v>
      </c>
      <c r="AI502" s="7" t="s">
        <v>147</v>
      </c>
      <c r="AJ502" s="7" t="s">
        <v>158</v>
      </c>
      <c r="AK502" s="7" t="s">
        <v>159</v>
      </c>
      <c r="AL502" s="7" t="s">
        <v>160</v>
      </c>
      <c r="AM502" s="7" t="s">
        <v>161</v>
      </c>
      <c r="AN502" s="7" t="s">
        <v>162</v>
      </c>
      <c r="AO502" s="7" t="s">
        <v>163</v>
      </c>
      <c r="AP502" s="7" t="s">
        <v>164</v>
      </c>
      <c r="AR502" s="7" t="s">
        <v>146</v>
      </c>
      <c r="AS502" s="7" t="s">
        <v>147</v>
      </c>
      <c r="AT502" s="7" t="s">
        <v>165</v>
      </c>
      <c r="AU502" s="7" t="s">
        <v>166</v>
      </c>
      <c r="AV502" s="7" t="s">
        <v>167</v>
      </c>
      <c r="AW502" s="7" t="s">
        <v>168</v>
      </c>
      <c r="AX502" s="14"/>
    </row>
    <row r="503" spans="1:50" ht="24" customHeight="1" thickTop="1" thickBot="1" x14ac:dyDescent="0.35">
      <c r="A503" s="63"/>
      <c r="B503" s="76"/>
      <c r="C503" s="25"/>
      <c r="D503" s="86"/>
      <c r="E503" s="1" t="s">
        <v>151</v>
      </c>
      <c r="F503" s="36">
        <v>2</v>
      </c>
      <c r="G503" s="86"/>
      <c r="H503" s="36" t="s">
        <v>199</v>
      </c>
      <c r="I503" s="36">
        <v>2</v>
      </c>
      <c r="J503" s="87"/>
      <c r="K503" s="38" t="s">
        <v>168</v>
      </c>
      <c r="L503" s="38">
        <v>2</v>
      </c>
      <c r="M503" s="18"/>
      <c r="O503" s="1">
        <v>4</v>
      </c>
      <c r="P503" s="1">
        <v>1</v>
      </c>
      <c r="Q503" s="1">
        <v>2</v>
      </c>
      <c r="R503" s="1">
        <v>0</v>
      </c>
      <c r="S503" s="14"/>
      <c r="U503" s="9" t="s">
        <v>171</v>
      </c>
      <c r="V503" s="10" t="s">
        <v>172</v>
      </c>
      <c r="W503" s="9">
        <v>7.78</v>
      </c>
      <c r="X503" s="9">
        <v>0.71</v>
      </c>
      <c r="Y503" s="9">
        <v>1.1200000000000001</v>
      </c>
      <c r="Z503" s="9">
        <v>0.57999999999999996</v>
      </c>
      <c r="AA503" s="9">
        <v>2.5</v>
      </c>
      <c r="AB503" s="9">
        <v>0.85</v>
      </c>
      <c r="AC503" s="9">
        <v>0.99</v>
      </c>
      <c r="AD503" s="9">
        <v>1.1499999999999999</v>
      </c>
      <c r="AE503" s="9">
        <v>1.1299999999999999</v>
      </c>
      <c r="AF503" s="9">
        <v>2.37</v>
      </c>
      <c r="AH503" s="9" t="s">
        <v>173</v>
      </c>
      <c r="AI503" s="10" t="s">
        <v>174</v>
      </c>
      <c r="AJ503" s="9">
        <v>6.44</v>
      </c>
      <c r="AK503" s="9">
        <v>6.73</v>
      </c>
      <c r="AL503" s="9">
        <v>3</v>
      </c>
      <c r="AM503" s="9">
        <v>6.37</v>
      </c>
      <c r="AN503" s="9">
        <v>1.94</v>
      </c>
      <c r="AO503" s="9">
        <v>7.57</v>
      </c>
      <c r="AP503" s="9">
        <v>5.34</v>
      </c>
      <c r="AR503" s="9" t="s">
        <v>175</v>
      </c>
      <c r="AS503" s="10" t="s">
        <v>176</v>
      </c>
      <c r="AT503" s="9">
        <v>2.97</v>
      </c>
      <c r="AU503" s="9">
        <v>1.1100000000000001</v>
      </c>
      <c r="AV503" s="9">
        <v>2.6</v>
      </c>
      <c r="AW503" s="9">
        <v>2</v>
      </c>
      <c r="AX503" s="14"/>
    </row>
    <row r="504" spans="1:50" ht="24" customHeight="1" thickTop="1" thickBot="1" x14ac:dyDescent="0.35">
      <c r="A504" s="63"/>
      <c r="B504" s="76"/>
      <c r="C504" s="25"/>
      <c r="D504" s="86"/>
      <c r="E504" s="36" t="s">
        <v>152</v>
      </c>
      <c r="F504" s="36">
        <v>2</v>
      </c>
      <c r="G504" s="86"/>
      <c r="H504" s="36" t="s">
        <v>200</v>
      </c>
      <c r="I504" s="36">
        <v>2</v>
      </c>
      <c r="J504" s="39"/>
      <c r="K504" s="39"/>
      <c r="L504" s="39"/>
      <c r="M504" s="18"/>
      <c r="O504" s="1">
        <v>5</v>
      </c>
      <c r="P504" s="1">
        <v>1</v>
      </c>
      <c r="Q504" s="1">
        <v>1</v>
      </c>
      <c r="R504" s="1">
        <v>1</v>
      </c>
      <c r="S504" s="14"/>
      <c r="U504" s="9" t="s">
        <v>179</v>
      </c>
      <c r="V504" s="10" t="s">
        <v>180</v>
      </c>
      <c r="W504" s="9">
        <v>8.1199999999999992</v>
      </c>
      <c r="X504" s="9">
        <v>0.83</v>
      </c>
      <c r="Y504" s="9">
        <v>1.06</v>
      </c>
      <c r="Z504" s="9">
        <v>0.72</v>
      </c>
      <c r="AA504" s="9">
        <v>2.73</v>
      </c>
      <c r="AB504" s="9">
        <v>0.89</v>
      </c>
      <c r="AC504" s="9">
        <v>0.92</v>
      </c>
      <c r="AD504" s="9">
        <v>1.03</v>
      </c>
      <c r="AE504" s="9">
        <v>1.28</v>
      </c>
      <c r="AF504" s="9">
        <v>1.69</v>
      </c>
      <c r="AH504" s="11" t="s">
        <v>181</v>
      </c>
      <c r="AI504" s="12" t="s">
        <v>182</v>
      </c>
      <c r="AJ504" s="11">
        <v>6.78</v>
      </c>
      <c r="AK504" s="11">
        <v>7.11</v>
      </c>
      <c r="AL504" s="11">
        <v>3</v>
      </c>
      <c r="AM504" s="11">
        <v>7.49</v>
      </c>
      <c r="AN504" s="11">
        <v>2.21</v>
      </c>
      <c r="AO504" s="11">
        <v>8.4700000000000006</v>
      </c>
      <c r="AP504" s="11">
        <v>5.65</v>
      </c>
      <c r="AR504" s="11" t="s">
        <v>183</v>
      </c>
      <c r="AS504" s="12" t="s">
        <v>184</v>
      </c>
      <c r="AT504" s="11">
        <v>3.47</v>
      </c>
      <c r="AU504" s="11">
        <v>1.02</v>
      </c>
      <c r="AV504" s="11">
        <v>2.35</v>
      </c>
      <c r="AW504" s="11">
        <v>2</v>
      </c>
      <c r="AX504" s="14"/>
    </row>
    <row r="505" spans="1:50" ht="23.5" customHeight="1" thickTop="1" thickBot="1" x14ac:dyDescent="0.35">
      <c r="A505" s="63"/>
      <c r="B505" s="76"/>
      <c r="C505" s="25"/>
      <c r="D505" s="86"/>
      <c r="E505" s="36" t="s">
        <v>153</v>
      </c>
      <c r="F505" s="36">
        <v>2</v>
      </c>
      <c r="G505" s="86"/>
      <c r="H505" s="36" t="s">
        <v>201</v>
      </c>
      <c r="I505" s="36">
        <v>1</v>
      </c>
      <c r="J505" s="25"/>
      <c r="K505" s="25"/>
      <c r="L505" s="25"/>
      <c r="M505" s="18"/>
      <c r="O505" s="1">
        <v>6</v>
      </c>
      <c r="P505" s="1">
        <v>2</v>
      </c>
      <c r="Q505" s="1">
        <v>1</v>
      </c>
      <c r="R505" s="1">
        <v>1</v>
      </c>
      <c r="S505" s="14"/>
      <c r="U505" s="11" t="s">
        <v>187</v>
      </c>
      <c r="V505" s="12" t="s">
        <v>188</v>
      </c>
      <c r="W505" s="11">
        <v>9.1</v>
      </c>
      <c r="X505" s="11">
        <v>0.65</v>
      </c>
      <c r="Y505" s="11">
        <v>1.2</v>
      </c>
      <c r="Z505" s="11">
        <v>0.65</v>
      </c>
      <c r="AA505" s="11">
        <v>2.85</v>
      </c>
      <c r="AB505" s="11">
        <v>0.82</v>
      </c>
      <c r="AC505" s="11">
        <v>0.95</v>
      </c>
      <c r="AD505" s="11">
        <v>1.2</v>
      </c>
      <c r="AE505" s="11">
        <v>1.38</v>
      </c>
      <c r="AF505" s="11">
        <v>2.46</v>
      </c>
      <c r="AX505" s="14"/>
    </row>
    <row r="506" spans="1:50" ht="23.5" customHeight="1" thickTop="1" thickBot="1" x14ac:dyDescent="0.35">
      <c r="A506" s="63"/>
      <c r="B506" s="76"/>
      <c r="C506" s="25"/>
      <c r="D506" s="86"/>
      <c r="E506" s="1" t="s">
        <v>156</v>
      </c>
      <c r="F506" s="36">
        <v>2</v>
      </c>
      <c r="G506" s="87"/>
      <c r="H506" s="38" t="s">
        <v>164</v>
      </c>
      <c r="I506" s="38">
        <v>1</v>
      </c>
      <c r="J506" s="36"/>
      <c r="K506" s="25"/>
      <c r="L506" s="25"/>
      <c r="M506" s="18"/>
      <c r="O506" s="1">
        <v>7</v>
      </c>
      <c r="P506" s="1">
        <v>1</v>
      </c>
      <c r="Q506" s="1">
        <v>1</v>
      </c>
      <c r="R506" s="1">
        <v>1</v>
      </c>
      <c r="S506" s="14"/>
      <c r="U506" s="9"/>
      <c r="V506" s="10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X506" s="14"/>
    </row>
    <row r="507" spans="1:50" ht="23.5" customHeight="1" thickTop="1" thickBot="1" x14ac:dyDescent="0.35">
      <c r="A507" s="63"/>
      <c r="B507" s="76"/>
      <c r="C507" s="25"/>
      <c r="D507" s="87"/>
      <c r="E507" s="38" t="s">
        <v>197</v>
      </c>
      <c r="F507" s="38">
        <v>2</v>
      </c>
      <c r="G507" s="39"/>
      <c r="H507" s="39"/>
      <c r="I507" s="39"/>
      <c r="J507" s="36"/>
      <c r="K507" s="36"/>
      <c r="L507" s="25"/>
      <c r="M507" s="18"/>
      <c r="O507" s="1">
        <v>8</v>
      </c>
      <c r="P507" s="1">
        <v>1</v>
      </c>
      <c r="Q507" s="1">
        <v>2</v>
      </c>
      <c r="R507" s="1">
        <v>2</v>
      </c>
      <c r="S507" s="14"/>
      <c r="U507" s="9"/>
      <c r="V507" s="10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X507" s="14"/>
    </row>
    <row r="508" spans="1:50" ht="23" customHeight="1" thickTop="1" x14ac:dyDescent="0.3">
      <c r="A508" s="63"/>
      <c r="B508" s="76"/>
      <c r="C508" s="25"/>
      <c r="D508" s="39"/>
      <c r="E508" s="39"/>
      <c r="F508" s="39"/>
      <c r="G508" s="25"/>
      <c r="H508" s="25"/>
      <c r="I508" s="25"/>
      <c r="J508" s="25"/>
      <c r="K508" s="25"/>
      <c r="L508" s="25"/>
      <c r="M508" s="18"/>
      <c r="O508" s="1">
        <v>9</v>
      </c>
      <c r="P508" s="1">
        <v>1</v>
      </c>
      <c r="Q508" s="1">
        <v>0</v>
      </c>
      <c r="R508" s="1">
        <v>1</v>
      </c>
      <c r="S508" s="14"/>
      <c r="AX508" s="14"/>
    </row>
    <row r="509" spans="1:50" ht="23" customHeight="1" thickBot="1" x14ac:dyDescent="0.35">
      <c r="A509" s="63"/>
      <c r="B509" s="76"/>
      <c r="C509" s="25"/>
      <c r="D509" s="36"/>
      <c r="E509" s="36"/>
      <c r="F509" s="36"/>
      <c r="G509" s="25"/>
      <c r="H509" s="25"/>
      <c r="I509" s="25"/>
      <c r="J509" s="25"/>
      <c r="K509" s="25"/>
      <c r="L509" s="25"/>
      <c r="M509" s="18"/>
      <c r="O509" s="4">
        <v>10</v>
      </c>
      <c r="P509" s="4">
        <v>2</v>
      </c>
      <c r="Q509" s="4">
        <v>0</v>
      </c>
      <c r="R509" s="4">
        <v>2</v>
      </c>
      <c r="S509" s="14"/>
      <c r="AX509" s="14"/>
    </row>
    <row r="510" spans="1:50" ht="23.5" customHeight="1" thickTop="1" thickBot="1" x14ac:dyDescent="0.35">
      <c r="A510" s="63"/>
      <c r="B510" s="81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19"/>
      <c r="N510" s="15"/>
      <c r="O510" s="15"/>
      <c r="P510" s="15"/>
      <c r="Q510" s="15"/>
      <c r="R510" s="15"/>
      <c r="S510" s="16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6"/>
    </row>
    <row r="511" spans="1:50" ht="15" customHeight="1" thickTop="1" thickBot="1" x14ac:dyDescent="0.35">
      <c r="A511" s="63"/>
      <c r="B511" s="89" t="s">
        <v>141</v>
      </c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17"/>
      <c r="N511" s="24"/>
      <c r="O511" s="24"/>
      <c r="P511" s="24"/>
      <c r="Q511" s="24"/>
      <c r="R511" s="24"/>
      <c r="S511" s="17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17"/>
    </row>
    <row r="512" spans="1:50" ht="16" customHeight="1" thickTop="1" thickBot="1" x14ac:dyDescent="0.35">
      <c r="A512" s="63"/>
      <c r="B512" s="76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17"/>
      <c r="N512" s="24"/>
      <c r="O512" s="82" t="s">
        <v>205</v>
      </c>
      <c r="P512" s="82" t="s">
        <v>206</v>
      </c>
      <c r="Q512" s="83"/>
      <c r="R512" s="83"/>
      <c r="S512" s="17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17"/>
    </row>
    <row r="513" spans="1:50" ht="31" customHeight="1" thickTop="1" thickBot="1" x14ac:dyDescent="0.35">
      <c r="A513" s="63"/>
      <c r="B513" s="76"/>
      <c r="C513" s="24"/>
      <c r="D513" s="27" t="s">
        <v>191</v>
      </c>
      <c r="E513" s="27" t="s">
        <v>192</v>
      </c>
      <c r="F513" s="27" t="s">
        <v>193</v>
      </c>
      <c r="G513" s="27" t="s">
        <v>191</v>
      </c>
      <c r="H513" s="27" t="s">
        <v>192</v>
      </c>
      <c r="I513" s="27" t="s">
        <v>193</v>
      </c>
      <c r="J513" s="27" t="s">
        <v>191</v>
      </c>
      <c r="K513" s="27" t="s">
        <v>192</v>
      </c>
      <c r="L513" s="27" t="s">
        <v>193</v>
      </c>
      <c r="M513" s="17"/>
      <c r="N513" s="24"/>
      <c r="O513" s="84"/>
      <c r="P513" s="2" t="s">
        <v>178</v>
      </c>
      <c r="Q513" s="2" t="s">
        <v>186</v>
      </c>
      <c r="R513" s="2" t="s">
        <v>190</v>
      </c>
      <c r="S513" s="17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17"/>
    </row>
    <row r="514" spans="1:50" ht="23" customHeight="1" thickTop="1" x14ac:dyDescent="0.3">
      <c r="A514" s="63"/>
      <c r="B514" s="76"/>
      <c r="C514" s="33"/>
      <c r="D514" s="88" t="s">
        <v>194</v>
      </c>
      <c r="E514" s="36" t="s">
        <v>148</v>
      </c>
      <c r="F514" s="36">
        <v>5</v>
      </c>
      <c r="G514" s="85" t="s">
        <v>198</v>
      </c>
      <c r="H514" s="36" t="s">
        <v>158</v>
      </c>
      <c r="I514" s="36">
        <v>2</v>
      </c>
      <c r="J514" s="85" t="s">
        <v>202</v>
      </c>
      <c r="K514" s="36" t="s">
        <v>203</v>
      </c>
      <c r="L514" s="36">
        <v>3</v>
      </c>
      <c r="M514" s="18"/>
      <c r="N514" s="13"/>
      <c r="O514" s="1">
        <v>1</v>
      </c>
      <c r="P514" s="1">
        <v>1</v>
      </c>
      <c r="Q514" s="1">
        <v>0</v>
      </c>
      <c r="R514" s="1">
        <v>0</v>
      </c>
      <c r="S514" s="14"/>
      <c r="T514" s="13"/>
      <c r="U514" s="24"/>
      <c r="AX514" s="14"/>
    </row>
    <row r="515" spans="1:50" ht="23" customHeight="1" thickBot="1" x14ac:dyDescent="0.35">
      <c r="A515" s="63"/>
      <c r="B515" s="76"/>
      <c r="C515" s="25"/>
      <c r="D515" s="86"/>
      <c r="E515" s="36" t="s">
        <v>195</v>
      </c>
      <c r="F515" s="36">
        <v>2</v>
      </c>
      <c r="G515" s="86"/>
      <c r="H515" s="36" t="s">
        <v>159</v>
      </c>
      <c r="I515" s="36">
        <v>2</v>
      </c>
      <c r="J515" s="86"/>
      <c r="K515" s="36" t="s">
        <v>166</v>
      </c>
      <c r="L515" s="36">
        <v>3</v>
      </c>
      <c r="M515" s="18"/>
      <c r="O515" s="1">
        <v>2</v>
      </c>
      <c r="P515" s="1">
        <v>2</v>
      </c>
      <c r="Q515" s="1">
        <v>4</v>
      </c>
      <c r="R515" s="1">
        <v>1</v>
      </c>
      <c r="S515" s="14"/>
      <c r="Z515" s="23" t="s">
        <v>194</v>
      </c>
      <c r="AK515" s="23" t="s">
        <v>198</v>
      </c>
      <c r="AT515" s="23" t="s">
        <v>202</v>
      </c>
      <c r="AX515" s="14"/>
    </row>
    <row r="516" spans="1:50" ht="25" customHeight="1" thickTop="1" thickBot="1" x14ac:dyDescent="0.35">
      <c r="A516" s="63"/>
      <c r="B516" s="76"/>
      <c r="C516" s="25"/>
      <c r="D516" s="86"/>
      <c r="E516" s="36" t="s">
        <v>196</v>
      </c>
      <c r="F516" s="36">
        <v>2</v>
      </c>
      <c r="G516" s="86"/>
      <c r="H516" s="36" t="s">
        <v>160</v>
      </c>
      <c r="I516" s="36">
        <v>2</v>
      </c>
      <c r="J516" s="86"/>
      <c r="K516" s="36" t="s">
        <v>167</v>
      </c>
      <c r="L516" s="36">
        <v>3</v>
      </c>
      <c r="M516" s="18"/>
      <c r="O516" s="1">
        <v>3</v>
      </c>
      <c r="P516" s="1">
        <v>2</v>
      </c>
      <c r="Q516" s="1">
        <v>1</v>
      </c>
      <c r="R516" s="1">
        <v>1</v>
      </c>
      <c r="S516" s="14"/>
      <c r="U516" s="7" t="s">
        <v>146</v>
      </c>
      <c r="V516" s="7" t="s">
        <v>147</v>
      </c>
      <c r="W516" s="7" t="s">
        <v>148</v>
      </c>
      <c r="X516" s="7" t="s">
        <v>149</v>
      </c>
      <c r="Y516" s="7" t="s">
        <v>150</v>
      </c>
      <c r="Z516" s="8" t="s">
        <v>151</v>
      </c>
      <c r="AA516" s="7" t="s">
        <v>152</v>
      </c>
      <c r="AB516" s="7" t="s">
        <v>153</v>
      </c>
      <c r="AC516" s="7" t="s">
        <v>154</v>
      </c>
      <c r="AD516" s="7" t="s">
        <v>155</v>
      </c>
      <c r="AE516" s="8" t="s">
        <v>156</v>
      </c>
      <c r="AF516" s="7" t="s">
        <v>157</v>
      </c>
      <c r="AH516" s="7" t="s">
        <v>146</v>
      </c>
      <c r="AI516" s="7" t="s">
        <v>147</v>
      </c>
      <c r="AJ516" s="7" t="s">
        <v>158</v>
      </c>
      <c r="AK516" s="7" t="s">
        <v>159</v>
      </c>
      <c r="AL516" s="7" t="s">
        <v>160</v>
      </c>
      <c r="AM516" s="7" t="s">
        <v>161</v>
      </c>
      <c r="AN516" s="7" t="s">
        <v>162</v>
      </c>
      <c r="AO516" s="7" t="s">
        <v>163</v>
      </c>
      <c r="AP516" s="7" t="s">
        <v>164</v>
      </c>
      <c r="AR516" s="7" t="s">
        <v>146</v>
      </c>
      <c r="AS516" s="7" t="s">
        <v>147</v>
      </c>
      <c r="AT516" s="7" t="s">
        <v>165</v>
      </c>
      <c r="AU516" s="7" t="s">
        <v>166</v>
      </c>
      <c r="AV516" s="7" t="s">
        <v>167</v>
      </c>
      <c r="AW516" s="7" t="s">
        <v>168</v>
      </c>
      <c r="AX516" s="14"/>
    </row>
    <row r="517" spans="1:50" ht="24" customHeight="1" thickTop="1" thickBot="1" x14ac:dyDescent="0.35">
      <c r="A517" s="63"/>
      <c r="B517" s="76"/>
      <c r="C517" s="25"/>
      <c r="D517" s="86"/>
      <c r="E517" s="1" t="s">
        <v>151</v>
      </c>
      <c r="F517" s="36">
        <v>2</v>
      </c>
      <c r="G517" s="86"/>
      <c r="H517" s="36" t="s">
        <v>199</v>
      </c>
      <c r="I517" s="36">
        <v>2</v>
      </c>
      <c r="J517" s="87"/>
      <c r="K517" s="38" t="s">
        <v>168</v>
      </c>
      <c r="L517" s="38">
        <v>2</v>
      </c>
      <c r="M517" s="18"/>
      <c r="O517" s="1">
        <v>4</v>
      </c>
      <c r="P517" s="1">
        <v>0</v>
      </c>
      <c r="Q517" s="1">
        <v>2</v>
      </c>
      <c r="R517" s="1">
        <v>0</v>
      </c>
      <c r="S517" s="14"/>
      <c r="U517" s="9" t="s">
        <v>171</v>
      </c>
      <c r="V517" s="10" t="s">
        <v>172</v>
      </c>
      <c r="W517" s="9">
        <v>7.33</v>
      </c>
      <c r="X517" s="9">
        <v>0.74</v>
      </c>
      <c r="Y517" s="9">
        <v>1.17</v>
      </c>
      <c r="Z517" s="9">
        <v>0.75</v>
      </c>
      <c r="AA517" s="9">
        <v>2.91</v>
      </c>
      <c r="AB517" s="9">
        <v>0.8</v>
      </c>
      <c r="AC517" s="9">
        <v>0.96</v>
      </c>
      <c r="AD517" s="9">
        <v>1.07</v>
      </c>
      <c r="AE517" s="9">
        <v>1.02</v>
      </c>
      <c r="AF517" s="9">
        <v>1.71</v>
      </c>
      <c r="AH517" s="9" t="s">
        <v>173</v>
      </c>
      <c r="AI517" s="10" t="s">
        <v>174</v>
      </c>
      <c r="AJ517" s="9">
        <v>6.16</v>
      </c>
      <c r="AK517" s="9">
        <v>6.59</v>
      </c>
      <c r="AL517" s="9">
        <v>3</v>
      </c>
      <c r="AM517" s="9">
        <v>6.15</v>
      </c>
      <c r="AN517" s="9">
        <v>1.59</v>
      </c>
      <c r="AO517" s="9">
        <v>7.19</v>
      </c>
      <c r="AP517" s="9">
        <v>5.16</v>
      </c>
      <c r="AR517" s="9" t="s">
        <v>175</v>
      </c>
      <c r="AS517" s="10" t="s">
        <v>176</v>
      </c>
      <c r="AT517" s="9">
        <v>2.62</v>
      </c>
      <c r="AU517" s="9">
        <v>1.1599999999999999</v>
      </c>
      <c r="AV517" s="9">
        <v>2.12</v>
      </c>
      <c r="AW517" s="9">
        <v>2</v>
      </c>
      <c r="AX517" s="14"/>
    </row>
    <row r="518" spans="1:50" ht="24" customHeight="1" thickTop="1" thickBot="1" x14ac:dyDescent="0.35">
      <c r="A518" s="63"/>
      <c r="B518" s="76"/>
      <c r="C518" s="25"/>
      <c r="D518" s="86"/>
      <c r="E518" s="36" t="s">
        <v>152</v>
      </c>
      <c r="F518" s="36">
        <v>2</v>
      </c>
      <c r="G518" s="86"/>
      <c r="H518" s="36" t="s">
        <v>200</v>
      </c>
      <c r="I518" s="36">
        <v>2</v>
      </c>
      <c r="J518" s="39"/>
      <c r="K518" s="39"/>
      <c r="L518" s="39"/>
      <c r="M518" s="18"/>
      <c r="O518" s="1">
        <v>5</v>
      </c>
      <c r="P518" s="1">
        <v>1</v>
      </c>
      <c r="Q518" s="1">
        <v>1</v>
      </c>
      <c r="R518" s="1">
        <v>1</v>
      </c>
      <c r="S518" s="14"/>
      <c r="U518" s="9" t="s">
        <v>179</v>
      </c>
      <c r="V518" s="10" t="s">
        <v>180</v>
      </c>
      <c r="W518" s="9">
        <v>8.77</v>
      </c>
      <c r="X518" s="9">
        <v>0.67</v>
      </c>
      <c r="Y518" s="9">
        <v>1.03</v>
      </c>
      <c r="Z518" s="9">
        <v>0.69</v>
      </c>
      <c r="AA518" s="9">
        <v>2.5</v>
      </c>
      <c r="AB518" s="9">
        <v>0.84</v>
      </c>
      <c r="AC518" s="9">
        <v>0.98</v>
      </c>
      <c r="AD518" s="9">
        <v>1.18</v>
      </c>
      <c r="AE518" s="9">
        <v>1.32</v>
      </c>
      <c r="AF518" s="9">
        <v>2.2599999999999998</v>
      </c>
      <c r="AH518" s="11" t="s">
        <v>181</v>
      </c>
      <c r="AI518" s="12" t="s">
        <v>182</v>
      </c>
      <c r="AJ518" s="11">
        <v>6.93</v>
      </c>
      <c r="AK518" s="11">
        <v>7.41</v>
      </c>
      <c r="AL518" s="11">
        <v>3</v>
      </c>
      <c r="AM518" s="11">
        <v>7.84</v>
      </c>
      <c r="AN518" s="11">
        <v>2.41</v>
      </c>
      <c r="AO518" s="11">
        <v>8.81</v>
      </c>
      <c r="AP518" s="11">
        <v>5.93</v>
      </c>
      <c r="AR518" s="11" t="s">
        <v>183</v>
      </c>
      <c r="AS518" s="12" t="s">
        <v>184</v>
      </c>
      <c r="AT518" s="11">
        <v>3.17</v>
      </c>
      <c r="AU518" s="11">
        <v>1.04</v>
      </c>
      <c r="AV518" s="11">
        <v>2.75</v>
      </c>
      <c r="AW518" s="11">
        <v>2</v>
      </c>
      <c r="AX518" s="14"/>
    </row>
    <row r="519" spans="1:50" ht="23.5" customHeight="1" thickTop="1" thickBot="1" x14ac:dyDescent="0.35">
      <c r="A519" s="63"/>
      <c r="B519" s="76"/>
      <c r="C519" s="25"/>
      <c r="D519" s="86"/>
      <c r="E519" s="36" t="s">
        <v>153</v>
      </c>
      <c r="F519" s="36">
        <v>2</v>
      </c>
      <c r="G519" s="86"/>
      <c r="H519" s="36" t="s">
        <v>201</v>
      </c>
      <c r="I519" s="36">
        <v>1</v>
      </c>
      <c r="J519" s="25"/>
      <c r="K519" s="25"/>
      <c r="L519" s="25"/>
      <c r="M519" s="18"/>
      <c r="O519" s="1">
        <v>6</v>
      </c>
      <c r="P519" s="1">
        <v>2</v>
      </c>
      <c r="Q519" s="1">
        <v>1</v>
      </c>
      <c r="R519" s="1">
        <v>1</v>
      </c>
      <c r="S519" s="14"/>
      <c r="U519" s="11" t="s">
        <v>187</v>
      </c>
      <c r="V519" s="12" t="s">
        <v>188</v>
      </c>
      <c r="W519" s="11">
        <v>9.25</v>
      </c>
      <c r="X519" s="11">
        <v>0.9</v>
      </c>
      <c r="Y519" s="11">
        <v>1.25</v>
      </c>
      <c r="Z519" s="11">
        <v>0.56999999999999995</v>
      </c>
      <c r="AA519" s="11">
        <v>2.69</v>
      </c>
      <c r="AB519" s="11">
        <v>0.89</v>
      </c>
      <c r="AC519" s="11">
        <v>0.91</v>
      </c>
      <c r="AD519" s="11">
        <v>1.2</v>
      </c>
      <c r="AE519" s="11">
        <v>1.4</v>
      </c>
      <c r="AF519" s="11">
        <v>1.88</v>
      </c>
      <c r="AX519" s="14"/>
    </row>
    <row r="520" spans="1:50" ht="23.5" customHeight="1" thickTop="1" thickBot="1" x14ac:dyDescent="0.35">
      <c r="A520" s="63"/>
      <c r="B520" s="76"/>
      <c r="C520" s="25"/>
      <c r="D520" s="86"/>
      <c r="E520" s="1" t="s">
        <v>156</v>
      </c>
      <c r="F520" s="36">
        <v>2</v>
      </c>
      <c r="G520" s="87"/>
      <c r="H520" s="38" t="s">
        <v>164</v>
      </c>
      <c r="I520" s="38">
        <v>1</v>
      </c>
      <c r="J520" s="36"/>
      <c r="K520" s="25"/>
      <c r="L520" s="25"/>
      <c r="M520" s="18"/>
      <c r="O520" s="1">
        <v>7</v>
      </c>
      <c r="P520" s="1">
        <v>1</v>
      </c>
      <c r="Q520" s="1">
        <v>1</v>
      </c>
      <c r="R520" s="1">
        <v>1</v>
      </c>
      <c r="S520" s="14"/>
      <c r="U520" s="9"/>
      <c r="V520" s="10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X520" s="14"/>
    </row>
    <row r="521" spans="1:50" ht="23.5" customHeight="1" thickTop="1" thickBot="1" x14ac:dyDescent="0.35">
      <c r="A521" s="63"/>
      <c r="B521" s="76"/>
      <c r="C521" s="25"/>
      <c r="D521" s="87"/>
      <c r="E521" s="38" t="s">
        <v>197</v>
      </c>
      <c r="F521" s="38">
        <v>2</v>
      </c>
      <c r="G521" s="39"/>
      <c r="H521" s="39"/>
      <c r="I521" s="39"/>
      <c r="J521" s="36"/>
      <c r="K521" s="36"/>
      <c r="L521" s="25"/>
      <c r="M521" s="18"/>
      <c r="O521" s="1">
        <v>8</v>
      </c>
      <c r="P521" s="1">
        <v>1</v>
      </c>
      <c r="Q521" s="1">
        <v>1</v>
      </c>
      <c r="R521" s="1">
        <v>3</v>
      </c>
      <c r="S521" s="14"/>
      <c r="U521" s="9"/>
      <c r="V521" s="10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X521" s="14"/>
    </row>
    <row r="522" spans="1:50" ht="23" customHeight="1" thickTop="1" x14ac:dyDescent="0.3">
      <c r="A522" s="63"/>
      <c r="B522" s="76"/>
      <c r="C522" s="25"/>
      <c r="D522" s="39"/>
      <c r="E522" s="39"/>
      <c r="F522" s="39"/>
      <c r="G522" s="25"/>
      <c r="H522" s="25"/>
      <c r="I522" s="25"/>
      <c r="J522" s="25"/>
      <c r="K522" s="25"/>
      <c r="L522" s="25"/>
      <c r="M522" s="18"/>
      <c r="O522" s="1">
        <v>9</v>
      </c>
      <c r="P522" s="1">
        <v>1</v>
      </c>
      <c r="Q522" s="1">
        <v>1</v>
      </c>
      <c r="R522" s="1">
        <v>1</v>
      </c>
      <c r="S522" s="14"/>
      <c r="AX522" s="14"/>
    </row>
    <row r="523" spans="1:50" ht="23" customHeight="1" thickBot="1" x14ac:dyDescent="0.35">
      <c r="A523" s="63"/>
      <c r="B523" s="76"/>
      <c r="C523" s="25"/>
      <c r="D523" s="36"/>
      <c r="E523" s="36"/>
      <c r="F523" s="36"/>
      <c r="G523" s="25"/>
      <c r="H523" s="25"/>
      <c r="I523" s="25"/>
      <c r="J523" s="25"/>
      <c r="K523" s="25"/>
      <c r="L523" s="25"/>
      <c r="M523" s="18"/>
      <c r="O523" s="4">
        <v>10</v>
      </c>
      <c r="P523" s="4">
        <v>2</v>
      </c>
      <c r="Q523" s="4">
        <v>0</v>
      </c>
      <c r="R523" s="4">
        <v>2</v>
      </c>
      <c r="S523" s="14"/>
      <c r="AX523" s="14"/>
    </row>
    <row r="524" spans="1:50" ht="23.5" customHeight="1" thickTop="1" thickBot="1" x14ac:dyDescent="0.35">
      <c r="A524" s="63"/>
      <c r="B524" s="81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19"/>
      <c r="N524" s="15"/>
      <c r="O524" s="15"/>
      <c r="P524" s="15"/>
      <c r="Q524" s="15"/>
      <c r="R524" s="15"/>
      <c r="S524" s="16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6"/>
    </row>
    <row r="525" spans="1:50" ht="15" customHeight="1" thickTop="1" thickBot="1" x14ac:dyDescent="0.35">
      <c r="A525" s="63"/>
      <c r="B525" s="89" t="s">
        <v>142</v>
      </c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17"/>
      <c r="N525" s="24"/>
      <c r="O525" s="24"/>
      <c r="P525" s="24"/>
      <c r="Q525" s="24"/>
      <c r="R525" s="24"/>
      <c r="S525" s="17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17"/>
    </row>
    <row r="526" spans="1:50" ht="16" customHeight="1" thickTop="1" thickBot="1" x14ac:dyDescent="0.35">
      <c r="A526" s="63"/>
      <c r="B526" s="76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17"/>
      <c r="N526" s="24"/>
      <c r="O526" s="82" t="s">
        <v>205</v>
      </c>
      <c r="P526" s="82" t="s">
        <v>206</v>
      </c>
      <c r="Q526" s="83"/>
      <c r="R526" s="83"/>
      <c r="S526" s="17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17"/>
    </row>
    <row r="527" spans="1:50" ht="31" customHeight="1" thickTop="1" thickBot="1" x14ac:dyDescent="0.35">
      <c r="A527" s="63"/>
      <c r="B527" s="76"/>
      <c r="C527" s="24"/>
      <c r="D527" s="27" t="s">
        <v>191</v>
      </c>
      <c r="E527" s="27" t="s">
        <v>192</v>
      </c>
      <c r="F527" s="27" t="s">
        <v>193</v>
      </c>
      <c r="G527" s="27" t="s">
        <v>191</v>
      </c>
      <c r="H527" s="27" t="s">
        <v>192</v>
      </c>
      <c r="I527" s="27" t="s">
        <v>193</v>
      </c>
      <c r="J527" s="27" t="s">
        <v>191</v>
      </c>
      <c r="K527" s="27" t="s">
        <v>192</v>
      </c>
      <c r="L527" s="27" t="s">
        <v>193</v>
      </c>
      <c r="M527" s="17"/>
      <c r="N527" s="24"/>
      <c r="O527" s="84"/>
      <c r="P527" s="2" t="s">
        <v>178</v>
      </c>
      <c r="Q527" s="2" t="s">
        <v>186</v>
      </c>
      <c r="R527" s="2" t="s">
        <v>190</v>
      </c>
      <c r="S527" s="17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17"/>
    </row>
    <row r="528" spans="1:50" ht="23" customHeight="1" thickTop="1" x14ac:dyDescent="0.3">
      <c r="A528" s="63"/>
      <c r="B528" s="76"/>
      <c r="C528" s="33"/>
      <c r="D528" s="88" t="s">
        <v>194</v>
      </c>
      <c r="E528" s="36" t="s">
        <v>148</v>
      </c>
      <c r="F528" s="36">
        <v>6</v>
      </c>
      <c r="G528" s="85" t="s">
        <v>198</v>
      </c>
      <c r="H528" s="36" t="s">
        <v>158</v>
      </c>
      <c r="I528" s="36">
        <v>2</v>
      </c>
      <c r="J528" s="85" t="s">
        <v>202</v>
      </c>
      <c r="K528" s="36" t="s">
        <v>203</v>
      </c>
      <c r="L528" s="36">
        <v>3</v>
      </c>
      <c r="M528" s="18"/>
      <c r="N528" s="13"/>
      <c r="O528" s="1">
        <v>1</v>
      </c>
      <c r="P528" s="1">
        <v>1</v>
      </c>
      <c r="Q528" s="1">
        <v>2</v>
      </c>
      <c r="R528" s="1">
        <v>0</v>
      </c>
      <c r="S528" s="14"/>
      <c r="T528" s="13"/>
      <c r="U528" s="24"/>
      <c r="AX528" s="14"/>
    </row>
    <row r="529" spans="1:50" ht="23" customHeight="1" thickBot="1" x14ac:dyDescent="0.35">
      <c r="A529" s="63"/>
      <c r="B529" s="76"/>
      <c r="C529" s="25"/>
      <c r="D529" s="86"/>
      <c r="E529" s="36" t="s">
        <v>195</v>
      </c>
      <c r="F529" s="36">
        <v>2</v>
      </c>
      <c r="G529" s="86"/>
      <c r="H529" s="36" t="s">
        <v>159</v>
      </c>
      <c r="I529" s="36">
        <v>2</v>
      </c>
      <c r="J529" s="86"/>
      <c r="K529" s="36" t="s">
        <v>166</v>
      </c>
      <c r="L529" s="36">
        <v>3</v>
      </c>
      <c r="M529" s="18"/>
      <c r="O529" s="1">
        <v>2</v>
      </c>
      <c r="P529" s="1">
        <v>2</v>
      </c>
      <c r="Q529" s="1">
        <v>2</v>
      </c>
      <c r="R529" s="1">
        <v>1</v>
      </c>
      <c r="S529" s="14"/>
      <c r="Z529" s="23" t="s">
        <v>194</v>
      </c>
      <c r="AK529" s="23" t="s">
        <v>198</v>
      </c>
      <c r="AT529" s="23" t="s">
        <v>202</v>
      </c>
      <c r="AX529" s="14"/>
    </row>
    <row r="530" spans="1:50" ht="25" customHeight="1" thickTop="1" thickBot="1" x14ac:dyDescent="0.35">
      <c r="A530" s="63"/>
      <c r="B530" s="76"/>
      <c r="C530" s="25"/>
      <c r="D530" s="86"/>
      <c r="E530" s="36" t="s">
        <v>196</v>
      </c>
      <c r="F530" s="36">
        <v>2</v>
      </c>
      <c r="G530" s="86"/>
      <c r="H530" s="36" t="s">
        <v>160</v>
      </c>
      <c r="I530" s="36">
        <v>2</v>
      </c>
      <c r="J530" s="86"/>
      <c r="K530" s="36" t="s">
        <v>167</v>
      </c>
      <c r="L530" s="36">
        <v>2</v>
      </c>
      <c r="M530" s="18"/>
      <c r="O530" s="1">
        <v>3</v>
      </c>
      <c r="P530" s="1">
        <v>1</v>
      </c>
      <c r="Q530" s="1">
        <v>1</v>
      </c>
      <c r="R530" s="1">
        <v>1</v>
      </c>
      <c r="S530" s="14"/>
      <c r="U530" s="7" t="s">
        <v>146</v>
      </c>
      <c r="V530" s="7" t="s">
        <v>147</v>
      </c>
      <c r="W530" s="7" t="s">
        <v>148</v>
      </c>
      <c r="X530" s="7" t="s">
        <v>149</v>
      </c>
      <c r="Y530" s="7" t="s">
        <v>150</v>
      </c>
      <c r="Z530" s="8" t="s">
        <v>151</v>
      </c>
      <c r="AA530" s="7" t="s">
        <v>152</v>
      </c>
      <c r="AB530" s="7" t="s">
        <v>153</v>
      </c>
      <c r="AC530" s="7" t="s">
        <v>154</v>
      </c>
      <c r="AD530" s="7" t="s">
        <v>155</v>
      </c>
      <c r="AE530" s="8" t="s">
        <v>156</v>
      </c>
      <c r="AF530" s="7" t="s">
        <v>157</v>
      </c>
      <c r="AH530" s="7" t="s">
        <v>146</v>
      </c>
      <c r="AI530" s="7" t="s">
        <v>147</v>
      </c>
      <c r="AJ530" s="7" t="s">
        <v>158</v>
      </c>
      <c r="AK530" s="7" t="s">
        <v>159</v>
      </c>
      <c r="AL530" s="7" t="s">
        <v>160</v>
      </c>
      <c r="AM530" s="7" t="s">
        <v>161</v>
      </c>
      <c r="AN530" s="7" t="s">
        <v>162</v>
      </c>
      <c r="AO530" s="7" t="s">
        <v>163</v>
      </c>
      <c r="AP530" s="7" t="s">
        <v>164</v>
      </c>
      <c r="AR530" s="7" t="s">
        <v>146</v>
      </c>
      <c r="AS530" s="7" t="s">
        <v>147</v>
      </c>
      <c r="AT530" s="7" t="s">
        <v>165</v>
      </c>
      <c r="AU530" s="7" t="s">
        <v>166</v>
      </c>
      <c r="AV530" s="7" t="s">
        <v>167</v>
      </c>
      <c r="AW530" s="7" t="s">
        <v>168</v>
      </c>
      <c r="AX530" s="14"/>
    </row>
    <row r="531" spans="1:50" ht="24" customHeight="1" thickTop="1" thickBot="1" x14ac:dyDescent="0.35">
      <c r="A531" s="63"/>
      <c r="B531" s="76"/>
      <c r="C531" s="25"/>
      <c r="D531" s="86"/>
      <c r="E531" s="1" t="s">
        <v>151</v>
      </c>
      <c r="F531" s="36">
        <v>2</v>
      </c>
      <c r="G531" s="86"/>
      <c r="H531" s="36" t="s">
        <v>199</v>
      </c>
      <c r="I531" s="36">
        <v>2</v>
      </c>
      <c r="J531" s="87"/>
      <c r="K531" s="38" t="s">
        <v>168</v>
      </c>
      <c r="L531" s="38">
        <v>2</v>
      </c>
      <c r="M531" s="18"/>
      <c r="O531" s="1">
        <v>4</v>
      </c>
      <c r="P531" s="1">
        <v>1</v>
      </c>
      <c r="Q531" s="1">
        <v>2</v>
      </c>
      <c r="R531" s="1">
        <v>0</v>
      </c>
      <c r="S531" s="14"/>
      <c r="U531" s="9" t="s">
        <v>171</v>
      </c>
      <c r="V531" s="10" t="s">
        <v>172</v>
      </c>
      <c r="W531" s="9">
        <v>7.47</v>
      </c>
      <c r="X531" s="9">
        <v>0.77</v>
      </c>
      <c r="Y531" s="9">
        <v>1.1000000000000001</v>
      </c>
      <c r="Z531" s="9">
        <v>0.62</v>
      </c>
      <c r="AA531" s="9">
        <v>2.5</v>
      </c>
      <c r="AB531" s="9">
        <v>0.87</v>
      </c>
      <c r="AC531" s="9">
        <v>0.94</v>
      </c>
      <c r="AD531" s="9">
        <v>1.1000000000000001</v>
      </c>
      <c r="AE531" s="9">
        <v>1.17</v>
      </c>
      <c r="AF531" s="9">
        <v>2.13</v>
      </c>
      <c r="AH531" s="9" t="s">
        <v>173</v>
      </c>
      <c r="AI531" s="10" t="s">
        <v>174</v>
      </c>
      <c r="AJ531" s="9">
        <v>6.51</v>
      </c>
      <c r="AK531" s="9">
        <v>6.85</v>
      </c>
      <c r="AL531" s="9">
        <v>3</v>
      </c>
      <c r="AM531" s="9">
        <v>6.51</v>
      </c>
      <c r="AN531" s="9">
        <v>1.85</v>
      </c>
      <c r="AO531" s="9">
        <v>7.51</v>
      </c>
      <c r="AP531" s="9">
        <v>5.41</v>
      </c>
      <c r="AR531" s="9" t="s">
        <v>175</v>
      </c>
      <c r="AS531" s="10" t="s">
        <v>176</v>
      </c>
      <c r="AT531" s="9">
        <v>3.34</v>
      </c>
      <c r="AU531" s="9">
        <v>1.25</v>
      </c>
      <c r="AV531" s="9">
        <v>2.8</v>
      </c>
      <c r="AW531" s="9">
        <v>2</v>
      </c>
      <c r="AX531" s="14"/>
    </row>
    <row r="532" spans="1:50" ht="24" customHeight="1" thickTop="1" thickBot="1" x14ac:dyDescent="0.35">
      <c r="A532" s="63"/>
      <c r="B532" s="76"/>
      <c r="C532" s="25"/>
      <c r="D532" s="86"/>
      <c r="E532" s="36" t="s">
        <v>152</v>
      </c>
      <c r="F532" s="36">
        <v>2</v>
      </c>
      <c r="G532" s="86"/>
      <c r="H532" s="36" t="s">
        <v>200</v>
      </c>
      <c r="I532" s="36">
        <v>2</v>
      </c>
      <c r="J532" s="39"/>
      <c r="K532" s="39"/>
      <c r="L532" s="39"/>
      <c r="M532" s="18"/>
      <c r="O532" s="1">
        <v>5</v>
      </c>
      <c r="P532" s="1">
        <v>1</v>
      </c>
      <c r="Q532" s="1">
        <v>1</v>
      </c>
      <c r="R532" s="1">
        <v>1</v>
      </c>
      <c r="S532" s="14"/>
      <c r="U532" s="9" t="s">
        <v>179</v>
      </c>
      <c r="V532" s="10" t="s">
        <v>180</v>
      </c>
      <c r="W532" s="9">
        <v>8.58</v>
      </c>
      <c r="X532" s="9">
        <v>0.65</v>
      </c>
      <c r="Y532" s="9">
        <v>1.07</v>
      </c>
      <c r="Z532" s="9">
        <v>0.75</v>
      </c>
      <c r="AA532" s="9">
        <v>2.68</v>
      </c>
      <c r="AB532" s="9">
        <v>0.81</v>
      </c>
      <c r="AC532" s="9">
        <v>0.93</v>
      </c>
      <c r="AD532" s="9">
        <v>1</v>
      </c>
      <c r="AE532" s="9">
        <v>1.22</v>
      </c>
      <c r="AF532" s="9">
        <v>1.62</v>
      </c>
      <c r="AH532" s="11" t="s">
        <v>181</v>
      </c>
      <c r="AI532" s="12" t="s">
        <v>182</v>
      </c>
      <c r="AJ532" s="11">
        <v>6.81</v>
      </c>
      <c r="AK532" s="11">
        <v>7.26</v>
      </c>
      <c r="AL532" s="11">
        <v>3</v>
      </c>
      <c r="AM532" s="11">
        <v>7.51</v>
      </c>
      <c r="AN532" s="11">
        <v>2.16</v>
      </c>
      <c r="AO532" s="11">
        <v>8.51</v>
      </c>
      <c r="AP532" s="11">
        <v>5.71</v>
      </c>
      <c r="AR532" s="11" t="s">
        <v>183</v>
      </c>
      <c r="AS532" s="12" t="s">
        <v>184</v>
      </c>
      <c r="AT532" s="11">
        <v>2.58</v>
      </c>
      <c r="AU532" s="11">
        <v>1.1299999999999999</v>
      </c>
      <c r="AV532" s="11">
        <v>2.2999999999999998</v>
      </c>
      <c r="AW532" s="11">
        <v>2</v>
      </c>
      <c r="AX532" s="14"/>
    </row>
    <row r="533" spans="1:50" ht="23.5" customHeight="1" thickTop="1" thickBot="1" x14ac:dyDescent="0.35">
      <c r="A533" s="63"/>
      <c r="B533" s="76"/>
      <c r="C533" s="25"/>
      <c r="D533" s="86"/>
      <c r="E533" s="36" t="s">
        <v>153</v>
      </c>
      <c r="F533" s="36">
        <v>2</v>
      </c>
      <c r="G533" s="86"/>
      <c r="H533" s="36" t="s">
        <v>201</v>
      </c>
      <c r="I533" s="36">
        <v>2</v>
      </c>
      <c r="J533" s="25"/>
      <c r="K533" s="25"/>
      <c r="L533" s="25"/>
      <c r="M533" s="18"/>
      <c r="O533" s="1">
        <v>6</v>
      </c>
      <c r="P533" s="1">
        <v>2</v>
      </c>
      <c r="Q533" s="1">
        <v>1</v>
      </c>
      <c r="R533" s="1">
        <v>1</v>
      </c>
      <c r="S533" s="14"/>
      <c r="U533" s="11" t="s">
        <v>187</v>
      </c>
      <c r="V533" s="12" t="s">
        <v>188</v>
      </c>
      <c r="W533" s="11">
        <v>9.14</v>
      </c>
      <c r="X533" s="11">
        <v>0.87</v>
      </c>
      <c r="Y533" s="11">
        <v>1.23</v>
      </c>
      <c r="Z533" s="11">
        <v>0.61</v>
      </c>
      <c r="AA533" s="11">
        <v>2.94</v>
      </c>
      <c r="AB533" s="11">
        <v>0.88</v>
      </c>
      <c r="AC533" s="11">
        <v>0.97</v>
      </c>
      <c r="AD533" s="11">
        <v>1.2</v>
      </c>
      <c r="AE533" s="11">
        <v>1.35</v>
      </c>
      <c r="AF533" s="11">
        <v>2.5</v>
      </c>
      <c r="AX533" s="14"/>
    </row>
    <row r="534" spans="1:50" ht="23.5" customHeight="1" thickTop="1" thickBot="1" x14ac:dyDescent="0.35">
      <c r="A534" s="63"/>
      <c r="B534" s="76"/>
      <c r="C534" s="25"/>
      <c r="D534" s="86"/>
      <c r="E534" s="1" t="s">
        <v>156</v>
      </c>
      <c r="F534" s="36">
        <v>2</v>
      </c>
      <c r="G534" s="87"/>
      <c r="H534" s="38" t="s">
        <v>164</v>
      </c>
      <c r="I534" s="38">
        <v>1</v>
      </c>
      <c r="J534" s="36"/>
      <c r="K534" s="25"/>
      <c r="L534" s="25"/>
      <c r="M534" s="18"/>
      <c r="O534" s="1">
        <v>7</v>
      </c>
      <c r="P534" s="1">
        <v>1</v>
      </c>
      <c r="Q534" s="1">
        <v>1</v>
      </c>
      <c r="R534" s="1">
        <v>1</v>
      </c>
      <c r="S534" s="14"/>
      <c r="U534" s="9"/>
      <c r="V534" s="10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X534" s="14"/>
    </row>
    <row r="535" spans="1:50" ht="23.5" customHeight="1" thickTop="1" thickBot="1" x14ac:dyDescent="0.35">
      <c r="A535" s="63"/>
      <c r="B535" s="76"/>
      <c r="C535" s="25"/>
      <c r="D535" s="87"/>
      <c r="E535" s="38" t="s">
        <v>197</v>
      </c>
      <c r="F535" s="38">
        <v>2</v>
      </c>
      <c r="G535" s="39"/>
      <c r="H535" s="39"/>
      <c r="I535" s="39"/>
      <c r="J535" s="36"/>
      <c r="K535" s="36"/>
      <c r="L535" s="25"/>
      <c r="M535" s="18"/>
      <c r="O535" s="1">
        <v>8</v>
      </c>
      <c r="P535" s="1">
        <v>0</v>
      </c>
      <c r="Q535" s="1">
        <v>1</v>
      </c>
      <c r="R535" s="1">
        <v>3</v>
      </c>
      <c r="S535" s="14"/>
      <c r="U535" s="9"/>
      <c r="V535" s="10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X535" s="14"/>
    </row>
    <row r="536" spans="1:50" ht="23" customHeight="1" thickTop="1" x14ac:dyDescent="0.3">
      <c r="A536" s="63"/>
      <c r="B536" s="76"/>
      <c r="C536" s="25"/>
      <c r="D536" s="39"/>
      <c r="E536" s="39"/>
      <c r="F536" s="39"/>
      <c r="G536" s="25"/>
      <c r="H536" s="25"/>
      <c r="I536" s="25"/>
      <c r="J536" s="25"/>
      <c r="K536" s="25"/>
      <c r="L536" s="25"/>
      <c r="M536" s="18"/>
      <c r="O536" s="1">
        <v>9</v>
      </c>
      <c r="P536" s="1">
        <v>2</v>
      </c>
      <c r="Q536" s="1">
        <v>0</v>
      </c>
      <c r="R536" s="1">
        <v>1</v>
      </c>
      <c r="S536" s="14"/>
      <c r="AX536" s="14"/>
    </row>
    <row r="537" spans="1:50" ht="23" customHeight="1" thickBot="1" x14ac:dyDescent="0.35">
      <c r="A537" s="63"/>
      <c r="B537" s="76"/>
      <c r="C537" s="25"/>
      <c r="D537" s="36"/>
      <c r="E537" s="36"/>
      <c r="F537" s="36"/>
      <c r="G537" s="25"/>
      <c r="H537" s="25"/>
      <c r="I537" s="25"/>
      <c r="J537" s="25"/>
      <c r="K537" s="25"/>
      <c r="L537" s="25"/>
      <c r="M537" s="18"/>
      <c r="O537" s="4">
        <v>10</v>
      </c>
      <c r="P537" s="4">
        <v>2</v>
      </c>
      <c r="Q537" s="4">
        <v>1</v>
      </c>
      <c r="R537" s="4">
        <v>2</v>
      </c>
      <c r="S537" s="14"/>
      <c r="AX537" s="14"/>
    </row>
    <row r="538" spans="1:50" ht="23.5" customHeight="1" thickTop="1" thickBot="1" x14ac:dyDescent="0.35">
      <c r="A538" s="63"/>
      <c r="B538" s="81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19"/>
      <c r="N538" s="15"/>
      <c r="O538" s="15"/>
      <c r="P538" s="15"/>
      <c r="Q538" s="15"/>
      <c r="R538" s="15"/>
      <c r="S538" s="16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6"/>
    </row>
    <row r="539" spans="1:50" ht="15" customHeight="1" thickTop="1" thickBot="1" x14ac:dyDescent="0.35">
      <c r="A539" s="63"/>
      <c r="B539" s="89" t="s">
        <v>143</v>
      </c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17"/>
      <c r="N539" s="24"/>
      <c r="O539" s="24"/>
      <c r="P539" s="24"/>
      <c r="Q539" s="24"/>
      <c r="R539" s="24"/>
      <c r="S539" s="17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17"/>
    </row>
    <row r="540" spans="1:50" ht="16" customHeight="1" thickTop="1" thickBot="1" x14ac:dyDescent="0.35">
      <c r="A540" s="63"/>
      <c r="B540" s="76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17"/>
      <c r="N540" s="24"/>
      <c r="O540" s="82" t="s">
        <v>205</v>
      </c>
      <c r="P540" s="82" t="s">
        <v>206</v>
      </c>
      <c r="Q540" s="83"/>
      <c r="R540" s="83"/>
      <c r="S540" s="17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17"/>
    </row>
    <row r="541" spans="1:50" ht="31" customHeight="1" thickTop="1" thickBot="1" x14ac:dyDescent="0.35">
      <c r="A541" s="63"/>
      <c r="B541" s="76"/>
      <c r="C541" s="24"/>
      <c r="D541" s="27" t="s">
        <v>191</v>
      </c>
      <c r="E541" s="27" t="s">
        <v>192</v>
      </c>
      <c r="F541" s="27" t="s">
        <v>193</v>
      </c>
      <c r="G541" s="27" t="s">
        <v>191</v>
      </c>
      <c r="H541" s="27" t="s">
        <v>192</v>
      </c>
      <c r="I541" s="27" t="s">
        <v>193</v>
      </c>
      <c r="J541" s="27" t="s">
        <v>191</v>
      </c>
      <c r="K541" s="27" t="s">
        <v>192</v>
      </c>
      <c r="L541" s="27" t="s">
        <v>193</v>
      </c>
      <c r="M541" s="17"/>
      <c r="N541" s="24"/>
      <c r="O541" s="84"/>
      <c r="P541" s="2" t="s">
        <v>178</v>
      </c>
      <c r="Q541" s="2" t="s">
        <v>186</v>
      </c>
      <c r="R541" s="2" t="s">
        <v>190</v>
      </c>
      <c r="S541" s="17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17"/>
    </row>
    <row r="542" spans="1:50" ht="23" customHeight="1" thickTop="1" x14ac:dyDescent="0.3">
      <c r="A542" s="63"/>
      <c r="B542" s="76"/>
      <c r="C542" s="33"/>
      <c r="D542" s="88" t="s">
        <v>194</v>
      </c>
      <c r="E542" s="36" t="s">
        <v>148</v>
      </c>
      <c r="F542" s="36">
        <v>6</v>
      </c>
      <c r="G542" s="85" t="s">
        <v>198</v>
      </c>
      <c r="H542" s="36" t="s">
        <v>158</v>
      </c>
      <c r="I542" s="36">
        <v>2</v>
      </c>
      <c r="J542" s="85" t="s">
        <v>202</v>
      </c>
      <c r="K542" s="36" t="s">
        <v>203</v>
      </c>
      <c r="L542" s="36">
        <v>3</v>
      </c>
      <c r="M542" s="18"/>
      <c r="N542" s="13"/>
      <c r="O542" s="1">
        <v>1</v>
      </c>
      <c r="P542" s="1">
        <v>1</v>
      </c>
      <c r="Q542" s="1">
        <v>0</v>
      </c>
      <c r="R542" s="1">
        <v>1</v>
      </c>
      <c r="S542" s="14"/>
      <c r="T542" s="13"/>
      <c r="U542" s="24"/>
      <c r="AX542" s="14"/>
    </row>
    <row r="543" spans="1:50" ht="23" customHeight="1" thickBot="1" x14ac:dyDescent="0.35">
      <c r="A543" s="63"/>
      <c r="B543" s="76"/>
      <c r="C543" s="25"/>
      <c r="D543" s="86"/>
      <c r="E543" s="36" t="s">
        <v>195</v>
      </c>
      <c r="F543" s="36">
        <v>2</v>
      </c>
      <c r="G543" s="86"/>
      <c r="H543" s="36" t="s">
        <v>159</v>
      </c>
      <c r="I543" s="36">
        <v>2</v>
      </c>
      <c r="J543" s="86"/>
      <c r="K543" s="36" t="s">
        <v>166</v>
      </c>
      <c r="L543" s="36">
        <v>3</v>
      </c>
      <c r="M543" s="18"/>
      <c r="O543" s="1">
        <v>2</v>
      </c>
      <c r="P543" s="1">
        <v>2</v>
      </c>
      <c r="Q543" s="1">
        <v>2</v>
      </c>
      <c r="R543" s="1">
        <v>0</v>
      </c>
      <c r="S543" s="14"/>
      <c r="Z543" s="23" t="s">
        <v>194</v>
      </c>
      <c r="AK543" s="23" t="s">
        <v>198</v>
      </c>
      <c r="AT543" s="23" t="s">
        <v>202</v>
      </c>
      <c r="AX543" s="14"/>
    </row>
    <row r="544" spans="1:50" ht="25" customHeight="1" thickTop="1" thickBot="1" x14ac:dyDescent="0.35">
      <c r="A544" s="63"/>
      <c r="B544" s="76"/>
      <c r="C544" s="25"/>
      <c r="D544" s="86"/>
      <c r="E544" s="36" t="s">
        <v>196</v>
      </c>
      <c r="F544" s="36">
        <v>2</v>
      </c>
      <c r="G544" s="86"/>
      <c r="H544" s="36" t="s">
        <v>160</v>
      </c>
      <c r="I544" s="36">
        <v>2</v>
      </c>
      <c r="J544" s="86"/>
      <c r="K544" s="36" t="s">
        <v>167</v>
      </c>
      <c r="L544" s="36">
        <v>2</v>
      </c>
      <c r="M544" s="18"/>
      <c r="O544" s="1">
        <v>3</v>
      </c>
      <c r="P544" s="1">
        <v>2</v>
      </c>
      <c r="Q544" s="1">
        <v>1</v>
      </c>
      <c r="R544" s="1">
        <v>0</v>
      </c>
      <c r="S544" s="14"/>
      <c r="U544" s="7" t="s">
        <v>146</v>
      </c>
      <c r="V544" s="7" t="s">
        <v>147</v>
      </c>
      <c r="W544" s="7" t="s">
        <v>148</v>
      </c>
      <c r="X544" s="7" t="s">
        <v>149</v>
      </c>
      <c r="Y544" s="7" t="s">
        <v>150</v>
      </c>
      <c r="Z544" s="8" t="s">
        <v>151</v>
      </c>
      <c r="AA544" s="7" t="s">
        <v>152</v>
      </c>
      <c r="AB544" s="7" t="s">
        <v>153</v>
      </c>
      <c r="AC544" s="7" t="s">
        <v>154</v>
      </c>
      <c r="AD544" s="7" t="s">
        <v>155</v>
      </c>
      <c r="AE544" s="8" t="s">
        <v>156</v>
      </c>
      <c r="AF544" s="7" t="s">
        <v>157</v>
      </c>
      <c r="AH544" s="7" t="s">
        <v>146</v>
      </c>
      <c r="AI544" s="7" t="s">
        <v>147</v>
      </c>
      <c r="AJ544" s="7" t="s">
        <v>158</v>
      </c>
      <c r="AK544" s="7" t="s">
        <v>159</v>
      </c>
      <c r="AL544" s="7" t="s">
        <v>160</v>
      </c>
      <c r="AM544" s="7" t="s">
        <v>161</v>
      </c>
      <c r="AN544" s="7" t="s">
        <v>162</v>
      </c>
      <c r="AO544" s="7" t="s">
        <v>163</v>
      </c>
      <c r="AP544" s="7" t="s">
        <v>164</v>
      </c>
      <c r="AR544" s="7" t="s">
        <v>146</v>
      </c>
      <c r="AS544" s="7" t="s">
        <v>147</v>
      </c>
      <c r="AT544" s="7" t="s">
        <v>165</v>
      </c>
      <c r="AU544" s="7" t="s">
        <v>166</v>
      </c>
      <c r="AV544" s="7" t="s">
        <v>167</v>
      </c>
      <c r="AW544" s="7" t="s">
        <v>168</v>
      </c>
      <c r="AX544" s="14"/>
    </row>
    <row r="545" spans="1:50" ht="24" customHeight="1" thickTop="1" thickBot="1" x14ac:dyDescent="0.35">
      <c r="A545" s="63"/>
      <c r="B545" s="76"/>
      <c r="C545" s="25"/>
      <c r="D545" s="86"/>
      <c r="E545" s="1" t="s">
        <v>151</v>
      </c>
      <c r="F545" s="36">
        <v>2</v>
      </c>
      <c r="G545" s="86"/>
      <c r="H545" s="36" t="s">
        <v>199</v>
      </c>
      <c r="I545" s="36">
        <v>2</v>
      </c>
      <c r="J545" s="87"/>
      <c r="K545" s="38" t="s">
        <v>168</v>
      </c>
      <c r="L545" s="38">
        <v>2</v>
      </c>
      <c r="M545" s="18"/>
      <c r="O545" s="1">
        <v>4</v>
      </c>
      <c r="P545" s="1">
        <v>2</v>
      </c>
      <c r="Q545" s="1">
        <v>2</v>
      </c>
      <c r="R545" s="1">
        <v>0</v>
      </c>
      <c r="S545" s="14"/>
      <c r="U545" s="9" t="s">
        <v>171</v>
      </c>
      <c r="V545" s="10" t="s">
        <v>172</v>
      </c>
      <c r="W545" s="9">
        <v>7.63</v>
      </c>
      <c r="X545" s="9">
        <v>0.81</v>
      </c>
      <c r="Y545" s="9">
        <v>1.1299999999999999</v>
      </c>
      <c r="Z545" s="9">
        <v>0.68</v>
      </c>
      <c r="AA545" s="9">
        <v>2.5</v>
      </c>
      <c r="AB545" s="9">
        <v>0.83</v>
      </c>
      <c r="AC545" s="9">
        <v>0.99</v>
      </c>
      <c r="AD545" s="9">
        <v>1.1200000000000001</v>
      </c>
      <c r="AE545" s="9">
        <v>1.08</v>
      </c>
      <c r="AF545" s="9">
        <v>1.94</v>
      </c>
      <c r="AH545" s="9" t="s">
        <v>173</v>
      </c>
      <c r="AI545" s="10" t="s">
        <v>174</v>
      </c>
      <c r="AJ545" s="9">
        <v>6.26</v>
      </c>
      <c r="AK545" s="9">
        <v>6.61</v>
      </c>
      <c r="AL545" s="9">
        <v>3</v>
      </c>
      <c r="AM545" s="9">
        <v>6.81</v>
      </c>
      <c r="AN545" s="9">
        <v>1.61</v>
      </c>
      <c r="AO545" s="9">
        <v>7.26</v>
      </c>
      <c r="AP545" s="9">
        <v>5.26</v>
      </c>
      <c r="AR545" s="9" t="s">
        <v>175</v>
      </c>
      <c r="AS545" s="10" t="s">
        <v>176</v>
      </c>
      <c r="AT545" s="9">
        <v>2.83</v>
      </c>
      <c r="AU545" s="9">
        <v>1.08</v>
      </c>
      <c r="AV545" s="9">
        <v>2.5</v>
      </c>
      <c r="AW545" s="9">
        <v>2</v>
      </c>
      <c r="AX545" s="14"/>
    </row>
    <row r="546" spans="1:50" ht="24" customHeight="1" thickTop="1" thickBot="1" x14ac:dyDescent="0.35">
      <c r="A546" s="63"/>
      <c r="B546" s="76"/>
      <c r="C546" s="25"/>
      <c r="D546" s="86"/>
      <c r="E546" s="36" t="s">
        <v>152</v>
      </c>
      <c r="F546" s="36">
        <v>2</v>
      </c>
      <c r="G546" s="86"/>
      <c r="H546" s="36" t="s">
        <v>200</v>
      </c>
      <c r="I546" s="36">
        <v>2</v>
      </c>
      <c r="J546" s="39"/>
      <c r="K546" s="39"/>
      <c r="L546" s="39"/>
      <c r="M546" s="18"/>
      <c r="O546" s="1">
        <v>5</v>
      </c>
      <c r="P546" s="1">
        <v>1</v>
      </c>
      <c r="Q546" s="1">
        <v>1</v>
      </c>
      <c r="R546" s="1">
        <v>1</v>
      </c>
      <c r="S546" s="14"/>
      <c r="U546" s="9" t="s">
        <v>179</v>
      </c>
      <c r="V546" s="10" t="s">
        <v>180</v>
      </c>
      <c r="W546" s="9">
        <v>8.23</v>
      </c>
      <c r="X546" s="9">
        <v>0.72</v>
      </c>
      <c r="Y546" s="9">
        <v>1.01</v>
      </c>
      <c r="Z546" s="9">
        <v>0.56999999999999995</v>
      </c>
      <c r="AA546" s="9">
        <v>2.77</v>
      </c>
      <c r="AB546" s="9">
        <v>0.86</v>
      </c>
      <c r="AC546" s="9">
        <v>0.92</v>
      </c>
      <c r="AD546" s="9">
        <v>1.07</v>
      </c>
      <c r="AE546" s="9">
        <v>1.3</v>
      </c>
      <c r="AF546" s="9">
        <v>2.39</v>
      </c>
      <c r="AH546" s="11" t="s">
        <v>181</v>
      </c>
      <c r="AI546" s="12" t="s">
        <v>182</v>
      </c>
      <c r="AJ546" s="11">
        <v>6.83</v>
      </c>
      <c r="AK546" s="11">
        <v>7.31</v>
      </c>
      <c r="AL546" s="11">
        <v>3</v>
      </c>
      <c r="AM546" s="11">
        <v>7.71</v>
      </c>
      <c r="AN546" s="11">
        <v>2.31</v>
      </c>
      <c r="AO546" s="11">
        <v>8.7100000000000009</v>
      </c>
      <c r="AP546" s="11">
        <v>5.76</v>
      </c>
      <c r="AR546" s="11" t="s">
        <v>183</v>
      </c>
      <c r="AS546" s="12" t="s">
        <v>184</v>
      </c>
      <c r="AT546" s="11">
        <v>3.27</v>
      </c>
      <c r="AU546" s="11">
        <v>1.19</v>
      </c>
      <c r="AV546" s="11">
        <v>2.25</v>
      </c>
      <c r="AW546" s="11">
        <v>2</v>
      </c>
      <c r="AX546" s="14"/>
    </row>
    <row r="547" spans="1:50" ht="23.5" customHeight="1" thickTop="1" thickBot="1" x14ac:dyDescent="0.35">
      <c r="A547" s="63"/>
      <c r="B547" s="76"/>
      <c r="C547" s="25"/>
      <c r="D547" s="86"/>
      <c r="E547" s="36" t="s">
        <v>153</v>
      </c>
      <c r="F547" s="36">
        <v>2</v>
      </c>
      <c r="G547" s="86"/>
      <c r="H547" s="36" t="s">
        <v>201</v>
      </c>
      <c r="I547" s="36">
        <v>2</v>
      </c>
      <c r="J547" s="25"/>
      <c r="K547" s="25"/>
      <c r="L547" s="25"/>
      <c r="M547" s="18"/>
      <c r="O547" s="1">
        <v>6</v>
      </c>
      <c r="P547" s="1">
        <v>2</v>
      </c>
      <c r="Q547" s="1">
        <v>1</v>
      </c>
      <c r="R547" s="1">
        <v>2</v>
      </c>
      <c r="S547" s="14"/>
      <c r="U547" s="11" t="s">
        <v>187</v>
      </c>
      <c r="V547" s="12" t="s">
        <v>188</v>
      </c>
      <c r="W547" s="11">
        <v>9.07</v>
      </c>
      <c r="X547" s="11">
        <v>0.68</v>
      </c>
      <c r="Y547" s="11">
        <v>1.25</v>
      </c>
      <c r="Z547" s="11">
        <v>0.71</v>
      </c>
      <c r="AA547" s="11">
        <v>2.5</v>
      </c>
      <c r="AB547" s="11">
        <v>0.89</v>
      </c>
      <c r="AC547" s="11">
        <v>0.95</v>
      </c>
      <c r="AD547" s="11">
        <v>1.1499999999999999</v>
      </c>
      <c r="AE547" s="11">
        <v>1.38</v>
      </c>
      <c r="AF547" s="11">
        <v>1.56</v>
      </c>
      <c r="AX547" s="14"/>
    </row>
    <row r="548" spans="1:50" ht="23.5" customHeight="1" thickTop="1" thickBot="1" x14ac:dyDescent="0.35">
      <c r="A548" s="63"/>
      <c r="B548" s="76"/>
      <c r="C548" s="25"/>
      <c r="D548" s="86"/>
      <c r="E548" s="1" t="s">
        <v>156</v>
      </c>
      <c r="F548" s="36">
        <v>2</v>
      </c>
      <c r="G548" s="87"/>
      <c r="H548" s="38" t="s">
        <v>164</v>
      </c>
      <c r="I548" s="38">
        <v>1</v>
      </c>
      <c r="J548" s="36"/>
      <c r="K548" s="25"/>
      <c r="L548" s="25"/>
      <c r="M548" s="18"/>
      <c r="O548" s="1">
        <v>7</v>
      </c>
      <c r="P548" s="1">
        <v>1</v>
      </c>
      <c r="Q548" s="1">
        <v>1</v>
      </c>
      <c r="R548" s="1">
        <v>1</v>
      </c>
      <c r="S548" s="14"/>
      <c r="U548" s="9"/>
      <c r="V548" s="10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X548" s="14"/>
    </row>
    <row r="549" spans="1:50" ht="23.5" customHeight="1" thickTop="1" thickBot="1" x14ac:dyDescent="0.35">
      <c r="A549" s="63"/>
      <c r="B549" s="76"/>
      <c r="C549" s="25"/>
      <c r="D549" s="87"/>
      <c r="E549" s="38" t="s">
        <v>197</v>
      </c>
      <c r="F549" s="38">
        <v>2</v>
      </c>
      <c r="G549" s="39"/>
      <c r="H549" s="39"/>
      <c r="I549" s="39"/>
      <c r="J549" s="36"/>
      <c r="K549" s="36"/>
      <c r="L549" s="25"/>
      <c r="M549" s="18"/>
      <c r="O549" s="1">
        <v>8</v>
      </c>
      <c r="P549" s="1">
        <v>2</v>
      </c>
      <c r="Q549" s="1">
        <v>2</v>
      </c>
      <c r="R549" s="1">
        <v>2</v>
      </c>
      <c r="S549" s="14"/>
      <c r="U549" s="9"/>
      <c r="V549" s="10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X549" s="14"/>
    </row>
    <row r="550" spans="1:50" ht="23" customHeight="1" thickTop="1" x14ac:dyDescent="0.3">
      <c r="A550" s="63"/>
      <c r="B550" s="76"/>
      <c r="C550" s="25"/>
      <c r="D550" s="39"/>
      <c r="E550" s="39"/>
      <c r="F550" s="39"/>
      <c r="G550" s="25"/>
      <c r="H550" s="25"/>
      <c r="I550" s="25"/>
      <c r="J550" s="25"/>
      <c r="K550" s="25"/>
      <c r="L550" s="25"/>
      <c r="M550" s="18"/>
      <c r="O550" s="1">
        <v>9</v>
      </c>
      <c r="P550" s="1">
        <v>0</v>
      </c>
      <c r="Q550" s="1">
        <v>3</v>
      </c>
      <c r="R550" s="1">
        <v>3</v>
      </c>
      <c r="S550" s="14"/>
      <c r="AX550" s="14"/>
    </row>
    <row r="551" spans="1:50" ht="23" customHeight="1" thickBot="1" x14ac:dyDescent="0.35">
      <c r="A551" s="63"/>
      <c r="B551" s="76"/>
      <c r="C551" s="25"/>
      <c r="D551" s="36"/>
      <c r="E551" s="36"/>
      <c r="F551" s="36"/>
      <c r="G551" s="25"/>
      <c r="H551" s="25"/>
      <c r="I551" s="25"/>
      <c r="J551" s="25"/>
      <c r="K551" s="25"/>
      <c r="L551" s="25"/>
      <c r="M551" s="18"/>
      <c r="O551" s="4">
        <v>10</v>
      </c>
      <c r="P551" s="4">
        <v>1</v>
      </c>
      <c r="Q551" s="4">
        <v>0</v>
      </c>
      <c r="R551" s="4">
        <v>2</v>
      </c>
      <c r="S551" s="14"/>
      <c r="AX551" s="14"/>
    </row>
    <row r="552" spans="1:50" ht="23.5" customHeight="1" thickTop="1" thickBot="1" x14ac:dyDescent="0.35">
      <c r="A552" s="63"/>
      <c r="B552" s="81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19"/>
      <c r="N552" s="15"/>
      <c r="O552" s="15"/>
      <c r="P552" s="15"/>
      <c r="Q552" s="15"/>
      <c r="R552" s="15"/>
      <c r="S552" s="16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6"/>
    </row>
    <row r="553" spans="1:50" ht="15" customHeight="1" thickTop="1" thickBot="1" x14ac:dyDescent="0.35">
      <c r="A553" s="63"/>
      <c r="B553" s="89" t="s">
        <v>144</v>
      </c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17"/>
      <c r="N553" s="24"/>
      <c r="O553" s="24"/>
      <c r="P553" s="24"/>
      <c r="Q553" s="24"/>
      <c r="R553" s="24"/>
      <c r="S553" s="17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17"/>
    </row>
    <row r="554" spans="1:50" ht="16" customHeight="1" thickTop="1" thickBot="1" x14ac:dyDescent="0.35">
      <c r="A554" s="63"/>
      <c r="B554" s="76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17"/>
      <c r="N554" s="24"/>
      <c r="O554" s="82" t="s">
        <v>205</v>
      </c>
      <c r="P554" s="82" t="s">
        <v>206</v>
      </c>
      <c r="Q554" s="83"/>
      <c r="R554" s="83"/>
      <c r="S554" s="17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17"/>
    </row>
    <row r="555" spans="1:50" ht="31" customHeight="1" thickTop="1" thickBot="1" x14ac:dyDescent="0.35">
      <c r="A555" s="63"/>
      <c r="B555" s="76"/>
      <c r="C555" s="24"/>
      <c r="D555" s="27" t="s">
        <v>191</v>
      </c>
      <c r="E555" s="27" t="s">
        <v>192</v>
      </c>
      <c r="F555" s="27" t="s">
        <v>193</v>
      </c>
      <c r="G555" s="27" t="s">
        <v>191</v>
      </c>
      <c r="H555" s="27" t="s">
        <v>192</v>
      </c>
      <c r="I555" s="27" t="s">
        <v>193</v>
      </c>
      <c r="J555" s="27" t="s">
        <v>191</v>
      </c>
      <c r="K555" s="27" t="s">
        <v>192</v>
      </c>
      <c r="L555" s="27" t="s">
        <v>193</v>
      </c>
      <c r="M555" s="17"/>
      <c r="N555" s="24"/>
      <c r="O555" s="84"/>
      <c r="P555" s="2" t="s">
        <v>178</v>
      </c>
      <c r="Q555" s="2" t="s">
        <v>186</v>
      </c>
      <c r="R555" s="2" t="s">
        <v>190</v>
      </c>
      <c r="S555" s="17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17"/>
    </row>
    <row r="556" spans="1:50" ht="23" customHeight="1" thickTop="1" x14ac:dyDescent="0.3">
      <c r="A556" s="63"/>
      <c r="B556" s="76"/>
      <c r="C556" s="33"/>
      <c r="D556" s="88" t="s">
        <v>194</v>
      </c>
      <c r="E556" s="36" t="s">
        <v>148</v>
      </c>
      <c r="F556" s="36">
        <v>6</v>
      </c>
      <c r="G556" s="85" t="s">
        <v>198</v>
      </c>
      <c r="H556" s="36" t="s">
        <v>158</v>
      </c>
      <c r="I556" s="36">
        <v>3</v>
      </c>
      <c r="J556" s="85" t="s">
        <v>202</v>
      </c>
      <c r="K556" s="36" t="s">
        <v>203</v>
      </c>
      <c r="L556" s="36">
        <v>3</v>
      </c>
      <c r="M556" s="18"/>
      <c r="N556" s="13"/>
      <c r="O556" s="1">
        <v>1</v>
      </c>
      <c r="P556" s="1">
        <v>1</v>
      </c>
      <c r="Q556" s="1">
        <v>1</v>
      </c>
      <c r="R556" s="1">
        <v>1</v>
      </c>
      <c r="S556" s="14"/>
      <c r="T556" s="13"/>
      <c r="U556" s="24"/>
      <c r="AX556" s="14"/>
    </row>
    <row r="557" spans="1:50" ht="23" customHeight="1" thickBot="1" x14ac:dyDescent="0.35">
      <c r="A557" s="63"/>
      <c r="B557" s="76"/>
      <c r="C557" s="25"/>
      <c r="D557" s="86"/>
      <c r="E557" s="36" t="s">
        <v>195</v>
      </c>
      <c r="F557" s="36">
        <v>3</v>
      </c>
      <c r="G557" s="86"/>
      <c r="H557" s="36" t="s">
        <v>159</v>
      </c>
      <c r="I557" s="36">
        <v>2</v>
      </c>
      <c r="J557" s="86"/>
      <c r="K557" s="36" t="s">
        <v>166</v>
      </c>
      <c r="L557" s="36">
        <v>3</v>
      </c>
      <c r="M557" s="18"/>
      <c r="O557" s="1">
        <v>2</v>
      </c>
      <c r="P557" s="1">
        <v>2</v>
      </c>
      <c r="Q557" s="1">
        <v>2</v>
      </c>
      <c r="R557" s="1">
        <v>1</v>
      </c>
      <c r="S557" s="14"/>
      <c r="Z557" s="23" t="s">
        <v>194</v>
      </c>
      <c r="AK557" s="23" t="s">
        <v>198</v>
      </c>
      <c r="AT557" s="23" t="s">
        <v>202</v>
      </c>
      <c r="AX557" s="14"/>
    </row>
    <row r="558" spans="1:50" ht="25" customHeight="1" thickTop="1" thickBot="1" x14ac:dyDescent="0.35">
      <c r="A558" s="63"/>
      <c r="B558" s="76"/>
      <c r="C558" s="25"/>
      <c r="D558" s="86"/>
      <c r="E558" s="36" t="s">
        <v>196</v>
      </c>
      <c r="F558" s="36">
        <v>2</v>
      </c>
      <c r="G558" s="86"/>
      <c r="H558" s="36" t="s">
        <v>160</v>
      </c>
      <c r="I558" s="36">
        <v>2</v>
      </c>
      <c r="J558" s="86"/>
      <c r="K558" s="36" t="s">
        <v>167</v>
      </c>
      <c r="L558" s="36">
        <v>3</v>
      </c>
      <c r="M558" s="18"/>
      <c r="O558" s="1">
        <v>3</v>
      </c>
      <c r="P558" s="1">
        <v>1</v>
      </c>
      <c r="Q558" s="1">
        <v>1</v>
      </c>
      <c r="R558" s="1">
        <v>1</v>
      </c>
      <c r="S558" s="14"/>
      <c r="U558" s="7" t="s">
        <v>146</v>
      </c>
      <c r="V558" s="7" t="s">
        <v>147</v>
      </c>
      <c r="W558" s="7" t="s">
        <v>148</v>
      </c>
      <c r="X558" s="7" t="s">
        <v>149</v>
      </c>
      <c r="Y558" s="7" t="s">
        <v>150</v>
      </c>
      <c r="Z558" s="8" t="s">
        <v>151</v>
      </c>
      <c r="AA558" s="7" t="s">
        <v>152</v>
      </c>
      <c r="AB558" s="7" t="s">
        <v>153</v>
      </c>
      <c r="AC558" s="7" t="s">
        <v>154</v>
      </c>
      <c r="AD558" s="7" t="s">
        <v>155</v>
      </c>
      <c r="AE558" s="8" t="s">
        <v>156</v>
      </c>
      <c r="AF558" s="7" t="s">
        <v>157</v>
      </c>
      <c r="AH558" s="7" t="s">
        <v>146</v>
      </c>
      <c r="AI558" s="7" t="s">
        <v>147</v>
      </c>
      <c r="AJ558" s="7" t="s">
        <v>158</v>
      </c>
      <c r="AK558" s="7" t="s">
        <v>159</v>
      </c>
      <c r="AL558" s="7" t="s">
        <v>160</v>
      </c>
      <c r="AM558" s="7" t="s">
        <v>161</v>
      </c>
      <c r="AN558" s="7" t="s">
        <v>162</v>
      </c>
      <c r="AO558" s="7" t="s">
        <v>163</v>
      </c>
      <c r="AP558" s="7" t="s">
        <v>164</v>
      </c>
      <c r="AR558" s="7" t="s">
        <v>146</v>
      </c>
      <c r="AS558" s="7" t="s">
        <v>147</v>
      </c>
      <c r="AT558" s="7" t="s">
        <v>165</v>
      </c>
      <c r="AU558" s="7" t="s">
        <v>166</v>
      </c>
      <c r="AV558" s="7" t="s">
        <v>167</v>
      </c>
      <c r="AW558" s="7" t="s">
        <v>168</v>
      </c>
      <c r="AX558" s="14"/>
    </row>
    <row r="559" spans="1:50" ht="24" customHeight="1" thickTop="1" thickBot="1" x14ac:dyDescent="0.35">
      <c r="A559" s="63"/>
      <c r="B559" s="76"/>
      <c r="C559" s="25"/>
      <c r="D559" s="86"/>
      <c r="E559" s="1" t="s">
        <v>151</v>
      </c>
      <c r="F559" s="36">
        <v>2</v>
      </c>
      <c r="G559" s="86"/>
      <c r="H559" s="36" t="s">
        <v>199</v>
      </c>
      <c r="I559" s="36">
        <v>2</v>
      </c>
      <c r="J559" s="87"/>
      <c r="K559" s="38" t="s">
        <v>168</v>
      </c>
      <c r="L559" s="38">
        <v>3</v>
      </c>
      <c r="M559" s="18"/>
      <c r="O559" s="1">
        <v>4</v>
      </c>
      <c r="P559" s="1">
        <v>0</v>
      </c>
      <c r="Q559" s="1">
        <v>2</v>
      </c>
      <c r="R559" s="1">
        <v>0</v>
      </c>
      <c r="S559" s="14"/>
      <c r="U559" s="9" t="s">
        <v>171</v>
      </c>
      <c r="V559" s="10" t="s">
        <v>172</v>
      </c>
      <c r="W559" s="9">
        <v>7.1</v>
      </c>
      <c r="X559" s="9">
        <v>0.76</v>
      </c>
      <c r="Y559" s="9">
        <v>1.1000000000000001</v>
      </c>
      <c r="Z559" s="9">
        <v>0.67</v>
      </c>
      <c r="AA559" s="9">
        <v>2.5</v>
      </c>
      <c r="AB559" s="9">
        <v>0.84</v>
      </c>
      <c r="AC559" s="9">
        <v>0.98</v>
      </c>
      <c r="AD559" s="9">
        <v>1.1000000000000001</v>
      </c>
      <c r="AE559" s="9">
        <v>1.05</v>
      </c>
      <c r="AF559" s="9">
        <v>2.04</v>
      </c>
      <c r="AH559" s="9" t="s">
        <v>173</v>
      </c>
      <c r="AI559" s="10" t="s">
        <v>174</v>
      </c>
      <c r="AJ559" s="9">
        <v>6.95</v>
      </c>
      <c r="AK559" s="9">
        <v>7.44</v>
      </c>
      <c r="AL559" s="9">
        <v>3</v>
      </c>
      <c r="AM559" s="9">
        <v>7.86</v>
      </c>
      <c r="AN559" s="9">
        <v>2.44</v>
      </c>
      <c r="AO559" s="9">
        <v>8.9499999999999993</v>
      </c>
      <c r="AP559" s="9">
        <v>5.95</v>
      </c>
      <c r="AR559" s="9" t="s">
        <v>175</v>
      </c>
      <c r="AS559" s="10" t="s">
        <v>176</v>
      </c>
      <c r="AT559" s="9">
        <v>3.13</v>
      </c>
      <c r="AU559" s="9">
        <v>1.1200000000000001</v>
      </c>
      <c r="AV559" s="9">
        <v>2.95</v>
      </c>
      <c r="AW559" s="9">
        <v>2</v>
      </c>
      <c r="AX559" s="14"/>
    </row>
    <row r="560" spans="1:50" ht="24" customHeight="1" thickTop="1" thickBot="1" x14ac:dyDescent="0.35">
      <c r="A560" s="63"/>
      <c r="B560" s="76"/>
      <c r="C560" s="25"/>
      <c r="D560" s="86"/>
      <c r="E560" s="36" t="s">
        <v>152</v>
      </c>
      <c r="F560" s="36">
        <v>2</v>
      </c>
      <c r="G560" s="86"/>
      <c r="H560" s="36" t="s">
        <v>200</v>
      </c>
      <c r="I560" s="36">
        <v>2</v>
      </c>
      <c r="J560" s="39"/>
      <c r="K560" s="39"/>
      <c r="L560" s="39"/>
      <c r="M560" s="18"/>
      <c r="O560" s="1">
        <v>5</v>
      </c>
      <c r="P560" s="1">
        <v>1</v>
      </c>
      <c r="Q560" s="1">
        <v>1</v>
      </c>
      <c r="R560" s="1">
        <v>1</v>
      </c>
      <c r="S560" s="14"/>
      <c r="U560" s="9" t="s">
        <v>179</v>
      </c>
      <c r="V560" s="10" t="s">
        <v>180</v>
      </c>
      <c r="W560" s="9">
        <v>8.6</v>
      </c>
      <c r="X560" s="9">
        <v>0.9</v>
      </c>
      <c r="Y560" s="9">
        <v>1.04</v>
      </c>
      <c r="Z560" s="9">
        <v>0.75</v>
      </c>
      <c r="AA560" s="9">
        <v>2.88</v>
      </c>
      <c r="AB560" s="9">
        <v>0.8</v>
      </c>
      <c r="AC560" s="9">
        <v>0.92</v>
      </c>
      <c r="AD560" s="9">
        <v>1.07</v>
      </c>
      <c r="AE560" s="9">
        <v>1.1000000000000001</v>
      </c>
      <c r="AF560" s="9">
        <v>1.64</v>
      </c>
      <c r="AH560" s="11" t="s">
        <v>181</v>
      </c>
      <c r="AI560" s="12" t="s">
        <v>182</v>
      </c>
      <c r="AJ560" s="11">
        <v>6.08</v>
      </c>
      <c r="AK560" s="11">
        <v>6.58</v>
      </c>
      <c r="AL560" s="11">
        <v>3</v>
      </c>
      <c r="AM560" s="11">
        <v>6.04</v>
      </c>
      <c r="AN560" s="11">
        <v>1.58</v>
      </c>
      <c r="AO560" s="11">
        <v>7.08</v>
      </c>
      <c r="AP560" s="11">
        <v>5.08</v>
      </c>
      <c r="AR560" s="11" t="s">
        <v>183</v>
      </c>
      <c r="AS560" s="12" t="s">
        <v>184</v>
      </c>
      <c r="AT560" s="11">
        <v>2.72</v>
      </c>
      <c r="AU560" s="11">
        <v>1.03</v>
      </c>
      <c r="AV560" s="11">
        <v>2.65</v>
      </c>
      <c r="AW560" s="11">
        <v>2</v>
      </c>
      <c r="AX560" s="14"/>
    </row>
    <row r="561" spans="1:50" ht="23.5" customHeight="1" thickTop="1" thickBot="1" x14ac:dyDescent="0.35">
      <c r="A561" s="63"/>
      <c r="B561" s="76"/>
      <c r="C561" s="25"/>
      <c r="D561" s="86"/>
      <c r="E561" s="36" t="s">
        <v>153</v>
      </c>
      <c r="F561" s="36">
        <v>2</v>
      </c>
      <c r="G561" s="86"/>
      <c r="H561" s="36" t="s">
        <v>201</v>
      </c>
      <c r="I561" s="36">
        <v>2</v>
      </c>
      <c r="J561" s="25"/>
      <c r="K561" s="25"/>
      <c r="L561" s="25"/>
      <c r="M561" s="18"/>
      <c r="O561" s="1">
        <v>6</v>
      </c>
      <c r="P561" s="1">
        <v>2</v>
      </c>
      <c r="Q561" s="1">
        <v>3</v>
      </c>
      <c r="R561" s="1">
        <v>1</v>
      </c>
      <c r="S561" s="14"/>
      <c r="U561" s="11" t="s">
        <v>187</v>
      </c>
      <c r="V561" s="12" t="s">
        <v>188</v>
      </c>
      <c r="W561" s="11">
        <v>9.23</v>
      </c>
      <c r="X561" s="11">
        <v>0.65</v>
      </c>
      <c r="Y561" s="11">
        <v>1.21</v>
      </c>
      <c r="Z561" s="11">
        <v>0.69</v>
      </c>
      <c r="AA561" s="11">
        <v>2.5</v>
      </c>
      <c r="AB561" s="11">
        <v>0.88</v>
      </c>
      <c r="AC561" s="11">
        <v>0.95</v>
      </c>
      <c r="AD561" s="11">
        <v>1.2</v>
      </c>
      <c r="AE561" s="11">
        <v>1.4</v>
      </c>
      <c r="AF561" s="11">
        <v>2.5</v>
      </c>
      <c r="AX561" s="14"/>
    </row>
    <row r="562" spans="1:50" ht="23.5" customHeight="1" thickTop="1" thickBot="1" x14ac:dyDescent="0.35">
      <c r="A562" s="63"/>
      <c r="B562" s="76"/>
      <c r="C562" s="25"/>
      <c r="D562" s="86"/>
      <c r="E562" s="1" t="s">
        <v>156</v>
      </c>
      <c r="F562" s="36">
        <v>2</v>
      </c>
      <c r="G562" s="87"/>
      <c r="H562" s="38" t="s">
        <v>164</v>
      </c>
      <c r="I562" s="38">
        <v>1</v>
      </c>
      <c r="J562" s="36"/>
      <c r="K562" s="25"/>
      <c r="L562" s="25"/>
      <c r="M562" s="18"/>
      <c r="O562" s="1">
        <v>7</v>
      </c>
      <c r="P562" s="1">
        <v>1</v>
      </c>
      <c r="Q562" s="1">
        <v>1</v>
      </c>
      <c r="R562" s="1">
        <v>1</v>
      </c>
      <c r="S562" s="14"/>
      <c r="U562" s="9"/>
      <c r="V562" s="10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X562" s="14"/>
    </row>
    <row r="563" spans="1:50" ht="23.5" customHeight="1" thickTop="1" thickBot="1" x14ac:dyDescent="0.35">
      <c r="A563" s="63"/>
      <c r="B563" s="76"/>
      <c r="C563" s="25"/>
      <c r="D563" s="87"/>
      <c r="E563" s="38" t="s">
        <v>197</v>
      </c>
      <c r="F563" s="38">
        <v>2</v>
      </c>
      <c r="G563" s="39"/>
      <c r="H563" s="39"/>
      <c r="I563" s="39"/>
      <c r="J563" s="36"/>
      <c r="K563" s="36"/>
      <c r="L563" s="25"/>
      <c r="M563" s="18"/>
      <c r="O563" s="1">
        <v>8</v>
      </c>
      <c r="P563" s="1">
        <v>2</v>
      </c>
      <c r="Q563" s="1">
        <v>1</v>
      </c>
      <c r="R563" s="1">
        <v>4</v>
      </c>
      <c r="S563" s="14"/>
      <c r="U563" s="9"/>
      <c r="V563" s="10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X563" s="14"/>
    </row>
    <row r="564" spans="1:50" ht="23" customHeight="1" thickTop="1" x14ac:dyDescent="0.3">
      <c r="A564" s="63"/>
      <c r="B564" s="76"/>
      <c r="C564" s="25"/>
      <c r="D564" s="39"/>
      <c r="E564" s="39"/>
      <c r="F564" s="39"/>
      <c r="G564" s="25"/>
      <c r="H564" s="25"/>
      <c r="I564" s="25"/>
      <c r="J564" s="25"/>
      <c r="K564" s="25"/>
      <c r="L564" s="25"/>
      <c r="M564" s="18"/>
      <c r="O564" s="1">
        <v>9</v>
      </c>
      <c r="P564" s="1">
        <v>2</v>
      </c>
      <c r="Q564" s="1">
        <v>3</v>
      </c>
      <c r="R564" s="1">
        <v>0</v>
      </c>
      <c r="S564" s="14"/>
      <c r="AX564" s="14"/>
    </row>
    <row r="565" spans="1:50" ht="23" customHeight="1" thickBot="1" x14ac:dyDescent="0.35">
      <c r="A565" s="63"/>
      <c r="B565" s="76"/>
      <c r="C565" s="25"/>
      <c r="D565" s="36"/>
      <c r="E565" s="36"/>
      <c r="F565" s="36"/>
      <c r="G565" s="25"/>
      <c r="H565" s="25"/>
      <c r="I565" s="25"/>
      <c r="J565" s="25"/>
      <c r="K565" s="25"/>
      <c r="L565" s="25"/>
      <c r="M565" s="18"/>
      <c r="O565" s="4">
        <v>10</v>
      </c>
      <c r="P565" s="4">
        <v>2</v>
      </c>
      <c r="Q565" s="4">
        <v>0</v>
      </c>
      <c r="R565" s="4">
        <v>2</v>
      </c>
      <c r="S565" s="14"/>
      <c r="AX565" s="14"/>
    </row>
    <row r="566" spans="1:50" ht="23.5" customHeight="1" thickTop="1" thickBot="1" x14ac:dyDescent="0.35">
      <c r="A566" s="63"/>
      <c r="B566" s="81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19"/>
      <c r="N566" s="15"/>
      <c r="O566" s="15"/>
      <c r="P566" s="15"/>
      <c r="Q566" s="15"/>
      <c r="R566" s="15"/>
      <c r="S566" s="16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6"/>
    </row>
    <row r="567" spans="1:50" ht="15" customHeight="1" thickTop="1" thickBot="1" x14ac:dyDescent="0.35">
      <c r="A567" s="63"/>
      <c r="B567" s="89" t="s">
        <v>145</v>
      </c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17"/>
      <c r="N567" s="24"/>
      <c r="O567" s="24"/>
      <c r="P567" s="24"/>
      <c r="Q567" s="24"/>
      <c r="R567" s="24"/>
      <c r="S567" s="17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17"/>
    </row>
    <row r="568" spans="1:50" ht="16" customHeight="1" thickTop="1" thickBot="1" x14ac:dyDescent="0.35">
      <c r="A568" s="63"/>
      <c r="B568" s="76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17"/>
      <c r="N568" s="24"/>
      <c r="O568" s="82" t="s">
        <v>205</v>
      </c>
      <c r="P568" s="82" t="s">
        <v>206</v>
      </c>
      <c r="Q568" s="83"/>
      <c r="R568" s="83"/>
      <c r="S568" s="17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17"/>
    </row>
    <row r="569" spans="1:50" ht="31" customHeight="1" thickTop="1" thickBot="1" x14ac:dyDescent="0.35">
      <c r="A569" s="63"/>
      <c r="B569" s="76"/>
      <c r="C569" s="24"/>
      <c r="D569" s="27" t="s">
        <v>191</v>
      </c>
      <c r="E569" s="27" t="s">
        <v>192</v>
      </c>
      <c r="F569" s="27" t="s">
        <v>193</v>
      </c>
      <c r="G569" s="27" t="s">
        <v>191</v>
      </c>
      <c r="H569" s="27" t="s">
        <v>192</v>
      </c>
      <c r="I569" s="27" t="s">
        <v>193</v>
      </c>
      <c r="J569" s="27" t="s">
        <v>191</v>
      </c>
      <c r="K569" s="27" t="s">
        <v>192</v>
      </c>
      <c r="L569" s="27" t="s">
        <v>193</v>
      </c>
      <c r="M569" s="17"/>
      <c r="N569" s="24"/>
      <c r="O569" s="84"/>
      <c r="P569" s="2" t="s">
        <v>178</v>
      </c>
      <c r="Q569" s="2" t="s">
        <v>186</v>
      </c>
      <c r="R569" s="2" t="s">
        <v>190</v>
      </c>
      <c r="S569" s="17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17"/>
    </row>
    <row r="570" spans="1:50" ht="23" customHeight="1" thickTop="1" x14ac:dyDescent="0.3">
      <c r="A570" s="63"/>
      <c r="B570" s="76"/>
      <c r="C570" s="33"/>
      <c r="D570" s="88" t="s">
        <v>194</v>
      </c>
      <c r="E570" s="36" t="s">
        <v>148</v>
      </c>
      <c r="F570" s="36">
        <v>6</v>
      </c>
      <c r="G570" s="85" t="s">
        <v>198</v>
      </c>
      <c r="H570" s="36" t="s">
        <v>158</v>
      </c>
      <c r="I570" s="36">
        <v>3</v>
      </c>
      <c r="J570" s="85" t="s">
        <v>202</v>
      </c>
      <c r="K570" s="36" t="s">
        <v>203</v>
      </c>
      <c r="L570" s="36">
        <v>3</v>
      </c>
      <c r="M570" s="18"/>
      <c r="N570" s="13"/>
      <c r="O570" s="1">
        <v>1</v>
      </c>
      <c r="P570" s="1">
        <v>1</v>
      </c>
      <c r="Q570" s="1">
        <v>1</v>
      </c>
      <c r="R570" s="1">
        <v>0</v>
      </c>
      <c r="S570" s="14"/>
      <c r="T570" s="13"/>
      <c r="U570" s="24"/>
      <c r="AX570" s="14"/>
    </row>
    <row r="571" spans="1:50" ht="23" customHeight="1" thickBot="1" x14ac:dyDescent="0.35">
      <c r="A571" s="63"/>
      <c r="B571" s="76"/>
      <c r="C571" s="25"/>
      <c r="D571" s="86"/>
      <c r="E571" s="36" t="s">
        <v>195</v>
      </c>
      <c r="F571" s="36">
        <v>3</v>
      </c>
      <c r="G571" s="86"/>
      <c r="H571" s="36" t="s">
        <v>159</v>
      </c>
      <c r="I571" s="36">
        <v>2</v>
      </c>
      <c r="J571" s="86"/>
      <c r="K571" s="36" t="s">
        <v>166</v>
      </c>
      <c r="L571" s="36">
        <v>3</v>
      </c>
      <c r="M571" s="18"/>
      <c r="O571" s="1">
        <v>2</v>
      </c>
      <c r="P571" s="1">
        <v>2</v>
      </c>
      <c r="Q571" s="1">
        <v>2</v>
      </c>
      <c r="R571" s="1">
        <v>0</v>
      </c>
      <c r="S571" s="14"/>
      <c r="Z571" s="23" t="s">
        <v>194</v>
      </c>
      <c r="AK571" s="23" t="s">
        <v>198</v>
      </c>
      <c r="AT571" s="23" t="s">
        <v>202</v>
      </c>
      <c r="AX571" s="14"/>
    </row>
    <row r="572" spans="1:50" ht="25" customHeight="1" thickTop="1" thickBot="1" x14ac:dyDescent="0.35">
      <c r="A572" s="63"/>
      <c r="B572" s="76"/>
      <c r="C572" s="25"/>
      <c r="D572" s="86"/>
      <c r="E572" s="36" t="s">
        <v>196</v>
      </c>
      <c r="F572" s="36">
        <v>2</v>
      </c>
      <c r="G572" s="86"/>
      <c r="H572" s="36" t="s">
        <v>160</v>
      </c>
      <c r="I572" s="36">
        <v>2</v>
      </c>
      <c r="J572" s="86"/>
      <c r="K572" s="36" t="s">
        <v>167</v>
      </c>
      <c r="L572" s="36">
        <v>3</v>
      </c>
      <c r="M572" s="18"/>
      <c r="O572" s="1">
        <v>3</v>
      </c>
      <c r="P572" s="1">
        <v>1</v>
      </c>
      <c r="Q572" s="1">
        <v>1</v>
      </c>
      <c r="R572" s="1">
        <v>1</v>
      </c>
      <c r="S572" s="14"/>
      <c r="U572" s="7" t="s">
        <v>146</v>
      </c>
      <c r="V572" s="7" t="s">
        <v>147</v>
      </c>
      <c r="W572" s="7" t="s">
        <v>148</v>
      </c>
      <c r="X572" s="7" t="s">
        <v>149</v>
      </c>
      <c r="Y572" s="7" t="s">
        <v>150</v>
      </c>
      <c r="Z572" s="8" t="s">
        <v>151</v>
      </c>
      <c r="AA572" s="7" t="s">
        <v>152</v>
      </c>
      <c r="AB572" s="7" t="s">
        <v>153</v>
      </c>
      <c r="AC572" s="7" t="s">
        <v>154</v>
      </c>
      <c r="AD572" s="7" t="s">
        <v>155</v>
      </c>
      <c r="AE572" s="8" t="s">
        <v>156</v>
      </c>
      <c r="AF572" s="7" t="s">
        <v>157</v>
      </c>
      <c r="AH572" s="7" t="s">
        <v>146</v>
      </c>
      <c r="AI572" s="7" t="s">
        <v>147</v>
      </c>
      <c r="AJ572" s="7" t="s">
        <v>158</v>
      </c>
      <c r="AK572" s="7" t="s">
        <v>159</v>
      </c>
      <c r="AL572" s="7" t="s">
        <v>160</v>
      </c>
      <c r="AM572" s="7" t="s">
        <v>161</v>
      </c>
      <c r="AN572" s="7" t="s">
        <v>162</v>
      </c>
      <c r="AO572" s="7" t="s">
        <v>163</v>
      </c>
      <c r="AP572" s="7" t="s">
        <v>164</v>
      </c>
      <c r="AR572" s="7" t="s">
        <v>146</v>
      </c>
      <c r="AS572" s="7" t="s">
        <v>147</v>
      </c>
      <c r="AT572" s="7" t="s">
        <v>165</v>
      </c>
      <c r="AU572" s="7" t="s">
        <v>166</v>
      </c>
      <c r="AV572" s="7" t="s">
        <v>167</v>
      </c>
      <c r="AW572" s="7" t="s">
        <v>168</v>
      </c>
      <c r="AX572" s="14"/>
    </row>
    <row r="573" spans="1:50" ht="24" customHeight="1" thickTop="1" thickBot="1" x14ac:dyDescent="0.35">
      <c r="A573" s="63"/>
      <c r="B573" s="76"/>
      <c r="C573" s="25"/>
      <c r="D573" s="86"/>
      <c r="E573" s="1" t="s">
        <v>151</v>
      </c>
      <c r="F573" s="36">
        <v>2</v>
      </c>
      <c r="G573" s="86"/>
      <c r="H573" s="36" t="s">
        <v>199</v>
      </c>
      <c r="I573" s="36">
        <v>2</v>
      </c>
      <c r="J573" s="87"/>
      <c r="K573" s="38" t="s">
        <v>168</v>
      </c>
      <c r="L573" s="38">
        <v>3</v>
      </c>
      <c r="M573" s="18"/>
      <c r="O573" s="1">
        <v>4</v>
      </c>
      <c r="P573" s="1">
        <v>1</v>
      </c>
      <c r="Q573" s="1">
        <v>2</v>
      </c>
      <c r="R573" s="1">
        <v>5</v>
      </c>
      <c r="S573" s="14"/>
      <c r="U573" s="9" t="s">
        <v>171</v>
      </c>
      <c r="V573" s="10" t="s">
        <v>172</v>
      </c>
      <c r="W573" s="9">
        <v>7.51</v>
      </c>
      <c r="X573" s="9">
        <v>0.78</v>
      </c>
      <c r="Y573" s="9">
        <v>1.19</v>
      </c>
      <c r="Z573" s="9">
        <v>0.63</v>
      </c>
      <c r="AA573" s="9">
        <v>2.64</v>
      </c>
      <c r="AB573" s="9">
        <v>0.87</v>
      </c>
      <c r="AC573" s="9">
        <v>0.93</v>
      </c>
      <c r="AD573" s="9">
        <v>1.1200000000000001</v>
      </c>
      <c r="AE573" s="9">
        <v>1.3</v>
      </c>
      <c r="AF573" s="9">
        <v>1.92</v>
      </c>
      <c r="AH573" s="9" t="s">
        <v>173</v>
      </c>
      <c r="AI573" s="10" t="s">
        <v>174</v>
      </c>
      <c r="AJ573" s="9">
        <v>6.35</v>
      </c>
      <c r="AK573" s="9">
        <v>6.77</v>
      </c>
      <c r="AL573" s="9">
        <v>3</v>
      </c>
      <c r="AM573" s="9">
        <v>6.88</v>
      </c>
      <c r="AN573" s="9">
        <v>1.77</v>
      </c>
      <c r="AO573" s="9">
        <v>7.27</v>
      </c>
      <c r="AP573" s="9">
        <v>5.35</v>
      </c>
      <c r="AR573" s="9" t="s">
        <v>175</v>
      </c>
      <c r="AS573" s="10" t="s">
        <v>176</v>
      </c>
      <c r="AT573" s="9">
        <v>2.96</v>
      </c>
      <c r="AU573" s="9">
        <v>1.18</v>
      </c>
      <c r="AV573" s="9">
        <v>2.4500000000000002</v>
      </c>
      <c r="AW573" s="9">
        <v>2</v>
      </c>
      <c r="AX573" s="14"/>
    </row>
    <row r="574" spans="1:50" ht="24" customHeight="1" thickTop="1" thickBot="1" x14ac:dyDescent="0.35">
      <c r="A574" s="63"/>
      <c r="B574" s="76"/>
      <c r="C574" s="25"/>
      <c r="D574" s="86"/>
      <c r="E574" s="36" t="s">
        <v>152</v>
      </c>
      <c r="F574" s="36">
        <v>2</v>
      </c>
      <c r="G574" s="86"/>
      <c r="H574" s="36" t="s">
        <v>200</v>
      </c>
      <c r="I574" s="36">
        <v>2</v>
      </c>
      <c r="J574" s="39"/>
      <c r="K574" s="39"/>
      <c r="L574" s="39"/>
      <c r="M574" s="18"/>
      <c r="O574" s="1">
        <v>5</v>
      </c>
      <c r="P574" s="1">
        <v>1</v>
      </c>
      <c r="Q574" s="1">
        <v>1</v>
      </c>
      <c r="R574" s="1">
        <v>1</v>
      </c>
      <c r="S574" s="14"/>
      <c r="U574" s="9" t="s">
        <v>179</v>
      </c>
      <c r="V574" s="10" t="s">
        <v>180</v>
      </c>
      <c r="W574" s="9">
        <v>8.33</v>
      </c>
      <c r="X574" s="9">
        <v>0.69</v>
      </c>
      <c r="Y574" s="9">
        <v>1.01</v>
      </c>
      <c r="Z574" s="9">
        <v>0.61</v>
      </c>
      <c r="AA574" s="9">
        <v>2.5</v>
      </c>
      <c r="AB574" s="9">
        <v>0.83</v>
      </c>
      <c r="AC574" s="9">
        <v>0.97</v>
      </c>
      <c r="AD574" s="9">
        <v>1</v>
      </c>
      <c r="AE574" s="9">
        <v>1.25</v>
      </c>
      <c r="AF574" s="9">
        <v>2.2400000000000002</v>
      </c>
      <c r="AH574" s="11" t="s">
        <v>181</v>
      </c>
      <c r="AI574" s="12" t="s">
        <v>182</v>
      </c>
      <c r="AJ574" s="11">
        <v>6.86</v>
      </c>
      <c r="AK574" s="11">
        <v>7.33</v>
      </c>
      <c r="AL574" s="11">
        <v>3</v>
      </c>
      <c r="AM574" s="11">
        <v>7.55</v>
      </c>
      <c r="AN574" s="11">
        <v>2.27</v>
      </c>
      <c r="AO574" s="11">
        <v>8.5500000000000007</v>
      </c>
      <c r="AP574" s="11">
        <v>5.86</v>
      </c>
      <c r="AR574" s="11" t="s">
        <v>183</v>
      </c>
      <c r="AS574" s="12" t="s">
        <v>184</v>
      </c>
      <c r="AT574" s="11">
        <v>3.42</v>
      </c>
      <c r="AU574" s="11">
        <v>1.06</v>
      </c>
      <c r="AV574" s="11">
        <v>2.1800000000000002</v>
      </c>
      <c r="AW574" s="11">
        <v>2</v>
      </c>
      <c r="AX574" s="14"/>
    </row>
    <row r="575" spans="1:50" ht="23.5" customHeight="1" thickTop="1" thickBot="1" x14ac:dyDescent="0.35">
      <c r="A575" s="63"/>
      <c r="B575" s="76"/>
      <c r="C575" s="25"/>
      <c r="D575" s="86"/>
      <c r="E575" s="36" t="s">
        <v>153</v>
      </c>
      <c r="F575" s="36">
        <v>2</v>
      </c>
      <c r="G575" s="86"/>
      <c r="H575" s="36" t="s">
        <v>201</v>
      </c>
      <c r="I575" s="36">
        <v>2</v>
      </c>
      <c r="J575" s="25"/>
      <c r="K575" s="25"/>
      <c r="L575" s="25"/>
      <c r="M575" s="18"/>
      <c r="O575" s="1">
        <v>6</v>
      </c>
      <c r="P575" s="1">
        <v>2</v>
      </c>
      <c r="Q575" s="1">
        <v>1</v>
      </c>
      <c r="R575" s="1">
        <v>1</v>
      </c>
      <c r="S575" s="14"/>
      <c r="U575" s="11" t="s">
        <v>187</v>
      </c>
      <c r="V575" s="12" t="s">
        <v>188</v>
      </c>
      <c r="W575" s="11">
        <v>9.1</v>
      </c>
      <c r="X575" s="11">
        <v>0.85</v>
      </c>
      <c r="Y575" s="11">
        <v>1.25</v>
      </c>
      <c r="Z575" s="11">
        <v>0.75</v>
      </c>
      <c r="AA575" s="11">
        <v>2.99</v>
      </c>
      <c r="AB575" s="11">
        <v>0.81</v>
      </c>
      <c r="AC575" s="11">
        <v>0.91</v>
      </c>
      <c r="AD575" s="11">
        <v>1.2</v>
      </c>
      <c r="AE575" s="11">
        <v>1.35</v>
      </c>
      <c r="AF575" s="11">
        <v>1.5</v>
      </c>
      <c r="AX575" s="14"/>
    </row>
    <row r="576" spans="1:50" ht="23.5" customHeight="1" thickTop="1" thickBot="1" x14ac:dyDescent="0.35">
      <c r="A576" s="63"/>
      <c r="B576" s="76"/>
      <c r="C576" s="25"/>
      <c r="D576" s="86"/>
      <c r="E576" s="1" t="s">
        <v>156</v>
      </c>
      <c r="F576" s="36">
        <v>2</v>
      </c>
      <c r="G576" s="87"/>
      <c r="H576" s="38" t="s">
        <v>164</v>
      </c>
      <c r="I576" s="38">
        <v>1</v>
      </c>
      <c r="J576" s="36"/>
      <c r="K576" s="25"/>
      <c r="L576" s="25"/>
      <c r="M576" s="18"/>
      <c r="O576" s="1">
        <v>7</v>
      </c>
      <c r="P576" s="1">
        <v>1</v>
      </c>
      <c r="Q576" s="1">
        <v>1</v>
      </c>
      <c r="R576" s="1">
        <v>1</v>
      </c>
      <c r="S576" s="14"/>
      <c r="U576" s="9"/>
      <c r="V576" s="10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X576" s="14"/>
    </row>
    <row r="577" spans="1:50" ht="23.5" customHeight="1" thickTop="1" thickBot="1" x14ac:dyDescent="0.35">
      <c r="A577" s="63"/>
      <c r="B577" s="76"/>
      <c r="C577" s="25"/>
      <c r="D577" s="87"/>
      <c r="E577" s="38" t="s">
        <v>197</v>
      </c>
      <c r="F577" s="38">
        <v>2</v>
      </c>
      <c r="G577" s="39"/>
      <c r="H577" s="39"/>
      <c r="I577" s="39"/>
      <c r="J577" s="36"/>
      <c r="K577" s="36"/>
      <c r="L577" s="25"/>
      <c r="M577" s="18"/>
      <c r="O577" s="1">
        <v>8</v>
      </c>
      <c r="P577" s="1">
        <v>1</v>
      </c>
      <c r="Q577" s="1">
        <v>3</v>
      </c>
      <c r="R577" s="1">
        <v>1</v>
      </c>
      <c r="S577" s="14"/>
      <c r="U577" s="9"/>
      <c r="V577" s="10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X577" s="14"/>
    </row>
    <row r="578" spans="1:50" ht="23" customHeight="1" thickTop="1" x14ac:dyDescent="0.3">
      <c r="A578" s="63"/>
      <c r="B578" s="76"/>
      <c r="C578" s="25"/>
      <c r="D578" s="39"/>
      <c r="E578" s="39"/>
      <c r="F578" s="39"/>
      <c r="G578" s="25"/>
      <c r="H578" s="25"/>
      <c r="I578" s="25"/>
      <c r="J578" s="25"/>
      <c r="K578" s="25"/>
      <c r="L578" s="25"/>
      <c r="M578" s="18"/>
      <c r="O578" s="1">
        <v>9</v>
      </c>
      <c r="P578" s="1">
        <v>3</v>
      </c>
      <c r="Q578" s="1">
        <v>2</v>
      </c>
      <c r="R578" s="1">
        <v>1</v>
      </c>
      <c r="S578" s="14"/>
      <c r="AX578" s="14"/>
    </row>
    <row r="579" spans="1:50" ht="23" customHeight="1" thickBot="1" x14ac:dyDescent="0.35">
      <c r="A579" s="63"/>
      <c r="B579" s="76"/>
      <c r="C579" s="25"/>
      <c r="D579" s="36"/>
      <c r="E579" s="36"/>
      <c r="F579" s="36"/>
      <c r="G579" s="25"/>
      <c r="H579" s="25"/>
      <c r="I579" s="25"/>
      <c r="J579" s="25"/>
      <c r="K579" s="25"/>
      <c r="L579" s="25"/>
      <c r="M579" s="18"/>
      <c r="O579" s="4">
        <v>10</v>
      </c>
      <c r="P579" s="4">
        <v>2</v>
      </c>
      <c r="Q579" s="4">
        <v>0</v>
      </c>
      <c r="R579" s="4">
        <v>2</v>
      </c>
      <c r="S579" s="14"/>
      <c r="AX579" s="14"/>
    </row>
    <row r="580" spans="1:50" ht="23.5" customHeight="1" thickTop="1" thickBot="1" x14ac:dyDescent="0.35">
      <c r="A580" s="63"/>
      <c r="B580" s="81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19"/>
      <c r="N580" s="15"/>
      <c r="O580" s="15"/>
      <c r="P580" s="15"/>
      <c r="Q580" s="15"/>
      <c r="R580" s="15"/>
      <c r="S580" s="16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6"/>
    </row>
    <row r="581" spans="1:50" ht="14.5" customHeight="1" thickTop="1" x14ac:dyDescent="0.3">
      <c r="A581" s="40"/>
    </row>
    <row r="585" spans="1:50" x14ac:dyDescent="0.3">
      <c r="C585" s="41"/>
    </row>
  </sheetData>
  <mergeCells count="250">
    <mergeCell ref="O78:O79"/>
    <mergeCell ref="D332:D339"/>
    <mergeCell ref="P470:R470"/>
    <mergeCell ref="J164:J167"/>
    <mergeCell ref="B231:B244"/>
    <mergeCell ref="B287:B300"/>
    <mergeCell ref="J542:J545"/>
    <mergeCell ref="D500:D507"/>
    <mergeCell ref="O120:O121"/>
    <mergeCell ref="O484:O485"/>
    <mergeCell ref="B553:B566"/>
    <mergeCell ref="P260:R260"/>
    <mergeCell ref="D346:D353"/>
    <mergeCell ref="D402:D409"/>
    <mergeCell ref="J178:J181"/>
    <mergeCell ref="J94:J97"/>
    <mergeCell ref="O386:O387"/>
    <mergeCell ref="O442:O443"/>
    <mergeCell ref="B77:B90"/>
    <mergeCell ref="B357:B370"/>
    <mergeCell ref="B301:B314"/>
    <mergeCell ref="J192:J195"/>
    <mergeCell ref="J556:J559"/>
    <mergeCell ref="D150:D157"/>
    <mergeCell ref="J332:J335"/>
    <mergeCell ref="G458:G464"/>
    <mergeCell ref="D514:D521"/>
    <mergeCell ref="J528:J531"/>
    <mergeCell ref="P442:R442"/>
    <mergeCell ref="P428:R428"/>
    <mergeCell ref="G262:G268"/>
    <mergeCell ref="P302:R302"/>
    <mergeCell ref="P176:R176"/>
    <mergeCell ref="G430:G436"/>
    <mergeCell ref="D374:D381"/>
    <mergeCell ref="C18:M20"/>
    <mergeCell ref="B511:B524"/>
    <mergeCell ref="P218:R218"/>
    <mergeCell ref="J136:J139"/>
    <mergeCell ref="D108:D115"/>
    <mergeCell ref="J360:J363"/>
    <mergeCell ref="G234:G240"/>
    <mergeCell ref="J500:J503"/>
    <mergeCell ref="B63:B76"/>
    <mergeCell ref="J514:J517"/>
    <mergeCell ref="G206:G212"/>
    <mergeCell ref="O302:O303"/>
    <mergeCell ref="P386:R386"/>
    <mergeCell ref="D472:D479"/>
    <mergeCell ref="J108:J111"/>
    <mergeCell ref="B91:B104"/>
    <mergeCell ref="P78:R78"/>
    <mergeCell ref="O50:O51"/>
    <mergeCell ref="O344:O345"/>
    <mergeCell ref="J486:J489"/>
    <mergeCell ref="P64:R64"/>
    <mergeCell ref="B18:B20"/>
    <mergeCell ref="P50:R50"/>
    <mergeCell ref="P568:R568"/>
    <mergeCell ref="J122:J125"/>
    <mergeCell ref="P484:R484"/>
    <mergeCell ref="G248:G254"/>
    <mergeCell ref="B245:B258"/>
    <mergeCell ref="N18:S20"/>
    <mergeCell ref="D318:D325"/>
    <mergeCell ref="D94:D101"/>
    <mergeCell ref="G24:G30"/>
    <mergeCell ref="D458:D465"/>
    <mergeCell ref="G80:G86"/>
    <mergeCell ref="B49:B62"/>
    <mergeCell ref="J304:J307"/>
    <mergeCell ref="G220:G226"/>
    <mergeCell ref="O498:O499"/>
    <mergeCell ref="O554:O555"/>
    <mergeCell ref="B469:B482"/>
    <mergeCell ref="B413:B426"/>
    <mergeCell ref="B189:B202"/>
    <mergeCell ref="J80:J83"/>
    <mergeCell ref="P120:R120"/>
    <mergeCell ref="P134:R134"/>
    <mergeCell ref="G374:G380"/>
    <mergeCell ref="O246:O247"/>
    <mergeCell ref="P554:R554"/>
    <mergeCell ref="D220:D227"/>
    <mergeCell ref="J52:J55"/>
    <mergeCell ref="D416:D423"/>
    <mergeCell ref="B175:B188"/>
    <mergeCell ref="G346:G352"/>
    <mergeCell ref="G402:G408"/>
    <mergeCell ref="O400:O401"/>
    <mergeCell ref="P22:R22"/>
    <mergeCell ref="G38:G44"/>
    <mergeCell ref="J318:J321"/>
    <mergeCell ref="P190:R190"/>
    <mergeCell ref="G388:G394"/>
    <mergeCell ref="J346:J349"/>
    <mergeCell ref="P162:R162"/>
    <mergeCell ref="D80:D87"/>
    <mergeCell ref="D444:D451"/>
    <mergeCell ref="O64:O65"/>
    <mergeCell ref="B35:B48"/>
    <mergeCell ref="B399:B412"/>
    <mergeCell ref="J234:J237"/>
    <mergeCell ref="D136:D143"/>
    <mergeCell ref="P106:R106"/>
    <mergeCell ref="B273:B286"/>
    <mergeCell ref="T18:AX20"/>
    <mergeCell ref="P92:R92"/>
    <mergeCell ref="G332:G338"/>
    <mergeCell ref="P512:R512"/>
    <mergeCell ref="D66:D73"/>
    <mergeCell ref="A357:A468"/>
    <mergeCell ref="J444:J447"/>
    <mergeCell ref="O106:O107"/>
    <mergeCell ref="O470:O471"/>
    <mergeCell ref="A18:A20"/>
    <mergeCell ref="O232:O233"/>
    <mergeCell ref="G52:G58"/>
    <mergeCell ref="B21:B34"/>
    <mergeCell ref="D486:D493"/>
    <mergeCell ref="J276:J279"/>
    <mergeCell ref="P372:R372"/>
    <mergeCell ref="B441:B454"/>
    <mergeCell ref="P148:R148"/>
    <mergeCell ref="J472:J475"/>
    <mergeCell ref="B385:B398"/>
    <mergeCell ref="D122:D129"/>
    <mergeCell ref="G122:G128"/>
    <mergeCell ref="G178:G184"/>
    <mergeCell ref="O456:O457"/>
    <mergeCell ref="A133:A244"/>
    <mergeCell ref="D248:D255"/>
    <mergeCell ref="O134:O135"/>
    <mergeCell ref="D388:D395"/>
    <mergeCell ref="J402:J405"/>
    <mergeCell ref="B203:B216"/>
    <mergeCell ref="J206:J209"/>
    <mergeCell ref="O428:O429"/>
    <mergeCell ref="O22:O23"/>
    <mergeCell ref="G290:G296"/>
    <mergeCell ref="J374:J377"/>
    <mergeCell ref="O316:O317"/>
    <mergeCell ref="D234:D241"/>
    <mergeCell ref="J66:J69"/>
    <mergeCell ref="B427:B440"/>
    <mergeCell ref="J262:J265"/>
    <mergeCell ref="O274:O275"/>
    <mergeCell ref="D164:D171"/>
    <mergeCell ref="O204:O205"/>
    <mergeCell ref="O260:O261"/>
    <mergeCell ref="J150:J153"/>
    <mergeCell ref="B119:B132"/>
    <mergeCell ref="J430:J433"/>
    <mergeCell ref="J290:J293"/>
    <mergeCell ref="A245:A356"/>
    <mergeCell ref="J416:J419"/>
    <mergeCell ref="P232:R232"/>
    <mergeCell ref="B539:B552"/>
    <mergeCell ref="G66:G72"/>
    <mergeCell ref="P246:R246"/>
    <mergeCell ref="P330:R330"/>
    <mergeCell ref="O358:O359"/>
    <mergeCell ref="D24:D31"/>
    <mergeCell ref="J38:J41"/>
    <mergeCell ref="G528:G534"/>
    <mergeCell ref="D290:D297"/>
    <mergeCell ref="B147:B160"/>
    <mergeCell ref="P288:R288"/>
    <mergeCell ref="B525:B538"/>
    <mergeCell ref="D38:D45"/>
    <mergeCell ref="P316:R316"/>
    <mergeCell ref="D262:D269"/>
    <mergeCell ref="J220:J223"/>
    <mergeCell ref="B217:B230"/>
    <mergeCell ref="D178:D185"/>
    <mergeCell ref="J24:J27"/>
    <mergeCell ref="B133:B146"/>
    <mergeCell ref="G304:G310"/>
    <mergeCell ref="D570:D577"/>
    <mergeCell ref="G136:G142"/>
    <mergeCell ref="G276:G282"/>
    <mergeCell ref="G164:G170"/>
    <mergeCell ref="J248:J251"/>
    <mergeCell ref="B567:B580"/>
    <mergeCell ref="D430:D437"/>
    <mergeCell ref="G542:G548"/>
    <mergeCell ref="O414:O415"/>
    <mergeCell ref="B371:B384"/>
    <mergeCell ref="O190:O191"/>
    <mergeCell ref="D304:D311"/>
    <mergeCell ref="B161:B174"/>
    <mergeCell ref="D206:D213"/>
    <mergeCell ref="B259:B272"/>
    <mergeCell ref="G570:G576"/>
    <mergeCell ref="G360:G366"/>
    <mergeCell ref="G318:G324"/>
    <mergeCell ref="J388:J391"/>
    <mergeCell ref="O330:O331"/>
    <mergeCell ref="G444:G450"/>
    <mergeCell ref="G556:G562"/>
    <mergeCell ref="O568:O569"/>
    <mergeCell ref="B497:B510"/>
    <mergeCell ref="D542:D549"/>
    <mergeCell ref="P414:R414"/>
    <mergeCell ref="G108:G114"/>
    <mergeCell ref="O526:O527"/>
    <mergeCell ref="P204:R204"/>
    <mergeCell ref="P498:R498"/>
    <mergeCell ref="B343:B356"/>
    <mergeCell ref="D360:D367"/>
    <mergeCell ref="A469:A580"/>
    <mergeCell ref="G150:G156"/>
    <mergeCell ref="D276:D283"/>
    <mergeCell ref="G486:G492"/>
    <mergeCell ref="B315:B328"/>
    <mergeCell ref="O218:O219"/>
    <mergeCell ref="O162:O163"/>
    <mergeCell ref="D556:D563"/>
    <mergeCell ref="A21:A132"/>
    <mergeCell ref="J570:J573"/>
    <mergeCell ref="D52:D59"/>
    <mergeCell ref="D528:D535"/>
    <mergeCell ref="G94:G100"/>
    <mergeCell ref="O512:O513"/>
    <mergeCell ref="B483:B496"/>
    <mergeCell ref="P540:R540"/>
    <mergeCell ref="O540:O541"/>
    <mergeCell ref="B455:B468"/>
    <mergeCell ref="D192:D199"/>
    <mergeCell ref="O176:O177"/>
    <mergeCell ref="G416:G422"/>
    <mergeCell ref="G500:G506"/>
    <mergeCell ref="P36:R36"/>
    <mergeCell ref="B329:B342"/>
    <mergeCell ref="O148:O149"/>
    <mergeCell ref="P456:R456"/>
    <mergeCell ref="O288:O289"/>
    <mergeCell ref="G514:G520"/>
    <mergeCell ref="J458:J461"/>
    <mergeCell ref="B105:B118"/>
    <mergeCell ref="P274:R274"/>
    <mergeCell ref="O92:O93"/>
    <mergeCell ref="O36:O37"/>
    <mergeCell ref="P358:R358"/>
    <mergeCell ref="P344:R344"/>
    <mergeCell ref="P526:R526"/>
    <mergeCell ref="P400:R400"/>
    <mergeCell ref="O372:O373"/>
    <mergeCell ref="G472:G478"/>
    <mergeCell ref="G192:G198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不同case实验数据工厂数据集</vt:lpstr>
      <vt:lpstr>不同case实验数据小small规模随机数据集</vt:lpstr>
      <vt:lpstr>不同case实验数据中middle规模随机数据集</vt:lpstr>
      <vt:lpstr>不同case实验数据大big规模随机数据集</vt:lpstr>
      <vt:lpstr>工厂数据集</vt:lpstr>
      <vt:lpstr>小规模随机数据集</vt:lpstr>
      <vt:lpstr>中规模随机数据集</vt:lpstr>
      <vt:lpstr>大规模随机数据集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2025-12-11T07:43:26Z</dcterms:modified>
</cp:coreProperties>
</file>